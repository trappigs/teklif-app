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mi\projeler\teklif\"/>
    </mc:Choice>
  </mc:AlternateContent>
  <xr:revisionPtr revIDLastSave="0" documentId="13_ncr:1_{8D2AF34E-E41C-4422-BF35-BD97B27C2FB5}" xr6:coauthVersionLast="47" xr6:coauthVersionMax="47" xr10:uidLastSave="{00000000-0000-0000-0000-000000000000}"/>
  <bookViews>
    <workbookView xWindow="-120" yWindow="-16440" windowWidth="29040" windowHeight="15720" firstSheet="3" activeTab="3" xr2:uid="{5B5A749B-9560-4120-BC4F-9F2C8ACFAD83}"/>
  </bookViews>
  <sheets>
    <sheet name="Yetkilendirme ve Beyan Takip" sheetId="14" state="hidden" r:id="rId1"/>
    <sheet name="İbiller satış" sheetId="15" state="hidden" r:id="rId2"/>
    <sheet name="Master Veri " sheetId="11" state="hidden" r:id="rId3"/>
    <sheet name="Bereketli Satış" sheetId="3" r:id="rId4"/>
    <sheet name="SHBN AKTİF İLANLAR" sheetId="22" r:id="rId5"/>
    <sheet name="İLAN PLANLAMASI" sheetId="23" r:id="rId6"/>
    <sheet name="Sheet1" sheetId="21" r:id="rId7"/>
    <sheet name="inköyler" sheetId="20" state="hidden" r:id="rId8"/>
    <sheet name="Sayfa1" sheetId="18" state="hidden" r:id="rId9"/>
    <sheet name="Pivot İzleme" sheetId="19" state="hidden" r:id="rId10"/>
    <sheet name="ARSLAN" sheetId="17" state="hidden" r:id="rId11"/>
  </sheets>
  <definedNames>
    <definedName name="_xlnm._FilterDatabase" localSheetId="10" hidden="1">ARSLAN!$D$1:$AM$73</definedName>
    <definedName name="_xlnm._FilterDatabase" localSheetId="3" hidden="1">'Bereketli Satış'!$A$1:$AN$76</definedName>
    <definedName name="_xlnm._FilterDatabase" localSheetId="1" hidden="1">'İbiller satış'!$A$1:$S$14</definedName>
    <definedName name="_xlnm._FilterDatabase" localSheetId="2" hidden="1">'Master Veri '!$A$1:$J$1</definedName>
    <definedName name="_xlnm._FilterDatabase" localSheetId="4" hidden="1">'SHBN AKTİF İLANLAR'!$A$1:$I$1</definedName>
    <definedName name="_xlnm._FilterDatabase" localSheetId="6" hidden="1">Sheet1!$A$1:$I$14</definedName>
    <definedName name="_xlnm._FilterDatabase" localSheetId="0" hidden="1">'Yetkilendirme ve Beyan Takip'!$A$1:$R$717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3" l="1"/>
  <c r="Q16" i="3"/>
  <c r="P16" i="3"/>
  <c r="A16" i="3"/>
  <c r="A20" i="3"/>
  <c r="O3" i="3"/>
  <c r="P3" i="3" s="1"/>
  <c r="O45" i="20"/>
  <c r="B45" i="20"/>
  <c r="O44" i="20"/>
  <c r="B44" i="20"/>
  <c r="O43" i="20"/>
  <c r="B43" i="20"/>
  <c r="O42" i="20"/>
  <c r="B42" i="20"/>
  <c r="O41" i="20"/>
  <c r="B41" i="20"/>
  <c r="O40" i="20"/>
  <c r="B40" i="20"/>
  <c r="O39" i="20"/>
  <c r="B39" i="20"/>
  <c r="O38" i="20"/>
  <c r="B38" i="20"/>
  <c r="O37" i="20"/>
  <c r="B37" i="20"/>
  <c r="O36" i="20"/>
  <c r="B36" i="20"/>
  <c r="O35" i="20"/>
  <c r="B35" i="20"/>
  <c r="O34" i="20"/>
  <c r="B34" i="20"/>
  <c r="O33" i="20"/>
  <c r="B33" i="20"/>
  <c r="O32" i="20"/>
  <c r="B32" i="20"/>
  <c r="O31" i="20"/>
  <c r="B31" i="20"/>
  <c r="O30" i="20"/>
  <c r="B30" i="20"/>
  <c r="O29" i="20"/>
  <c r="B29" i="20"/>
  <c r="O28" i="20"/>
  <c r="B28" i="20"/>
  <c r="O27" i="20"/>
  <c r="B27" i="20"/>
  <c r="O26" i="20"/>
  <c r="B26" i="20"/>
  <c r="O25" i="20"/>
  <c r="B25" i="20"/>
  <c r="O24" i="20"/>
  <c r="B24" i="20"/>
  <c r="O23" i="20"/>
  <c r="B23" i="20"/>
  <c r="O22" i="20"/>
  <c r="B22" i="20"/>
  <c r="O21" i="20"/>
  <c r="B21" i="20"/>
  <c r="O20" i="20"/>
  <c r="B20" i="20"/>
  <c r="O19" i="20"/>
  <c r="B19" i="20"/>
  <c r="O18" i="20"/>
  <c r="B18" i="20"/>
  <c r="O17" i="20"/>
  <c r="B17" i="20"/>
  <c r="O16" i="20"/>
  <c r="B16" i="20"/>
  <c r="O15" i="20"/>
  <c r="B15" i="20"/>
  <c r="O14" i="20"/>
  <c r="B14" i="20"/>
  <c r="O13" i="20"/>
  <c r="B13" i="20"/>
  <c r="O12" i="20"/>
  <c r="B12" i="20"/>
  <c r="O11" i="20"/>
  <c r="B11" i="20"/>
  <c r="O10" i="20"/>
  <c r="B10" i="20"/>
  <c r="O9" i="20"/>
  <c r="B9" i="20"/>
  <c r="O8" i="20"/>
  <c r="B8" i="20"/>
  <c r="O7" i="20"/>
  <c r="B7" i="20"/>
  <c r="O6" i="20"/>
  <c r="B6" i="20"/>
  <c r="A3" i="3"/>
  <c r="A57" i="3"/>
  <c r="A12" i="3"/>
  <c r="A10" i="3"/>
  <c r="A22" i="3"/>
  <c r="A13" i="3"/>
  <c r="A61" i="3"/>
  <c r="A8" i="3"/>
  <c r="A23" i="3"/>
  <c r="A43" i="3"/>
  <c r="A53" i="3"/>
  <c r="A9" i="3"/>
  <c r="A71" i="3"/>
  <c r="A66" i="3"/>
  <c r="A30" i="3"/>
  <c r="A32" i="3"/>
  <c r="A14" i="3"/>
  <c r="A5" i="3"/>
  <c r="A63" i="3"/>
  <c r="A70" i="3"/>
  <c r="A34" i="3"/>
  <c r="A44" i="3"/>
  <c r="A15" i="3"/>
  <c r="A35" i="3"/>
  <c r="A56" i="3"/>
  <c r="A40" i="3"/>
  <c r="A29" i="3"/>
  <c r="A68" i="3"/>
  <c r="A4" i="3"/>
  <c r="A2" i="3"/>
  <c r="A45" i="3"/>
  <c r="A46" i="3"/>
  <c r="A24" i="3"/>
  <c r="A6" i="3"/>
  <c r="A27" i="3"/>
  <c r="A47" i="3"/>
  <c r="A50" i="3"/>
  <c r="A60" i="3"/>
  <c r="A62" i="3"/>
  <c r="A54" i="3"/>
  <c r="A55" i="3"/>
  <c r="A39" i="3"/>
  <c r="A58" i="3"/>
  <c r="A72" i="3"/>
  <c r="A76" i="3"/>
  <c r="A65" i="3"/>
  <c r="A67" i="3"/>
  <c r="A37" i="3"/>
  <c r="A17" i="3"/>
  <c r="A19" i="3"/>
  <c r="A18" i="3"/>
  <c r="A41" i="3"/>
  <c r="A31" i="3"/>
  <c r="A69" i="3"/>
  <c r="A49" i="3"/>
  <c r="A36" i="3"/>
  <c r="A75" i="3"/>
  <c r="A26" i="3"/>
  <c r="A48" i="3"/>
  <c r="A7" i="3"/>
  <c r="A59" i="3"/>
  <c r="A52" i="3"/>
  <c r="A42" i="3"/>
  <c r="A51" i="3"/>
  <c r="A11" i="3"/>
  <c r="A25" i="3"/>
  <c r="A33" i="3"/>
  <c r="A73" i="3"/>
  <c r="A38" i="3"/>
  <c r="A64" i="3"/>
  <c r="A74" i="3"/>
  <c r="A21" i="3"/>
  <c r="A28" i="3"/>
  <c r="T38" i="3"/>
  <c r="R38" i="3"/>
  <c r="O38" i="3"/>
  <c r="P38" i="3" s="1"/>
  <c r="O73" i="3"/>
  <c r="O33" i="3"/>
  <c r="P33" i="3" s="1"/>
  <c r="P73" i="3"/>
  <c r="E4" i="18"/>
  <c r="E3" i="18"/>
  <c r="Q43" i="3"/>
  <c r="S43" i="3" s="1"/>
  <c r="O43" i="3"/>
  <c r="P43" i="3" s="1"/>
  <c r="R43" i="3" s="1"/>
  <c r="T43" i="3" s="1"/>
  <c r="G18" i="17"/>
  <c r="Q51" i="3"/>
  <c r="Q42" i="3"/>
  <c r="Q52" i="3"/>
  <c r="Q7" i="3"/>
  <c r="Q23" i="3"/>
  <c r="O57" i="3"/>
  <c r="P57" i="3" s="1"/>
  <c r="O72" i="3"/>
  <c r="P72" i="3" s="1"/>
  <c r="O71" i="3"/>
  <c r="P71" i="3" s="1"/>
  <c r="O49" i="3"/>
  <c r="P49" i="3" s="1"/>
  <c r="O70" i="3"/>
  <c r="P70" i="3" s="1"/>
  <c r="O40" i="3"/>
  <c r="P40" i="3" s="1"/>
  <c r="O69" i="3"/>
  <c r="P69" i="3" s="1"/>
  <c r="O42" i="3"/>
  <c r="P42" i="3" s="1"/>
  <c r="O18" i="3"/>
  <c r="P18" i="3" s="1"/>
  <c r="O66" i="3"/>
  <c r="P66" i="3" s="1"/>
  <c r="O56" i="3"/>
  <c r="P56" i="3" s="1"/>
  <c r="O51" i="3"/>
  <c r="P51" i="3" s="1"/>
  <c r="O48" i="3"/>
  <c r="P48" i="3" s="1"/>
  <c r="O53" i="3"/>
  <c r="P53" i="3" s="1"/>
  <c r="O61" i="3"/>
  <c r="P61" i="3" s="1"/>
  <c r="O37" i="3"/>
  <c r="P37" i="3" s="1"/>
  <c r="O36" i="3"/>
  <c r="P36" i="3" s="1"/>
  <c r="O11" i="3"/>
  <c r="P11" i="3" s="1"/>
  <c r="O32" i="3"/>
  <c r="P32" i="3" s="1"/>
  <c r="O45" i="3"/>
  <c r="P45" i="3" s="1"/>
  <c r="O30" i="3"/>
  <c r="P30" i="3" s="1"/>
  <c r="O75" i="3"/>
  <c r="P75" i="3" s="1"/>
  <c r="O50" i="3"/>
  <c r="P50" i="3" s="1"/>
  <c r="O31" i="3"/>
  <c r="P31" i="3" s="1"/>
  <c r="O17" i="3"/>
  <c r="P17" i="3" s="1"/>
  <c r="O47" i="3"/>
  <c r="P47" i="3" s="1"/>
  <c r="O23" i="3"/>
  <c r="P23" i="3" s="1"/>
  <c r="O8" i="3"/>
  <c r="P8" i="3" s="1"/>
  <c r="O52" i="3"/>
  <c r="P52" i="3" s="1"/>
  <c r="O10" i="3"/>
  <c r="P10" i="3" s="1"/>
  <c r="O41" i="3"/>
  <c r="P41" i="3" s="1"/>
  <c r="O26" i="3"/>
  <c r="P26" i="3" s="1"/>
  <c r="O19" i="3"/>
  <c r="P19" i="3" s="1"/>
  <c r="O68" i="3"/>
  <c r="P68" i="3" s="1"/>
  <c r="O15" i="3"/>
  <c r="P15" i="3" s="1"/>
  <c r="O44" i="3"/>
  <c r="P44" i="3" s="1"/>
  <c r="O25" i="3"/>
  <c r="P25" i="3" s="1"/>
  <c r="O14" i="3"/>
  <c r="P14" i="3" s="1"/>
  <c r="O12" i="3"/>
  <c r="P12" i="3" s="1"/>
  <c r="O22" i="3"/>
  <c r="P22" i="3" s="1"/>
  <c r="O59" i="3"/>
  <c r="P59" i="3" s="1"/>
  <c r="O35" i="3"/>
  <c r="P35" i="3" s="1"/>
  <c r="O2" i="3"/>
  <c r="P2" i="3" s="1"/>
  <c r="O5" i="3"/>
  <c r="P5" i="3" s="1"/>
  <c r="O13" i="3"/>
  <c r="P13" i="3" s="1"/>
  <c r="O7" i="3"/>
  <c r="P7" i="3" s="1"/>
  <c r="G7" i="17"/>
  <c r="G8" i="17"/>
  <c r="G9" i="17"/>
  <c r="G10" i="17"/>
  <c r="G11" i="17"/>
  <c r="G13" i="17"/>
  <c r="G14" i="17"/>
  <c r="G15" i="17"/>
  <c r="G16" i="17"/>
  <c r="G17" i="17"/>
  <c r="G19" i="17"/>
  <c r="G21" i="17"/>
  <c r="G22" i="17"/>
  <c r="G23" i="17"/>
  <c r="G24" i="17"/>
  <c r="G25" i="17"/>
  <c r="G26" i="17"/>
  <c r="G27" i="17"/>
  <c r="G28" i="17"/>
  <c r="G29" i="17"/>
  <c r="G30" i="17"/>
  <c r="G31" i="17"/>
  <c r="G33" i="17"/>
  <c r="G34" i="17"/>
  <c r="G35" i="17"/>
  <c r="G36" i="17"/>
  <c r="G37" i="17"/>
  <c r="G38" i="17"/>
  <c r="G39" i="17"/>
  <c r="G40" i="17"/>
  <c r="G41" i="17"/>
  <c r="G42" i="17"/>
  <c r="G43" i="17"/>
  <c r="G45" i="17"/>
  <c r="G46" i="17"/>
  <c r="G47" i="17"/>
  <c r="G48" i="17"/>
  <c r="G49" i="17"/>
  <c r="G50" i="17"/>
  <c r="G51" i="17"/>
  <c r="G52" i="17"/>
  <c r="G53" i="17"/>
  <c r="G54" i="17"/>
  <c r="G55" i="17"/>
  <c r="G57" i="17"/>
  <c r="G58" i="17"/>
  <c r="G59" i="17"/>
  <c r="G60" i="17"/>
  <c r="G61" i="17"/>
  <c r="G62" i="17"/>
  <c r="G63" i="17"/>
  <c r="G64" i="17"/>
  <c r="G65" i="17"/>
  <c r="G66" i="17"/>
  <c r="G67" i="17"/>
  <c r="G69" i="17"/>
  <c r="G70" i="17"/>
  <c r="G71" i="17"/>
  <c r="G72" i="17"/>
  <c r="N11" i="17"/>
  <c r="O11" i="17"/>
  <c r="P11" i="17"/>
  <c r="Q11" i="17"/>
  <c r="R11" i="17"/>
  <c r="S11" i="17"/>
  <c r="T11" i="17"/>
  <c r="U11" i="17"/>
  <c r="V11" i="17"/>
  <c r="H11" i="17"/>
  <c r="I11" i="17"/>
  <c r="J11" i="17"/>
  <c r="K11" i="17"/>
  <c r="L11" i="17"/>
  <c r="H10" i="17"/>
  <c r="I10" i="17"/>
  <c r="J10" i="17"/>
  <c r="K10" i="17"/>
  <c r="L10" i="17"/>
  <c r="L28" i="17"/>
  <c r="K28" i="17"/>
  <c r="J28" i="17"/>
  <c r="I28" i="17"/>
  <c r="H28" i="17"/>
  <c r="B1" i="17"/>
  <c r="H9" i="17"/>
  <c r="I9" i="17"/>
  <c r="J9" i="17"/>
  <c r="K9" i="17"/>
  <c r="L9" i="17"/>
  <c r="N9" i="17"/>
  <c r="O9" i="17"/>
  <c r="P9" i="17"/>
  <c r="Q9" i="17"/>
  <c r="R9" i="17"/>
  <c r="S9" i="17"/>
  <c r="T9" i="17"/>
  <c r="U9" i="17"/>
  <c r="V9" i="17"/>
  <c r="K7" i="17"/>
  <c r="K8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6" i="17"/>
  <c r="U7" i="17"/>
  <c r="U8" i="17"/>
  <c r="U10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6" i="17"/>
  <c r="H7" i="17"/>
  <c r="I7" i="17"/>
  <c r="J7" i="17"/>
  <c r="L7" i="17"/>
  <c r="N7" i="17"/>
  <c r="O7" i="17"/>
  <c r="P7" i="17"/>
  <c r="Q7" i="17"/>
  <c r="R7" i="17"/>
  <c r="S7" i="17"/>
  <c r="T7" i="17"/>
  <c r="V7" i="17"/>
  <c r="H8" i="17"/>
  <c r="I8" i="17"/>
  <c r="J8" i="17"/>
  <c r="L8" i="17"/>
  <c r="N8" i="17"/>
  <c r="O8" i="17"/>
  <c r="P8" i="17"/>
  <c r="Q8" i="17"/>
  <c r="R8" i="17"/>
  <c r="S8" i="17"/>
  <c r="T8" i="17"/>
  <c r="V8" i="17"/>
  <c r="N10" i="17"/>
  <c r="O10" i="17"/>
  <c r="P10" i="17"/>
  <c r="Q10" i="17"/>
  <c r="R10" i="17"/>
  <c r="S10" i="17"/>
  <c r="T10" i="17"/>
  <c r="V10" i="17"/>
  <c r="H13" i="17"/>
  <c r="I13" i="17"/>
  <c r="J13" i="17"/>
  <c r="L13" i="17"/>
  <c r="N13" i="17"/>
  <c r="O13" i="17"/>
  <c r="P13" i="17"/>
  <c r="Q13" i="17"/>
  <c r="R13" i="17"/>
  <c r="S13" i="17"/>
  <c r="T13" i="17"/>
  <c r="V13" i="17"/>
  <c r="H14" i="17"/>
  <c r="I14" i="17"/>
  <c r="J14" i="17"/>
  <c r="L14" i="17"/>
  <c r="N14" i="17"/>
  <c r="O14" i="17"/>
  <c r="P14" i="17"/>
  <c r="Q14" i="17"/>
  <c r="R14" i="17"/>
  <c r="S14" i="17"/>
  <c r="T14" i="17"/>
  <c r="V14" i="17"/>
  <c r="H15" i="17"/>
  <c r="I15" i="17"/>
  <c r="J15" i="17"/>
  <c r="L15" i="17"/>
  <c r="N15" i="17"/>
  <c r="O15" i="17"/>
  <c r="P15" i="17"/>
  <c r="Q15" i="17"/>
  <c r="R15" i="17"/>
  <c r="S15" i="17"/>
  <c r="T15" i="17"/>
  <c r="V15" i="17"/>
  <c r="H16" i="17"/>
  <c r="I16" i="17"/>
  <c r="J16" i="17"/>
  <c r="L16" i="17"/>
  <c r="N16" i="17"/>
  <c r="O16" i="17"/>
  <c r="P16" i="17"/>
  <c r="Q16" i="17"/>
  <c r="R16" i="17"/>
  <c r="S16" i="17"/>
  <c r="T16" i="17"/>
  <c r="V16" i="17"/>
  <c r="H17" i="17"/>
  <c r="I17" i="17"/>
  <c r="J17" i="17"/>
  <c r="L17" i="17"/>
  <c r="N17" i="17"/>
  <c r="O17" i="17"/>
  <c r="P17" i="17"/>
  <c r="Q17" i="17"/>
  <c r="R17" i="17"/>
  <c r="S17" i="17"/>
  <c r="T17" i="17"/>
  <c r="V17" i="17"/>
  <c r="H18" i="17"/>
  <c r="I18" i="17"/>
  <c r="J18" i="17"/>
  <c r="L18" i="17"/>
  <c r="N18" i="17"/>
  <c r="O18" i="17"/>
  <c r="P18" i="17"/>
  <c r="Q18" i="17"/>
  <c r="R18" i="17"/>
  <c r="S18" i="17"/>
  <c r="T18" i="17"/>
  <c r="V18" i="17"/>
  <c r="H19" i="17"/>
  <c r="I19" i="17"/>
  <c r="J19" i="17"/>
  <c r="L19" i="17"/>
  <c r="N19" i="17"/>
  <c r="O19" i="17"/>
  <c r="P19" i="17"/>
  <c r="Q19" i="17"/>
  <c r="R19" i="17"/>
  <c r="S19" i="17"/>
  <c r="T19" i="17"/>
  <c r="V19" i="17"/>
  <c r="H20" i="17"/>
  <c r="I20" i="17"/>
  <c r="J20" i="17"/>
  <c r="L20" i="17"/>
  <c r="N20" i="17"/>
  <c r="O20" i="17"/>
  <c r="P20" i="17"/>
  <c r="Q20" i="17"/>
  <c r="R20" i="17"/>
  <c r="S20" i="17"/>
  <c r="T20" i="17"/>
  <c r="V20" i="17"/>
  <c r="H21" i="17"/>
  <c r="I21" i="17"/>
  <c r="J21" i="17"/>
  <c r="L21" i="17"/>
  <c r="N21" i="17"/>
  <c r="O21" i="17"/>
  <c r="P21" i="17"/>
  <c r="Q21" i="17"/>
  <c r="R21" i="17"/>
  <c r="S21" i="17"/>
  <c r="T21" i="17"/>
  <c r="V21" i="17"/>
  <c r="H22" i="17"/>
  <c r="I22" i="17"/>
  <c r="J22" i="17"/>
  <c r="L22" i="17"/>
  <c r="N22" i="17"/>
  <c r="O22" i="17"/>
  <c r="P22" i="17"/>
  <c r="Q22" i="17"/>
  <c r="R22" i="17"/>
  <c r="S22" i="17"/>
  <c r="T22" i="17"/>
  <c r="V22" i="17"/>
  <c r="H23" i="17"/>
  <c r="I23" i="17"/>
  <c r="J23" i="17"/>
  <c r="L23" i="17"/>
  <c r="N23" i="17"/>
  <c r="O23" i="17"/>
  <c r="P23" i="17"/>
  <c r="Q23" i="17"/>
  <c r="R23" i="17"/>
  <c r="S23" i="17"/>
  <c r="T23" i="17"/>
  <c r="V23" i="17"/>
  <c r="H24" i="17"/>
  <c r="I24" i="17"/>
  <c r="J24" i="17"/>
  <c r="L24" i="17"/>
  <c r="N24" i="17"/>
  <c r="O24" i="17"/>
  <c r="P24" i="17"/>
  <c r="Q24" i="17"/>
  <c r="R24" i="17"/>
  <c r="S24" i="17"/>
  <c r="T24" i="17"/>
  <c r="V24" i="17"/>
  <c r="H25" i="17"/>
  <c r="I25" i="17"/>
  <c r="J25" i="17"/>
  <c r="L25" i="17"/>
  <c r="N25" i="17"/>
  <c r="O25" i="17"/>
  <c r="P25" i="17"/>
  <c r="Q25" i="17"/>
  <c r="R25" i="17"/>
  <c r="S25" i="17"/>
  <c r="T25" i="17"/>
  <c r="V25" i="17"/>
  <c r="H26" i="17"/>
  <c r="I26" i="17"/>
  <c r="J26" i="17"/>
  <c r="L26" i="17"/>
  <c r="N26" i="17"/>
  <c r="O26" i="17"/>
  <c r="P26" i="17"/>
  <c r="Q26" i="17"/>
  <c r="R26" i="17"/>
  <c r="S26" i="17"/>
  <c r="T26" i="17"/>
  <c r="V26" i="17"/>
  <c r="H27" i="17"/>
  <c r="I27" i="17"/>
  <c r="J27" i="17"/>
  <c r="L27" i="17"/>
  <c r="N27" i="17"/>
  <c r="O27" i="17"/>
  <c r="P27" i="17"/>
  <c r="Q27" i="17"/>
  <c r="R27" i="17"/>
  <c r="S27" i="17"/>
  <c r="T27" i="17"/>
  <c r="V27" i="17"/>
  <c r="N28" i="17"/>
  <c r="O28" i="17"/>
  <c r="P28" i="17"/>
  <c r="Q28" i="17"/>
  <c r="R28" i="17"/>
  <c r="S28" i="17"/>
  <c r="T28" i="17"/>
  <c r="V28" i="17"/>
  <c r="H29" i="17"/>
  <c r="I29" i="17"/>
  <c r="J29" i="17"/>
  <c r="L29" i="17"/>
  <c r="N29" i="17"/>
  <c r="O29" i="17"/>
  <c r="P29" i="17"/>
  <c r="Q29" i="17"/>
  <c r="R29" i="17"/>
  <c r="S29" i="17"/>
  <c r="T29" i="17"/>
  <c r="V29" i="17"/>
  <c r="H30" i="17"/>
  <c r="I30" i="17"/>
  <c r="J30" i="17"/>
  <c r="L30" i="17"/>
  <c r="N30" i="17"/>
  <c r="O30" i="17"/>
  <c r="P30" i="17"/>
  <c r="Q30" i="17"/>
  <c r="R30" i="17"/>
  <c r="S30" i="17"/>
  <c r="T30" i="17"/>
  <c r="V30" i="17"/>
  <c r="H31" i="17"/>
  <c r="I31" i="17"/>
  <c r="J31" i="17"/>
  <c r="L31" i="17"/>
  <c r="N31" i="17"/>
  <c r="O31" i="17"/>
  <c r="P31" i="17"/>
  <c r="Q31" i="17"/>
  <c r="R31" i="17"/>
  <c r="S31" i="17"/>
  <c r="T31" i="17"/>
  <c r="V31" i="17"/>
  <c r="H32" i="17"/>
  <c r="I32" i="17"/>
  <c r="J32" i="17"/>
  <c r="L32" i="17"/>
  <c r="N32" i="17"/>
  <c r="O32" i="17"/>
  <c r="P32" i="17"/>
  <c r="Q32" i="17"/>
  <c r="R32" i="17"/>
  <c r="S32" i="17"/>
  <c r="T32" i="17"/>
  <c r="V32" i="17"/>
  <c r="H33" i="17"/>
  <c r="I33" i="17"/>
  <c r="J33" i="17"/>
  <c r="L33" i="17"/>
  <c r="N33" i="17"/>
  <c r="O33" i="17"/>
  <c r="P33" i="17"/>
  <c r="Q33" i="17"/>
  <c r="R33" i="17"/>
  <c r="S33" i="17"/>
  <c r="T33" i="17"/>
  <c r="V33" i="17"/>
  <c r="H34" i="17"/>
  <c r="I34" i="17"/>
  <c r="J34" i="17"/>
  <c r="L34" i="17"/>
  <c r="N34" i="17"/>
  <c r="O34" i="17"/>
  <c r="P34" i="17"/>
  <c r="Q34" i="17"/>
  <c r="R34" i="17"/>
  <c r="S34" i="17"/>
  <c r="T34" i="17"/>
  <c r="V34" i="17"/>
  <c r="H35" i="17"/>
  <c r="I35" i="17"/>
  <c r="J35" i="17"/>
  <c r="L35" i="17"/>
  <c r="N35" i="17"/>
  <c r="O35" i="17"/>
  <c r="P35" i="17"/>
  <c r="Q35" i="17"/>
  <c r="R35" i="17"/>
  <c r="S35" i="17"/>
  <c r="T35" i="17"/>
  <c r="V35" i="17"/>
  <c r="H36" i="17"/>
  <c r="I36" i="17"/>
  <c r="J36" i="17"/>
  <c r="L36" i="17"/>
  <c r="N36" i="17"/>
  <c r="O36" i="17"/>
  <c r="P36" i="17"/>
  <c r="Q36" i="17"/>
  <c r="R36" i="17"/>
  <c r="S36" i="17"/>
  <c r="T36" i="17"/>
  <c r="V36" i="17"/>
  <c r="H37" i="17"/>
  <c r="I37" i="17"/>
  <c r="J37" i="17"/>
  <c r="L37" i="17"/>
  <c r="N37" i="17"/>
  <c r="O37" i="17"/>
  <c r="P37" i="17"/>
  <c r="Q37" i="17"/>
  <c r="R37" i="17"/>
  <c r="S37" i="17"/>
  <c r="T37" i="17"/>
  <c r="V37" i="17"/>
  <c r="H38" i="17"/>
  <c r="I38" i="17"/>
  <c r="J38" i="17"/>
  <c r="L38" i="17"/>
  <c r="N38" i="17"/>
  <c r="O38" i="17"/>
  <c r="P38" i="17"/>
  <c r="Q38" i="17"/>
  <c r="R38" i="17"/>
  <c r="S38" i="17"/>
  <c r="T38" i="17"/>
  <c r="V38" i="17"/>
  <c r="H39" i="17"/>
  <c r="I39" i="17"/>
  <c r="J39" i="17"/>
  <c r="L39" i="17"/>
  <c r="N39" i="17"/>
  <c r="O39" i="17"/>
  <c r="P39" i="17"/>
  <c r="Q39" i="17"/>
  <c r="R39" i="17"/>
  <c r="S39" i="17"/>
  <c r="T39" i="17"/>
  <c r="V39" i="17"/>
  <c r="H40" i="17"/>
  <c r="I40" i="17"/>
  <c r="J40" i="17"/>
  <c r="L40" i="17"/>
  <c r="N40" i="17"/>
  <c r="O40" i="17"/>
  <c r="P40" i="17"/>
  <c r="Q40" i="17"/>
  <c r="R40" i="17"/>
  <c r="S40" i="17"/>
  <c r="T40" i="17"/>
  <c r="V40" i="17"/>
  <c r="H41" i="17"/>
  <c r="I41" i="17"/>
  <c r="J41" i="17"/>
  <c r="L41" i="17"/>
  <c r="N41" i="17"/>
  <c r="O41" i="17"/>
  <c r="P41" i="17"/>
  <c r="Q41" i="17"/>
  <c r="R41" i="17"/>
  <c r="S41" i="17"/>
  <c r="T41" i="17"/>
  <c r="V41" i="17"/>
  <c r="H42" i="17"/>
  <c r="I42" i="17"/>
  <c r="J42" i="17"/>
  <c r="L42" i="17"/>
  <c r="N42" i="17"/>
  <c r="O42" i="17"/>
  <c r="P42" i="17"/>
  <c r="Q42" i="17"/>
  <c r="R42" i="17"/>
  <c r="S42" i="17"/>
  <c r="T42" i="17"/>
  <c r="V42" i="17"/>
  <c r="H43" i="17"/>
  <c r="I43" i="17"/>
  <c r="J43" i="17"/>
  <c r="L43" i="17"/>
  <c r="N43" i="17"/>
  <c r="O43" i="17"/>
  <c r="P43" i="17"/>
  <c r="Q43" i="17"/>
  <c r="R43" i="17"/>
  <c r="S43" i="17"/>
  <c r="T43" i="17"/>
  <c r="V43" i="17"/>
  <c r="H44" i="17"/>
  <c r="I44" i="17"/>
  <c r="J44" i="17"/>
  <c r="L44" i="17"/>
  <c r="N44" i="17"/>
  <c r="O44" i="17"/>
  <c r="P44" i="17"/>
  <c r="Q44" i="17"/>
  <c r="R44" i="17"/>
  <c r="S44" i="17"/>
  <c r="T44" i="17"/>
  <c r="V44" i="17"/>
  <c r="H45" i="17"/>
  <c r="I45" i="17"/>
  <c r="J45" i="17"/>
  <c r="L45" i="17"/>
  <c r="N45" i="17"/>
  <c r="O45" i="17"/>
  <c r="P45" i="17"/>
  <c r="Q45" i="17"/>
  <c r="R45" i="17"/>
  <c r="S45" i="17"/>
  <c r="T45" i="17"/>
  <c r="V45" i="17"/>
  <c r="H46" i="17"/>
  <c r="I46" i="17"/>
  <c r="J46" i="17"/>
  <c r="L46" i="17"/>
  <c r="N46" i="17"/>
  <c r="O46" i="17"/>
  <c r="P46" i="17"/>
  <c r="Q46" i="17"/>
  <c r="R46" i="17"/>
  <c r="S46" i="17"/>
  <c r="T46" i="17"/>
  <c r="V46" i="17"/>
  <c r="H47" i="17"/>
  <c r="I47" i="17"/>
  <c r="J47" i="17"/>
  <c r="L47" i="17"/>
  <c r="N47" i="17"/>
  <c r="O47" i="17"/>
  <c r="P47" i="17"/>
  <c r="Q47" i="17"/>
  <c r="R47" i="17"/>
  <c r="S47" i="17"/>
  <c r="T47" i="17"/>
  <c r="V47" i="17"/>
  <c r="H48" i="17"/>
  <c r="I48" i="17"/>
  <c r="J48" i="17"/>
  <c r="L48" i="17"/>
  <c r="N48" i="17"/>
  <c r="O48" i="17"/>
  <c r="P48" i="17"/>
  <c r="Q48" i="17"/>
  <c r="R48" i="17"/>
  <c r="S48" i="17"/>
  <c r="T48" i="17"/>
  <c r="V48" i="17"/>
  <c r="H49" i="17"/>
  <c r="I49" i="17"/>
  <c r="J49" i="17"/>
  <c r="L49" i="17"/>
  <c r="N49" i="17"/>
  <c r="O49" i="17"/>
  <c r="P49" i="17"/>
  <c r="Q49" i="17"/>
  <c r="R49" i="17"/>
  <c r="S49" i="17"/>
  <c r="T49" i="17"/>
  <c r="V49" i="17"/>
  <c r="H50" i="17"/>
  <c r="I50" i="17"/>
  <c r="J50" i="17"/>
  <c r="L50" i="17"/>
  <c r="N50" i="17"/>
  <c r="O50" i="17"/>
  <c r="P50" i="17"/>
  <c r="Q50" i="17"/>
  <c r="R50" i="17"/>
  <c r="S50" i="17"/>
  <c r="T50" i="17"/>
  <c r="V50" i="17"/>
  <c r="H51" i="17"/>
  <c r="I51" i="17"/>
  <c r="J51" i="17"/>
  <c r="L51" i="17"/>
  <c r="N51" i="17"/>
  <c r="O51" i="17"/>
  <c r="P51" i="17"/>
  <c r="Q51" i="17"/>
  <c r="R51" i="17"/>
  <c r="S51" i="17"/>
  <c r="T51" i="17"/>
  <c r="V51" i="17"/>
  <c r="H52" i="17"/>
  <c r="I52" i="17"/>
  <c r="J52" i="17"/>
  <c r="L52" i="17"/>
  <c r="N52" i="17"/>
  <c r="O52" i="17"/>
  <c r="P52" i="17"/>
  <c r="Q52" i="17"/>
  <c r="R52" i="17"/>
  <c r="S52" i="17"/>
  <c r="T52" i="17"/>
  <c r="V52" i="17"/>
  <c r="H53" i="17"/>
  <c r="I53" i="17"/>
  <c r="J53" i="17"/>
  <c r="L53" i="17"/>
  <c r="N53" i="17"/>
  <c r="O53" i="17"/>
  <c r="P53" i="17"/>
  <c r="Q53" i="17"/>
  <c r="R53" i="17"/>
  <c r="S53" i="17"/>
  <c r="T53" i="17"/>
  <c r="V53" i="17"/>
  <c r="H54" i="17"/>
  <c r="I54" i="17"/>
  <c r="J54" i="17"/>
  <c r="L54" i="17"/>
  <c r="N54" i="17"/>
  <c r="O54" i="17"/>
  <c r="P54" i="17"/>
  <c r="Q54" i="17"/>
  <c r="R54" i="17"/>
  <c r="S54" i="17"/>
  <c r="T54" i="17"/>
  <c r="V54" i="17"/>
  <c r="H55" i="17"/>
  <c r="I55" i="17"/>
  <c r="J55" i="17"/>
  <c r="L55" i="17"/>
  <c r="N55" i="17"/>
  <c r="O55" i="17"/>
  <c r="P55" i="17"/>
  <c r="Q55" i="17"/>
  <c r="R55" i="17"/>
  <c r="S55" i="17"/>
  <c r="T55" i="17"/>
  <c r="V55" i="17"/>
  <c r="H56" i="17"/>
  <c r="I56" i="17"/>
  <c r="J56" i="17"/>
  <c r="L56" i="17"/>
  <c r="N56" i="17"/>
  <c r="O56" i="17"/>
  <c r="P56" i="17"/>
  <c r="Q56" i="17"/>
  <c r="R56" i="17"/>
  <c r="S56" i="17"/>
  <c r="T56" i="17"/>
  <c r="V56" i="17"/>
  <c r="H57" i="17"/>
  <c r="I57" i="17"/>
  <c r="J57" i="17"/>
  <c r="L57" i="17"/>
  <c r="N57" i="17"/>
  <c r="O57" i="17"/>
  <c r="P57" i="17"/>
  <c r="Q57" i="17"/>
  <c r="R57" i="17"/>
  <c r="S57" i="17"/>
  <c r="T57" i="17"/>
  <c r="V57" i="17"/>
  <c r="H58" i="17"/>
  <c r="I58" i="17"/>
  <c r="J58" i="17"/>
  <c r="L58" i="17"/>
  <c r="N58" i="17"/>
  <c r="O58" i="17"/>
  <c r="P58" i="17"/>
  <c r="Q58" i="17"/>
  <c r="R58" i="17"/>
  <c r="S58" i="17"/>
  <c r="T58" i="17"/>
  <c r="V58" i="17"/>
  <c r="H59" i="17"/>
  <c r="I59" i="17"/>
  <c r="J59" i="17"/>
  <c r="L59" i="17"/>
  <c r="N59" i="17"/>
  <c r="O59" i="17"/>
  <c r="P59" i="17"/>
  <c r="Q59" i="17"/>
  <c r="R59" i="17"/>
  <c r="S59" i="17"/>
  <c r="T59" i="17"/>
  <c r="V59" i="17"/>
  <c r="H60" i="17"/>
  <c r="I60" i="17"/>
  <c r="J60" i="17"/>
  <c r="L60" i="17"/>
  <c r="N60" i="17"/>
  <c r="O60" i="17"/>
  <c r="P60" i="17"/>
  <c r="Q60" i="17"/>
  <c r="R60" i="17"/>
  <c r="S60" i="17"/>
  <c r="T60" i="17"/>
  <c r="V60" i="17"/>
  <c r="H61" i="17"/>
  <c r="I61" i="17"/>
  <c r="J61" i="17"/>
  <c r="L61" i="17"/>
  <c r="N61" i="17"/>
  <c r="O61" i="17"/>
  <c r="P61" i="17"/>
  <c r="Q61" i="17"/>
  <c r="R61" i="17"/>
  <c r="S61" i="17"/>
  <c r="T61" i="17"/>
  <c r="V61" i="17"/>
  <c r="H62" i="17"/>
  <c r="I62" i="17"/>
  <c r="J62" i="17"/>
  <c r="L62" i="17"/>
  <c r="N62" i="17"/>
  <c r="O62" i="17"/>
  <c r="P62" i="17"/>
  <c r="Q62" i="17"/>
  <c r="R62" i="17"/>
  <c r="S62" i="17"/>
  <c r="T62" i="17"/>
  <c r="V62" i="17"/>
  <c r="H63" i="17"/>
  <c r="I63" i="17"/>
  <c r="J63" i="17"/>
  <c r="L63" i="17"/>
  <c r="N63" i="17"/>
  <c r="O63" i="17"/>
  <c r="P63" i="17"/>
  <c r="Q63" i="17"/>
  <c r="R63" i="17"/>
  <c r="S63" i="17"/>
  <c r="T63" i="17"/>
  <c r="V63" i="17"/>
  <c r="H64" i="17"/>
  <c r="I64" i="17"/>
  <c r="J64" i="17"/>
  <c r="L64" i="17"/>
  <c r="N64" i="17"/>
  <c r="O64" i="17"/>
  <c r="P64" i="17"/>
  <c r="Q64" i="17"/>
  <c r="R64" i="17"/>
  <c r="S64" i="17"/>
  <c r="T64" i="17"/>
  <c r="V64" i="17"/>
  <c r="H65" i="17"/>
  <c r="I65" i="17"/>
  <c r="J65" i="17"/>
  <c r="L65" i="17"/>
  <c r="N65" i="17"/>
  <c r="O65" i="17"/>
  <c r="P65" i="17"/>
  <c r="Q65" i="17"/>
  <c r="R65" i="17"/>
  <c r="S65" i="17"/>
  <c r="T65" i="17"/>
  <c r="V65" i="17"/>
  <c r="H66" i="17"/>
  <c r="I66" i="17"/>
  <c r="J66" i="17"/>
  <c r="L66" i="17"/>
  <c r="N66" i="17"/>
  <c r="O66" i="17"/>
  <c r="P66" i="17"/>
  <c r="Q66" i="17"/>
  <c r="R66" i="17"/>
  <c r="S66" i="17"/>
  <c r="T66" i="17"/>
  <c r="V66" i="17"/>
  <c r="H67" i="17"/>
  <c r="I67" i="17"/>
  <c r="J67" i="17"/>
  <c r="L67" i="17"/>
  <c r="N67" i="17"/>
  <c r="O67" i="17"/>
  <c r="P67" i="17"/>
  <c r="Q67" i="17"/>
  <c r="R67" i="17"/>
  <c r="S67" i="17"/>
  <c r="T67" i="17"/>
  <c r="V67" i="17"/>
  <c r="H68" i="17"/>
  <c r="I68" i="17"/>
  <c r="J68" i="17"/>
  <c r="L68" i="17"/>
  <c r="N68" i="17"/>
  <c r="O68" i="17"/>
  <c r="P68" i="17"/>
  <c r="Q68" i="17"/>
  <c r="R68" i="17"/>
  <c r="S68" i="17"/>
  <c r="T68" i="17"/>
  <c r="V68" i="17"/>
  <c r="H69" i="17"/>
  <c r="I69" i="17"/>
  <c r="J69" i="17"/>
  <c r="L69" i="17"/>
  <c r="N69" i="17"/>
  <c r="O69" i="17"/>
  <c r="P69" i="17"/>
  <c r="Q69" i="17"/>
  <c r="R69" i="17"/>
  <c r="S69" i="17"/>
  <c r="T69" i="17"/>
  <c r="V69" i="17"/>
  <c r="H70" i="17"/>
  <c r="I70" i="17"/>
  <c r="J70" i="17"/>
  <c r="L70" i="17"/>
  <c r="N70" i="17"/>
  <c r="O70" i="17"/>
  <c r="P70" i="17"/>
  <c r="Q70" i="17"/>
  <c r="R70" i="17"/>
  <c r="S70" i="17"/>
  <c r="T70" i="17"/>
  <c r="V70" i="17"/>
  <c r="H71" i="17"/>
  <c r="I71" i="17"/>
  <c r="J71" i="17"/>
  <c r="L71" i="17"/>
  <c r="N71" i="17"/>
  <c r="O71" i="17"/>
  <c r="P71" i="17"/>
  <c r="Q71" i="17"/>
  <c r="R71" i="17"/>
  <c r="S71" i="17"/>
  <c r="T71" i="17"/>
  <c r="V71" i="17"/>
  <c r="H72" i="17"/>
  <c r="I72" i="17"/>
  <c r="J72" i="17"/>
  <c r="L72" i="17"/>
  <c r="N72" i="17"/>
  <c r="O72" i="17"/>
  <c r="P72" i="17"/>
  <c r="Q72" i="17"/>
  <c r="R72" i="17"/>
  <c r="S72" i="17"/>
  <c r="T72" i="17"/>
  <c r="V72" i="17"/>
  <c r="G6" i="17"/>
  <c r="V6" i="17"/>
  <c r="T6" i="17"/>
  <c r="S6" i="17"/>
  <c r="R6" i="17"/>
  <c r="Q6" i="17"/>
  <c r="P6" i="17"/>
  <c r="O6" i="17"/>
  <c r="N6" i="17"/>
  <c r="L6" i="17"/>
  <c r="J6" i="17"/>
  <c r="I6" i="17"/>
  <c r="H6" i="17"/>
  <c r="O9" i="3"/>
  <c r="P9" i="3" s="1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K2" i="15"/>
  <c r="K3" i="15"/>
  <c r="K4" i="15"/>
  <c r="K5" i="15"/>
  <c r="K6" i="15"/>
  <c r="K7" i="15"/>
  <c r="K8" i="15"/>
  <c r="K9" i="15"/>
  <c r="K10" i="15"/>
  <c r="K11" i="15"/>
  <c r="K12" i="15"/>
  <c r="K13" i="15"/>
  <c r="K14" i="15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2" i="14"/>
  <c r="G810" i="11"/>
  <c r="G809" i="11"/>
  <c r="I808" i="11"/>
  <c r="G808" i="11"/>
  <c r="I807" i="11"/>
  <c r="G807" i="11"/>
  <c r="I806" i="11"/>
  <c r="G806" i="11"/>
  <c r="G805" i="11"/>
  <c r="G804" i="11"/>
  <c r="G803" i="11"/>
  <c r="G802" i="11"/>
  <c r="G801" i="11"/>
  <c r="I800" i="11"/>
  <c r="G800" i="11"/>
  <c r="I799" i="11"/>
  <c r="G799" i="11"/>
  <c r="I798" i="11"/>
  <c r="G798" i="11"/>
  <c r="I797" i="11"/>
  <c r="G797" i="11"/>
  <c r="G796" i="11"/>
  <c r="G795" i="11"/>
  <c r="G794" i="11"/>
  <c r="G793" i="11"/>
  <c r="G792" i="11"/>
  <c r="G791" i="11"/>
  <c r="G790" i="11"/>
  <c r="G789" i="11"/>
  <c r="G788" i="11"/>
  <c r="G787" i="11"/>
  <c r="G786" i="11"/>
  <c r="G785" i="11"/>
  <c r="G784" i="11"/>
  <c r="G783" i="11"/>
  <c r="G782" i="11"/>
  <c r="G781" i="11"/>
  <c r="G780" i="11"/>
  <c r="G779" i="11"/>
  <c r="G778" i="11"/>
  <c r="G777" i="11"/>
  <c r="G776" i="11"/>
  <c r="G775" i="11"/>
  <c r="G774" i="11"/>
  <c r="G773" i="11"/>
  <c r="G772" i="11"/>
  <c r="G771" i="11"/>
  <c r="G770" i="11"/>
  <c r="G769" i="11"/>
  <c r="I768" i="11"/>
  <c r="G768" i="11"/>
  <c r="G767" i="11"/>
  <c r="I766" i="11"/>
  <c r="G766" i="11"/>
  <c r="G765" i="11"/>
  <c r="I764" i="11"/>
  <c r="G764" i="11"/>
  <c r="G763" i="11"/>
  <c r="I762" i="11"/>
  <c r="G762" i="11"/>
  <c r="G761" i="11"/>
  <c r="I760" i="11"/>
  <c r="G760" i="11"/>
  <c r="G759" i="11"/>
  <c r="G758" i="11"/>
  <c r="I757" i="11"/>
  <c r="G757" i="11"/>
  <c r="I756" i="11"/>
  <c r="G756" i="11"/>
  <c r="G755" i="11"/>
  <c r="G754" i="11"/>
  <c r="G753" i="11"/>
  <c r="G752" i="11"/>
  <c r="G751" i="11"/>
  <c r="G750" i="11"/>
  <c r="G749" i="11"/>
  <c r="G748" i="11"/>
  <c r="G747" i="11"/>
  <c r="G746" i="11"/>
  <c r="G745" i="11"/>
  <c r="I744" i="11"/>
  <c r="G744" i="11"/>
  <c r="G743" i="11"/>
  <c r="I742" i="11"/>
  <c r="G742" i="11"/>
  <c r="G741" i="11"/>
  <c r="I740" i="11"/>
  <c r="G740" i="11"/>
  <c r="G739" i="11"/>
  <c r="G738" i="11"/>
  <c r="I737" i="11"/>
  <c r="G737" i="11"/>
  <c r="G736" i="11"/>
  <c r="I735" i="11"/>
  <c r="G735" i="11"/>
  <c r="G734" i="11"/>
  <c r="I733" i="11"/>
  <c r="G733" i="11"/>
  <c r="G732" i="11"/>
  <c r="G731" i="11"/>
  <c r="G730" i="11"/>
  <c r="G729" i="11"/>
  <c r="G728" i="11"/>
  <c r="G727" i="11"/>
  <c r="G726" i="11"/>
  <c r="G725" i="11"/>
  <c r="G724" i="11"/>
  <c r="G723" i="11"/>
  <c r="G722" i="11"/>
  <c r="G721" i="11"/>
  <c r="G720" i="11"/>
  <c r="G719" i="11"/>
  <c r="G718" i="11"/>
  <c r="G717" i="11"/>
  <c r="G716" i="11"/>
  <c r="G715" i="11"/>
  <c r="G714" i="11"/>
  <c r="G713" i="11"/>
  <c r="G712" i="11"/>
  <c r="G711" i="11"/>
  <c r="G710" i="11"/>
  <c r="G709" i="11"/>
  <c r="G708" i="11"/>
  <c r="G707" i="11"/>
  <c r="G706" i="11"/>
  <c r="G705" i="11"/>
  <c r="G704" i="11"/>
  <c r="G703" i="11"/>
  <c r="G702" i="11"/>
  <c r="G701" i="11"/>
  <c r="G700" i="11"/>
  <c r="G699" i="11"/>
  <c r="G698" i="11"/>
  <c r="G697" i="11"/>
  <c r="G696" i="11"/>
  <c r="G695" i="11"/>
  <c r="G694" i="11"/>
  <c r="G693" i="11"/>
  <c r="G692" i="11"/>
  <c r="G691" i="11"/>
  <c r="G690" i="11"/>
  <c r="G689" i="11"/>
  <c r="G688" i="11"/>
  <c r="G687" i="11"/>
  <c r="G686" i="11"/>
  <c r="G685" i="11"/>
  <c r="G684" i="11"/>
  <c r="G683" i="11"/>
  <c r="G682" i="11"/>
  <c r="G681" i="11"/>
  <c r="G680" i="11"/>
  <c r="G679" i="11"/>
  <c r="G678" i="11"/>
  <c r="G677" i="11"/>
  <c r="G676" i="11"/>
  <c r="G675" i="11"/>
  <c r="G674" i="11"/>
  <c r="G673" i="11"/>
  <c r="I672" i="11"/>
  <c r="G672" i="11"/>
  <c r="I671" i="11"/>
  <c r="G671" i="11"/>
  <c r="I670" i="11"/>
  <c r="G670" i="11"/>
  <c r="I669" i="11"/>
  <c r="G669" i="11"/>
  <c r="I668" i="11"/>
  <c r="G668" i="11"/>
  <c r="G667" i="11"/>
  <c r="G666" i="11"/>
  <c r="G665" i="11"/>
  <c r="G664" i="11"/>
  <c r="G663" i="11"/>
  <c r="G662" i="11"/>
  <c r="G661" i="11"/>
  <c r="G660" i="11"/>
  <c r="G659" i="11"/>
  <c r="I658" i="11"/>
  <c r="G658" i="11"/>
  <c r="I657" i="11"/>
  <c r="G657" i="11"/>
  <c r="G656" i="11"/>
  <c r="I655" i="11"/>
  <c r="G655" i="11"/>
  <c r="G654" i="11"/>
  <c r="G653" i="11"/>
  <c r="G652" i="11"/>
  <c r="G651" i="11"/>
  <c r="G650" i="11"/>
  <c r="G649" i="11"/>
  <c r="I648" i="11"/>
  <c r="G648" i="11"/>
  <c r="I647" i="11"/>
  <c r="G647" i="11"/>
  <c r="I646" i="11"/>
  <c r="G646" i="11"/>
  <c r="G645" i="11"/>
  <c r="G644" i="11"/>
  <c r="I643" i="11"/>
  <c r="G643" i="11"/>
  <c r="I642" i="11"/>
  <c r="G642" i="11"/>
  <c r="I641" i="11"/>
  <c r="G641" i="11"/>
  <c r="I640" i="11"/>
  <c r="G640" i="11"/>
  <c r="G639" i="11"/>
  <c r="G638" i="11"/>
  <c r="G637" i="11"/>
  <c r="G636" i="11"/>
  <c r="G635" i="11"/>
  <c r="G634" i="11"/>
  <c r="G633" i="11"/>
  <c r="G632" i="11"/>
  <c r="G631" i="11"/>
  <c r="G630" i="11"/>
  <c r="G629" i="11"/>
  <c r="G628" i="11"/>
  <c r="I627" i="11"/>
  <c r="G627" i="11"/>
  <c r="I626" i="11"/>
  <c r="G626" i="11"/>
  <c r="I625" i="11"/>
  <c r="G625" i="11"/>
  <c r="I624" i="11"/>
  <c r="G624" i="11"/>
  <c r="I623" i="11"/>
  <c r="G623" i="11"/>
  <c r="G622" i="11"/>
  <c r="G621" i="11"/>
  <c r="G620" i="11"/>
  <c r="G619" i="11"/>
  <c r="G618" i="11"/>
  <c r="G617" i="11"/>
  <c r="G616" i="11"/>
  <c r="G615" i="11"/>
  <c r="G614" i="11"/>
  <c r="I613" i="11"/>
  <c r="G613" i="11"/>
  <c r="I612" i="11"/>
  <c r="G612" i="11"/>
  <c r="I611" i="11"/>
  <c r="G611" i="11"/>
  <c r="I610" i="11"/>
  <c r="G610" i="11"/>
  <c r="I609" i="11"/>
  <c r="G609" i="11"/>
  <c r="I608" i="11"/>
  <c r="G608" i="11"/>
  <c r="G607" i="11"/>
  <c r="G606" i="11"/>
  <c r="I605" i="11"/>
  <c r="G605" i="11"/>
  <c r="I604" i="11"/>
  <c r="G604" i="11"/>
  <c r="G603" i="11"/>
  <c r="G602" i="11"/>
  <c r="G601" i="11"/>
  <c r="G600" i="11"/>
  <c r="G599" i="11"/>
  <c r="G598" i="11"/>
  <c r="G597" i="11"/>
  <c r="G596" i="11"/>
  <c r="G595" i="11"/>
  <c r="G594" i="11"/>
  <c r="G593" i="11"/>
  <c r="G592" i="11"/>
  <c r="G591" i="11"/>
  <c r="G590" i="11"/>
  <c r="G589" i="11"/>
  <c r="G588" i="11"/>
  <c r="G587" i="11"/>
  <c r="G586" i="11"/>
  <c r="G585" i="11"/>
  <c r="G584" i="11"/>
  <c r="G583" i="11"/>
  <c r="I582" i="11"/>
  <c r="G582" i="11"/>
  <c r="G581" i="11"/>
  <c r="G580" i="11"/>
  <c r="I579" i="11"/>
  <c r="G579" i="11"/>
  <c r="G578" i="11"/>
  <c r="G577" i="11"/>
  <c r="I576" i="11"/>
  <c r="G576" i="11"/>
  <c r="G575" i="11"/>
  <c r="G574" i="11"/>
  <c r="I573" i="11"/>
  <c r="G573" i="11"/>
  <c r="G572" i="11"/>
  <c r="G571" i="11"/>
  <c r="I570" i="11"/>
  <c r="G570" i="11"/>
  <c r="I569" i="11"/>
  <c r="G569" i="11"/>
  <c r="G568" i="11"/>
  <c r="G567" i="11"/>
  <c r="I566" i="11"/>
  <c r="G566" i="11"/>
  <c r="I565" i="11"/>
  <c r="G565" i="11"/>
  <c r="G564" i="11"/>
  <c r="G563" i="11"/>
  <c r="I562" i="11"/>
  <c r="G562" i="11"/>
  <c r="G561" i="11"/>
  <c r="G560" i="11"/>
  <c r="G559" i="11"/>
  <c r="I558" i="11"/>
  <c r="G558" i="11"/>
  <c r="G557" i="11"/>
  <c r="G556" i="11"/>
  <c r="G555" i="11"/>
  <c r="I554" i="11"/>
  <c r="G554" i="11"/>
  <c r="G553" i="11"/>
  <c r="G552" i="11"/>
  <c r="G551" i="11"/>
  <c r="G550" i="11"/>
  <c r="G549" i="11"/>
  <c r="G548" i="11"/>
  <c r="G547" i="11"/>
  <c r="G546" i="11"/>
  <c r="G545" i="11"/>
  <c r="G544" i="11"/>
  <c r="G543" i="11"/>
  <c r="G542" i="11"/>
  <c r="G541" i="11"/>
  <c r="G540" i="11"/>
  <c r="G539" i="11"/>
  <c r="I538" i="11"/>
  <c r="G538" i="11"/>
  <c r="I537" i="11"/>
  <c r="G537" i="11"/>
  <c r="I536" i="11"/>
  <c r="G536" i="11"/>
  <c r="I535" i="11"/>
  <c r="G535" i="11"/>
  <c r="I534" i="11"/>
  <c r="G534" i="11"/>
  <c r="I533" i="11"/>
  <c r="G533" i="11"/>
  <c r="I532" i="11"/>
  <c r="G532" i="11"/>
  <c r="I531" i="11"/>
  <c r="G531" i="11"/>
  <c r="I530" i="11"/>
  <c r="G530" i="11"/>
  <c r="I529" i="11"/>
  <c r="G529" i="11"/>
  <c r="I528" i="11"/>
  <c r="G528" i="11"/>
  <c r="I527" i="11"/>
  <c r="G527" i="11"/>
  <c r="G526" i="11"/>
  <c r="G525" i="11"/>
  <c r="G524" i="11"/>
  <c r="G523" i="11"/>
  <c r="I522" i="11"/>
  <c r="G522" i="11"/>
  <c r="I521" i="11"/>
  <c r="G521" i="11"/>
  <c r="I520" i="11"/>
  <c r="G520" i="11"/>
  <c r="G519" i="11"/>
  <c r="G518" i="11"/>
  <c r="G517" i="11"/>
  <c r="I516" i="11"/>
  <c r="G516" i="11"/>
  <c r="I515" i="11"/>
  <c r="G515" i="11"/>
  <c r="I514" i="11"/>
  <c r="G514" i="11"/>
  <c r="I513" i="11"/>
  <c r="G513" i="11"/>
  <c r="I512" i="11"/>
  <c r="G512" i="11"/>
  <c r="G511" i="11"/>
  <c r="G510" i="11"/>
  <c r="G509" i="11"/>
  <c r="G508" i="11"/>
  <c r="G507" i="11"/>
  <c r="G506" i="11"/>
  <c r="G505" i="11"/>
  <c r="I504" i="11"/>
  <c r="G504" i="11"/>
  <c r="I503" i="11"/>
  <c r="G503" i="11"/>
  <c r="I502" i="11"/>
  <c r="G502" i="11"/>
  <c r="I501" i="11"/>
  <c r="G501" i="11"/>
  <c r="I500" i="11"/>
  <c r="G500" i="11"/>
  <c r="G499" i="11"/>
  <c r="G498" i="11"/>
  <c r="G497" i="11"/>
  <c r="G496" i="11"/>
  <c r="I495" i="11"/>
  <c r="G495" i="11"/>
  <c r="G494" i="11"/>
  <c r="G493" i="11"/>
  <c r="G492" i="11"/>
  <c r="G491" i="11"/>
  <c r="G490" i="11"/>
  <c r="I489" i="11"/>
  <c r="G489" i="11"/>
  <c r="G488" i="11"/>
  <c r="G487" i="11"/>
  <c r="G486" i="11"/>
  <c r="I485" i="11"/>
  <c r="G485" i="11"/>
  <c r="I484" i="11"/>
  <c r="G484" i="11"/>
  <c r="I483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I459" i="11"/>
  <c r="G459" i="11"/>
  <c r="G458" i="11"/>
  <c r="G457" i="11"/>
  <c r="G456" i="11"/>
  <c r="G455" i="11"/>
  <c r="I454" i="11"/>
  <c r="G454" i="11"/>
  <c r="G453" i="11"/>
  <c r="I452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I421" i="11"/>
  <c r="G421" i="11"/>
  <c r="I420" i="11"/>
  <c r="G420" i="11"/>
  <c r="I419" i="11"/>
  <c r="G419" i="11"/>
  <c r="I418" i="11"/>
  <c r="G418" i="11"/>
  <c r="I417" i="11"/>
  <c r="G417" i="11"/>
  <c r="I416" i="11"/>
  <c r="G416" i="11"/>
  <c r="I415" i="11"/>
  <c r="G415" i="11"/>
  <c r="I414" i="11"/>
  <c r="G414" i="11"/>
  <c r="I413" i="11"/>
  <c r="G413" i="11"/>
  <c r="I412" i="11"/>
  <c r="G412" i="11"/>
  <c r="I411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I396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I372" i="11"/>
  <c r="G372" i="11"/>
  <c r="G371" i="11"/>
  <c r="G370" i="11"/>
  <c r="I369" i="11"/>
  <c r="G369" i="11"/>
  <c r="G368" i="11"/>
  <c r="G367" i="11"/>
  <c r="I366" i="11"/>
  <c r="G366" i="11"/>
  <c r="I365" i="11"/>
  <c r="G365" i="11"/>
  <c r="I364" i="11"/>
  <c r="G364" i="11"/>
  <c r="G363" i="11"/>
  <c r="G362" i="11"/>
  <c r="G361" i="11"/>
  <c r="G360" i="11"/>
  <c r="G359" i="11"/>
  <c r="G358" i="11"/>
  <c r="G357" i="11"/>
  <c r="I356" i="11"/>
  <c r="G356" i="11"/>
  <c r="I355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I339" i="11"/>
  <c r="G339" i="11"/>
  <c r="I338" i="11"/>
  <c r="I344" i="11" s="1"/>
  <c r="G338" i="11"/>
  <c r="I337" i="11"/>
  <c r="G337" i="11"/>
  <c r="I336" i="11"/>
  <c r="G336" i="11"/>
  <c r="G335" i="11"/>
  <c r="G334" i="11"/>
  <c r="G333" i="11"/>
  <c r="J332" i="11"/>
  <c r="G332" i="11"/>
  <c r="J331" i="11"/>
  <c r="G331" i="11"/>
  <c r="I330" i="11"/>
  <c r="G330" i="11"/>
  <c r="I329" i="11"/>
  <c r="G329" i="11"/>
  <c r="G328" i="11"/>
  <c r="G327" i="11"/>
  <c r="G326" i="11"/>
  <c r="I325" i="11"/>
  <c r="G325" i="11"/>
  <c r="I324" i="11"/>
  <c r="G324" i="11"/>
  <c r="I323" i="11"/>
  <c r="G323" i="11"/>
  <c r="I322" i="11"/>
  <c r="G322" i="11"/>
  <c r="G321" i="11"/>
  <c r="G320" i="11"/>
  <c r="G319" i="11"/>
  <c r="G318" i="11"/>
  <c r="G317" i="11"/>
  <c r="G316" i="11"/>
  <c r="I315" i="11"/>
  <c r="G315" i="11"/>
  <c r="I314" i="11"/>
  <c r="G314" i="11"/>
  <c r="I313" i="11"/>
  <c r="G313" i="11"/>
  <c r="I312" i="11"/>
  <c r="G312" i="11"/>
  <c r="I311" i="11"/>
  <c r="G311" i="11"/>
  <c r="I310" i="11"/>
  <c r="G310" i="11"/>
  <c r="I309" i="11"/>
  <c r="G309" i="11"/>
  <c r="I308" i="11"/>
  <c r="G308" i="11"/>
  <c r="G307" i="11"/>
  <c r="G306" i="11"/>
  <c r="G305" i="11"/>
  <c r="G304" i="11"/>
  <c r="I303" i="11"/>
  <c r="G303" i="11"/>
  <c r="I302" i="11"/>
  <c r="G302" i="11"/>
  <c r="I301" i="11"/>
  <c r="G301" i="11"/>
  <c r="I300" i="11"/>
  <c r="G300" i="11"/>
  <c r="G299" i="11"/>
  <c r="G298" i="11"/>
  <c r="G297" i="11"/>
  <c r="G296" i="11"/>
  <c r="G295" i="11"/>
  <c r="G294" i="11"/>
  <c r="G293" i="11"/>
  <c r="G292" i="11"/>
  <c r="G291" i="11"/>
  <c r="I290" i="11"/>
  <c r="G290" i="11"/>
  <c r="I289" i="11"/>
  <c r="G289" i="11"/>
  <c r="I288" i="11"/>
  <c r="G288" i="11"/>
  <c r="I287" i="11"/>
  <c r="G287" i="11"/>
  <c r="I286" i="11"/>
  <c r="G286" i="11"/>
  <c r="I285" i="11"/>
  <c r="G285" i="11"/>
  <c r="I284" i="11"/>
  <c r="G284" i="11"/>
  <c r="I283" i="11"/>
  <c r="G283" i="11"/>
  <c r="G282" i="11"/>
  <c r="G281" i="11"/>
  <c r="G280" i="11"/>
  <c r="G279" i="11"/>
  <c r="G278" i="11"/>
  <c r="G277" i="11"/>
  <c r="I276" i="11"/>
  <c r="G276" i="11"/>
  <c r="I275" i="11"/>
  <c r="G275" i="11"/>
  <c r="I274" i="11"/>
  <c r="G274" i="11"/>
  <c r="I273" i="11"/>
  <c r="G273" i="11"/>
  <c r="I272" i="11"/>
  <c r="G272" i="11"/>
  <c r="I271" i="11"/>
  <c r="G271" i="11"/>
  <c r="I270" i="11"/>
  <c r="G270" i="11"/>
  <c r="I269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I250" i="11"/>
  <c r="G250" i="11"/>
  <c r="I249" i="11"/>
  <c r="G249" i="11"/>
  <c r="I248" i="11"/>
  <c r="G248" i="11"/>
  <c r="I247" i="11"/>
  <c r="G247" i="11"/>
  <c r="I246" i="11"/>
  <c r="G246" i="11"/>
  <c r="I245" i="11"/>
  <c r="G245" i="11"/>
  <c r="G244" i="11"/>
  <c r="G243" i="11"/>
  <c r="G242" i="11"/>
  <c r="I241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I222" i="11"/>
  <c r="G222" i="11"/>
  <c r="I221" i="11"/>
  <c r="G221" i="11"/>
  <c r="I220" i="11"/>
  <c r="G220" i="11"/>
  <c r="I219" i="11"/>
  <c r="G219" i="11"/>
  <c r="I218" i="11"/>
  <c r="G218" i="11"/>
  <c r="I217" i="11"/>
  <c r="G217" i="11"/>
  <c r="I216" i="11"/>
  <c r="G216" i="11"/>
  <c r="I215" i="11"/>
  <c r="G215" i="11"/>
  <c r="I214" i="11"/>
  <c r="G214" i="11"/>
  <c r="I213" i="11"/>
  <c r="G213" i="11"/>
  <c r="I212" i="11"/>
  <c r="G212" i="11"/>
  <c r="I211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I197" i="11"/>
  <c r="G197" i="11"/>
  <c r="I196" i="11"/>
  <c r="G196" i="11"/>
  <c r="I195" i="11"/>
  <c r="G195" i="11"/>
  <c r="I194" i="11"/>
  <c r="G194" i="11"/>
  <c r="I193" i="11"/>
  <c r="G193" i="11"/>
  <c r="I192" i="11"/>
  <c r="G192" i="11"/>
  <c r="I191" i="11"/>
  <c r="G191" i="11"/>
  <c r="I190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I150" i="11"/>
  <c r="G150" i="11"/>
  <c r="I149" i="11"/>
  <c r="G149" i="11"/>
  <c r="I148" i="11"/>
  <c r="G148" i="11"/>
  <c r="I147" i="11"/>
  <c r="G147" i="11"/>
  <c r="I146" i="11"/>
  <c r="G146" i="11"/>
  <c r="I145" i="11"/>
  <c r="G145" i="11"/>
  <c r="I144" i="11"/>
  <c r="G144" i="11"/>
  <c r="I143" i="11"/>
  <c r="G143" i="11"/>
  <c r="I142" i="11"/>
  <c r="G142" i="11"/>
  <c r="I141" i="11"/>
  <c r="G141" i="11"/>
  <c r="I140" i="11"/>
  <c r="G140" i="11"/>
  <c r="I139" i="11"/>
  <c r="G139" i="11"/>
  <c r="G138" i="11"/>
  <c r="G137" i="11"/>
  <c r="G136" i="11"/>
  <c r="G135" i="11"/>
  <c r="G134" i="11"/>
  <c r="G133" i="11"/>
  <c r="G132" i="11"/>
  <c r="G131" i="11"/>
  <c r="G130" i="11"/>
  <c r="I129" i="11"/>
  <c r="G129" i="11"/>
  <c r="I128" i="11"/>
  <c r="G128" i="11"/>
  <c r="I127" i="11"/>
  <c r="G127" i="11"/>
  <c r="I126" i="11"/>
  <c r="G126" i="11"/>
  <c r="I125" i="11"/>
  <c r="G125" i="11"/>
  <c r="I124" i="11"/>
  <c r="G124" i="11"/>
  <c r="I123" i="11"/>
  <c r="G123" i="11"/>
  <c r="G122" i="11"/>
  <c r="G121" i="11"/>
  <c r="G120" i="11"/>
  <c r="I119" i="11"/>
  <c r="G119" i="11"/>
  <c r="I118" i="11"/>
  <c r="G118" i="11"/>
  <c r="G117" i="11"/>
  <c r="I116" i="11"/>
  <c r="G116" i="11"/>
  <c r="G115" i="11"/>
  <c r="I114" i="11"/>
  <c r="G114" i="11"/>
  <c r="I113" i="11"/>
  <c r="G113" i="11"/>
  <c r="I112" i="11"/>
  <c r="G112" i="11"/>
  <c r="G111" i="11"/>
  <c r="G110" i="11"/>
  <c r="G109" i="11"/>
  <c r="I108" i="11"/>
  <c r="G108" i="11"/>
  <c r="I107" i="11"/>
  <c r="G107" i="11"/>
  <c r="I106" i="11"/>
  <c r="G106" i="11"/>
  <c r="G105" i="11"/>
  <c r="I104" i="11"/>
  <c r="G104" i="11"/>
  <c r="I103" i="11"/>
  <c r="G103" i="11"/>
  <c r="I102" i="11"/>
  <c r="G102" i="11"/>
  <c r="I101" i="11"/>
  <c r="G101" i="11"/>
  <c r="I100" i="11"/>
  <c r="G100" i="11"/>
  <c r="I99" i="11"/>
  <c r="G99" i="11"/>
  <c r="I98" i="11"/>
  <c r="G98" i="11"/>
  <c r="I97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M9" i="17" l="1"/>
  <c r="G68" i="17"/>
  <c r="G56" i="17"/>
  <c r="G44" i="17"/>
  <c r="G32" i="17"/>
  <c r="G20" i="17"/>
  <c r="R16" i="3"/>
  <c r="N12" i="17"/>
  <c r="N73" i="17" s="1"/>
  <c r="O12" i="17"/>
  <c r="O73" i="17" s="1"/>
  <c r="P12" i="17"/>
  <c r="Q12" i="17"/>
  <c r="Q73" i="17" s="1"/>
  <c r="R12" i="17"/>
  <c r="R73" i="17" s="1"/>
  <c r="S12" i="17"/>
  <c r="S73" i="17" s="1"/>
  <c r="T12" i="17"/>
  <c r="T73" i="17" s="1"/>
  <c r="U12" i="17"/>
  <c r="U73" i="17" s="1"/>
  <c r="V12" i="17"/>
  <c r="V73" i="17" s="1"/>
  <c r="L12" i="17"/>
  <c r="L73" i="17" s="1"/>
  <c r="G12" i="17"/>
  <c r="J12" i="17"/>
  <c r="J73" i="17" s="1"/>
  <c r="K12" i="17"/>
  <c r="K73" i="17" s="1"/>
  <c r="H12" i="17"/>
  <c r="H73" i="17" s="1"/>
  <c r="I12" i="17"/>
  <c r="I73" i="17" s="1"/>
  <c r="S51" i="3"/>
  <c r="T51" i="3" s="1"/>
  <c r="R51" i="3"/>
  <c r="S42" i="3"/>
  <c r="T42" i="3" s="1"/>
  <c r="R42" i="3"/>
  <c r="S52" i="3"/>
  <c r="T52" i="3" s="1"/>
  <c r="R52" i="3"/>
  <c r="S7" i="3"/>
  <c r="T7" i="3" s="1"/>
  <c r="R7" i="3"/>
  <c r="S23" i="3"/>
  <c r="T23" i="3" s="1"/>
  <c r="R23" i="3"/>
  <c r="M11" i="17"/>
  <c r="W11" i="17"/>
  <c r="W9" i="17"/>
  <c r="W6" i="17"/>
  <c r="M6" i="17"/>
  <c r="W72" i="17"/>
  <c r="M72" i="17"/>
  <c r="W71" i="17"/>
  <c r="M71" i="17"/>
  <c r="W70" i="17"/>
  <c r="M70" i="17"/>
  <c r="W69" i="17"/>
  <c r="M69" i="17"/>
  <c r="W68" i="17"/>
  <c r="M68" i="17"/>
  <c r="W67" i="17"/>
  <c r="M67" i="17"/>
  <c r="W66" i="17"/>
  <c r="M66" i="17"/>
  <c r="W65" i="17"/>
  <c r="M65" i="17"/>
  <c r="W64" i="17"/>
  <c r="M64" i="17"/>
  <c r="W63" i="17"/>
  <c r="M63" i="17"/>
  <c r="W62" i="17"/>
  <c r="M62" i="17"/>
  <c r="W61" i="17"/>
  <c r="M61" i="17"/>
  <c r="W60" i="17"/>
  <c r="M60" i="17"/>
  <c r="W59" i="17"/>
  <c r="M59" i="17"/>
  <c r="W58" i="17"/>
  <c r="M58" i="17"/>
  <c r="W57" i="17"/>
  <c r="M57" i="17"/>
  <c r="W56" i="17"/>
  <c r="M56" i="17"/>
  <c r="W55" i="17"/>
  <c r="M55" i="17"/>
  <c r="W54" i="17"/>
  <c r="M54" i="17"/>
  <c r="W53" i="17"/>
  <c r="M53" i="17"/>
  <c r="W52" i="17"/>
  <c r="M52" i="17"/>
  <c r="W51" i="17"/>
  <c r="M51" i="17"/>
  <c r="W50" i="17"/>
  <c r="M50" i="17"/>
  <c r="W49" i="17"/>
  <c r="M49" i="17"/>
  <c r="W48" i="17"/>
  <c r="M48" i="17"/>
  <c r="W47" i="17"/>
  <c r="M47" i="17"/>
  <c r="W46" i="17"/>
  <c r="M46" i="17"/>
  <c r="W45" i="17"/>
  <c r="M45" i="17"/>
  <c r="W44" i="17"/>
  <c r="M44" i="17"/>
  <c r="W43" i="17"/>
  <c r="M43" i="17"/>
  <c r="W42" i="17"/>
  <c r="M42" i="17"/>
  <c r="W41" i="17"/>
  <c r="M41" i="17"/>
  <c r="W40" i="17"/>
  <c r="M40" i="17"/>
  <c r="W39" i="17"/>
  <c r="M39" i="17"/>
  <c r="W38" i="17"/>
  <c r="M38" i="17"/>
  <c r="W37" i="17"/>
  <c r="M37" i="17"/>
  <c r="W36" i="17"/>
  <c r="M36" i="17"/>
  <c r="W35" i="17"/>
  <c r="M35" i="17"/>
  <c r="W34" i="17"/>
  <c r="M34" i="17"/>
  <c r="W33" i="17"/>
  <c r="M33" i="17"/>
  <c r="W32" i="17"/>
  <c r="M32" i="17"/>
  <c r="W31" i="17"/>
  <c r="M31" i="17"/>
  <c r="W30" i="17"/>
  <c r="M30" i="17"/>
  <c r="W29" i="17"/>
  <c r="M29" i="17"/>
  <c r="W28" i="17"/>
  <c r="M28" i="17"/>
  <c r="W27" i="17"/>
  <c r="M27" i="17"/>
  <c r="W26" i="17"/>
  <c r="M26" i="17"/>
  <c r="W25" i="17"/>
  <c r="M25" i="17"/>
  <c r="W24" i="17"/>
  <c r="M24" i="17"/>
  <c r="W23" i="17"/>
  <c r="M23" i="17"/>
  <c r="W22" i="17"/>
  <c r="M22" i="17"/>
  <c r="W21" i="17"/>
  <c r="M21" i="17"/>
  <c r="W20" i="17"/>
  <c r="M20" i="17"/>
  <c r="W19" i="17"/>
  <c r="M19" i="17"/>
  <c r="W18" i="17"/>
  <c r="M18" i="17"/>
  <c r="W17" i="17"/>
  <c r="M17" i="17"/>
  <c r="W16" i="17"/>
  <c r="M16" i="17"/>
  <c r="W15" i="17"/>
  <c r="M15" i="17"/>
  <c r="W14" i="17"/>
  <c r="M14" i="17"/>
  <c r="W13" i="17"/>
  <c r="M13" i="17"/>
  <c r="W10" i="17"/>
  <c r="M10" i="17"/>
  <c r="W8" i="17"/>
  <c r="M8" i="17"/>
  <c r="W7" i="17"/>
  <c r="M7" i="17"/>
  <c r="P14" i="15"/>
  <c r="Q14" i="15" s="1"/>
  <c r="R14" i="15" s="1"/>
  <c r="S14" i="15" s="1"/>
  <c r="M14" i="15"/>
  <c r="N14" i="15" s="1"/>
  <c r="O14" i="15" s="1"/>
  <c r="P13" i="15"/>
  <c r="Q13" i="15" s="1"/>
  <c r="R13" i="15" s="1"/>
  <c r="S13" i="15" s="1"/>
  <c r="M13" i="15"/>
  <c r="N13" i="15" s="1"/>
  <c r="O13" i="15" s="1"/>
  <c r="P12" i="15"/>
  <c r="Q12" i="15" s="1"/>
  <c r="R12" i="15" s="1"/>
  <c r="S12" i="15" s="1"/>
  <c r="M12" i="15"/>
  <c r="N12" i="15" s="1"/>
  <c r="O12" i="15" s="1"/>
  <c r="P11" i="15"/>
  <c r="Q11" i="15" s="1"/>
  <c r="R11" i="15" s="1"/>
  <c r="S11" i="15" s="1"/>
  <c r="M11" i="15"/>
  <c r="N11" i="15" s="1"/>
  <c r="O11" i="15" s="1"/>
  <c r="P10" i="15"/>
  <c r="Q10" i="15" s="1"/>
  <c r="R10" i="15" s="1"/>
  <c r="S10" i="15" s="1"/>
  <c r="M10" i="15"/>
  <c r="N10" i="15" s="1"/>
  <c r="O10" i="15" s="1"/>
  <c r="P9" i="15"/>
  <c r="Q9" i="15" s="1"/>
  <c r="R9" i="15" s="1"/>
  <c r="S9" i="15" s="1"/>
  <c r="M9" i="15"/>
  <c r="N9" i="15" s="1"/>
  <c r="O9" i="15" s="1"/>
  <c r="P8" i="15"/>
  <c r="Q8" i="15" s="1"/>
  <c r="R8" i="15" s="1"/>
  <c r="S8" i="15" s="1"/>
  <c r="M8" i="15"/>
  <c r="N8" i="15" s="1"/>
  <c r="O8" i="15" s="1"/>
  <c r="P7" i="15"/>
  <c r="Q7" i="15" s="1"/>
  <c r="R7" i="15" s="1"/>
  <c r="S7" i="15" s="1"/>
  <c r="M7" i="15"/>
  <c r="N7" i="15" s="1"/>
  <c r="O7" i="15" s="1"/>
  <c r="P6" i="15"/>
  <c r="Q6" i="15" s="1"/>
  <c r="R6" i="15" s="1"/>
  <c r="S6" i="15" s="1"/>
  <c r="M6" i="15"/>
  <c r="N6" i="15" s="1"/>
  <c r="O6" i="15" s="1"/>
  <c r="P5" i="15"/>
  <c r="Q5" i="15" s="1"/>
  <c r="R5" i="15" s="1"/>
  <c r="S5" i="15" s="1"/>
  <c r="M5" i="15"/>
  <c r="N5" i="15" s="1"/>
  <c r="O5" i="15" s="1"/>
  <c r="P4" i="15"/>
  <c r="Q4" i="15" s="1"/>
  <c r="R4" i="15" s="1"/>
  <c r="S4" i="15" s="1"/>
  <c r="M4" i="15"/>
  <c r="N4" i="15" s="1"/>
  <c r="O4" i="15" s="1"/>
  <c r="P3" i="15"/>
  <c r="Q3" i="15" s="1"/>
  <c r="R3" i="15" s="1"/>
  <c r="S3" i="15" s="1"/>
  <c r="M3" i="15"/>
  <c r="N3" i="15" s="1"/>
  <c r="O3" i="15" s="1"/>
  <c r="P2" i="15"/>
  <c r="Q2" i="15" s="1"/>
  <c r="R2" i="15" s="1"/>
  <c r="S2" i="15" s="1"/>
  <c r="M2" i="15"/>
  <c r="N2" i="15" s="1"/>
  <c r="O2" i="15" s="1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2" i="14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342" i="14"/>
  <c r="P343" i="14"/>
  <c r="P344" i="14"/>
  <c r="P345" i="14"/>
  <c r="P346" i="14"/>
  <c r="P347" i="14"/>
  <c r="P348" i="14"/>
  <c r="P349" i="14"/>
  <c r="P350" i="14"/>
  <c r="P351" i="14"/>
  <c r="P352" i="14"/>
  <c r="P353" i="14"/>
  <c r="P354" i="14"/>
  <c r="P355" i="14"/>
  <c r="P356" i="14"/>
  <c r="P357" i="14"/>
  <c r="P358" i="14"/>
  <c r="P359" i="14"/>
  <c r="P360" i="14"/>
  <c r="P361" i="14"/>
  <c r="P362" i="14"/>
  <c r="P363" i="14"/>
  <c r="P364" i="14"/>
  <c r="P365" i="14"/>
  <c r="P366" i="14"/>
  <c r="P367" i="14"/>
  <c r="P368" i="14"/>
  <c r="P369" i="14"/>
  <c r="P370" i="14"/>
  <c r="P371" i="14"/>
  <c r="P372" i="14"/>
  <c r="P373" i="14"/>
  <c r="P374" i="14"/>
  <c r="P375" i="14"/>
  <c r="P376" i="14"/>
  <c r="P377" i="14"/>
  <c r="P378" i="14"/>
  <c r="P379" i="14"/>
  <c r="P380" i="14"/>
  <c r="P381" i="14"/>
  <c r="P382" i="14"/>
  <c r="P383" i="14"/>
  <c r="P384" i="14"/>
  <c r="P385" i="14"/>
  <c r="P386" i="14"/>
  <c r="P387" i="14"/>
  <c r="P388" i="14"/>
  <c r="P389" i="14"/>
  <c r="P390" i="14"/>
  <c r="P391" i="14"/>
  <c r="P392" i="14"/>
  <c r="P393" i="14"/>
  <c r="P394" i="14"/>
  <c r="P395" i="14"/>
  <c r="P396" i="14"/>
  <c r="P397" i="14"/>
  <c r="P398" i="14"/>
  <c r="P399" i="14"/>
  <c r="P400" i="14"/>
  <c r="P401" i="14"/>
  <c r="P402" i="14"/>
  <c r="P403" i="14"/>
  <c r="P404" i="14"/>
  <c r="P405" i="14"/>
  <c r="P406" i="14"/>
  <c r="P407" i="14"/>
  <c r="P408" i="14"/>
  <c r="P409" i="14"/>
  <c r="P410" i="14"/>
  <c r="P411" i="14"/>
  <c r="P412" i="14"/>
  <c r="P413" i="14"/>
  <c r="P414" i="14"/>
  <c r="P415" i="14"/>
  <c r="P416" i="14"/>
  <c r="P417" i="14"/>
  <c r="P418" i="14"/>
  <c r="P419" i="14"/>
  <c r="P420" i="14"/>
  <c r="P421" i="14"/>
  <c r="P422" i="14"/>
  <c r="P423" i="14"/>
  <c r="P424" i="14"/>
  <c r="P425" i="14"/>
  <c r="P426" i="14"/>
  <c r="P427" i="14"/>
  <c r="P428" i="14"/>
  <c r="P429" i="14"/>
  <c r="P430" i="14"/>
  <c r="P431" i="14"/>
  <c r="P432" i="14"/>
  <c r="P433" i="14"/>
  <c r="P434" i="14"/>
  <c r="P435" i="14"/>
  <c r="P436" i="14"/>
  <c r="P437" i="14"/>
  <c r="P438" i="14"/>
  <c r="P439" i="14"/>
  <c r="P440" i="14"/>
  <c r="P441" i="14"/>
  <c r="P442" i="14"/>
  <c r="P443" i="14"/>
  <c r="P444" i="14"/>
  <c r="P445" i="14"/>
  <c r="P446" i="14"/>
  <c r="P447" i="14"/>
  <c r="P448" i="14"/>
  <c r="P449" i="14"/>
  <c r="P450" i="14"/>
  <c r="P451" i="14"/>
  <c r="P452" i="14"/>
  <c r="P453" i="14"/>
  <c r="P454" i="14"/>
  <c r="P455" i="14"/>
  <c r="P456" i="14"/>
  <c r="P457" i="14"/>
  <c r="P458" i="14"/>
  <c r="P459" i="14"/>
  <c r="P460" i="14"/>
  <c r="P461" i="14"/>
  <c r="P462" i="14"/>
  <c r="P463" i="14"/>
  <c r="P464" i="14"/>
  <c r="P465" i="14"/>
  <c r="P466" i="14"/>
  <c r="P467" i="14"/>
  <c r="P468" i="14"/>
  <c r="P469" i="14"/>
  <c r="P470" i="14"/>
  <c r="P471" i="14"/>
  <c r="P472" i="14"/>
  <c r="P473" i="14"/>
  <c r="P474" i="14"/>
  <c r="P475" i="14"/>
  <c r="P476" i="14"/>
  <c r="P477" i="14"/>
  <c r="P478" i="14"/>
  <c r="P479" i="14"/>
  <c r="P480" i="14"/>
  <c r="P481" i="14"/>
  <c r="P482" i="14"/>
  <c r="P483" i="14"/>
  <c r="P484" i="14"/>
  <c r="P485" i="14"/>
  <c r="P486" i="14"/>
  <c r="P487" i="14"/>
  <c r="P488" i="14"/>
  <c r="P489" i="14"/>
  <c r="P490" i="14"/>
  <c r="P491" i="14"/>
  <c r="P492" i="14"/>
  <c r="P493" i="14"/>
  <c r="P494" i="14"/>
  <c r="P495" i="14"/>
  <c r="P496" i="14"/>
  <c r="P497" i="14"/>
  <c r="P498" i="14"/>
  <c r="P499" i="14"/>
  <c r="P500" i="14"/>
  <c r="P501" i="14"/>
  <c r="P502" i="14"/>
  <c r="P503" i="14"/>
  <c r="P504" i="14"/>
  <c r="P505" i="14"/>
  <c r="P506" i="14"/>
  <c r="P507" i="14"/>
  <c r="P508" i="14"/>
  <c r="P509" i="14"/>
  <c r="P510" i="14"/>
  <c r="P511" i="14"/>
  <c r="P512" i="14"/>
  <c r="P513" i="14"/>
  <c r="P514" i="14"/>
  <c r="P515" i="14"/>
  <c r="P516" i="14"/>
  <c r="P517" i="14"/>
  <c r="P518" i="14"/>
  <c r="P519" i="14"/>
  <c r="P520" i="14"/>
  <c r="P521" i="14"/>
  <c r="P522" i="14"/>
  <c r="P523" i="14"/>
  <c r="P524" i="14"/>
  <c r="P525" i="14"/>
  <c r="P526" i="14"/>
  <c r="P527" i="14"/>
  <c r="P528" i="14"/>
  <c r="P529" i="14"/>
  <c r="P530" i="14"/>
  <c r="P531" i="14"/>
  <c r="P532" i="14"/>
  <c r="P533" i="14"/>
  <c r="P534" i="14"/>
  <c r="P535" i="14"/>
  <c r="P536" i="14"/>
  <c r="P537" i="14"/>
  <c r="P538" i="14"/>
  <c r="P539" i="14"/>
  <c r="P540" i="14"/>
  <c r="P541" i="14"/>
  <c r="P542" i="14"/>
  <c r="P543" i="14"/>
  <c r="P544" i="14"/>
  <c r="P545" i="14"/>
  <c r="P546" i="14"/>
  <c r="P547" i="14"/>
  <c r="P548" i="14"/>
  <c r="P549" i="14"/>
  <c r="P550" i="14"/>
  <c r="P551" i="14"/>
  <c r="P552" i="14"/>
  <c r="P553" i="14"/>
  <c r="P554" i="14"/>
  <c r="P555" i="14"/>
  <c r="P556" i="14"/>
  <c r="P557" i="14"/>
  <c r="P558" i="14"/>
  <c r="P559" i="14"/>
  <c r="P560" i="14"/>
  <c r="P561" i="14"/>
  <c r="P562" i="14"/>
  <c r="P563" i="14"/>
  <c r="P564" i="14"/>
  <c r="P565" i="14"/>
  <c r="P566" i="14"/>
  <c r="P567" i="14"/>
  <c r="P568" i="14"/>
  <c r="P569" i="14"/>
  <c r="P570" i="14"/>
  <c r="P571" i="14"/>
  <c r="P572" i="14"/>
  <c r="P573" i="14"/>
  <c r="P574" i="14"/>
  <c r="P575" i="14"/>
  <c r="P576" i="14"/>
  <c r="P577" i="14"/>
  <c r="P578" i="14"/>
  <c r="P579" i="14"/>
  <c r="P580" i="14"/>
  <c r="P581" i="14"/>
  <c r="P582" i="14"/>
  <c r="P583" i="14"/>
  <c r="P584" i="14"/>
  <c r="P585" i="14"/>
  <c r="P586" i="14"/>
  <c r="P587" i="14"/>
  <c r="P588" i="14"/>
  <c r="P589" i="14"/>
  <c r="P590" i="14"/>
  <c r="P591" i="14"/>
  <c r="P592" i="14"/>
  <c r="P593" i="14"/>
  <c r="P594" i="14"/>
  <c r="P595" i="14"/>
  <c r="P596" i="14"/>
  <c r="P597" i="14"/>
  <c r="P598" i="14"/>
  <c r="P599" i="14"/>
  <c r="P600" i="14"/>
  <c r="P601" i="14"/>
  <c r="P602" i="14"/>
  <c r="P603" i="14"/>
  <c r="P604" i="14"/>
  <c r="P605" i="14"/>
  <c r="P606" i="14"/>
  <c r="P607" i="14"/>
  <c r="P608" i="14"/>
  <c r="P609" i="14"/>
  <c r="P610" i="14"/>
  <c r="P611" i="14"/>
  <c r="P612" i="14"/>
  <c r="P613" i="14"/>
  <c r="P614" i="14"/>
  <c r="P615" i="14"/>
  <c r="P616" i="14"/>
  <c r="P617" i="14"/>
  <c r="P618" i="14"/>
  <c r="P619" i="14"/>
  <c r="P620" i="14"/>
  <c r="P621" i="14"/>
  <c r="P622" i="14"/>
  <c r="P623" i="14"/>
  <c r="P624" i="14"/>
  <c r="P625" i="14"/>
  <c r="P626" i="14"/>
  <c r="P627" i="14"/>
  <c r="P628" i="14"/>
  <c r="P629" i="14"/>
  <c r="P630" i="14"/>
  <c r="P631" i="14"/>
  <c r="P632" i="14"/>
  <c r="P633" i="14"/>
  <c r="P634" i="14"/>
  <c r="P635" i="14"/>
  <c r="P636" i="14"/>
  <c r="P637" i="14"/>
  <c r="P638" i="14"/>
  <c r="P639" i="14"/>
  <c r="P640" i="14"/>
  <c r="P641" i="14"/>
  <c r="P642" i="14"/>
  <c r="P643" i="14"/>
  <c r="P644" i="14"/>
  <c r="P645" i="14"/>
  <c r="P646" i="14"/>
  <c r="P647" i="14"/>
  <c r="P648" i="14"/>
  <c r="P649" i="14"/>
  <c r="P650" i="14"/>
  <c r="P651" i="14"/>
  <c r="P652" i="14"/>
  <c r="P653" i="14"/>
  <c r="P654" i="14"/>
  <c r="P655" i="14"/>
  <c r="P656" i="14"/>
  <c r="P657" i="14"/>
  <c r="P658" i="14"/>
  <c r="P659" i="14"/>
  <c r="P660" i="14"/>
  <c r="P661" i="14"/>
  <c r="P662" i="14"/>
  <c r="P663" i="14"/>
  <c r="P664" i="14"/>
  <c r="P665" i="14"/>
  <c r="P666" i="14"/>
  <c r="P667" i="14"/>
  <c r="P668" i="14"/>
  <c r="P669" i="14"/>
  <c r="P670" i="14"/>
  <c r="P671" i="14"/>
  <c r="P672" i="14"/>
  <c r="P673" i="14"/>
  <c r="P674" i="14"/>
  <c r="P675" i="14"/>
  <c r="P676" i="14"/>
  <c r="P677" i="14"/>
  <c r="P678" i="14"/>
  <c r="P679" i="14"/>
  <c r="P680" i="14"/>
  <c r="P681" i="14"/>
  <c r="P682" i="14"/>
  <c r="P683" i="14"/>
  <c r="P684" i="14"/>
  <c r="P685" i="14"/>
  <c r="P686" i="14"/>
  <c r="P687" i="14"/>
  <c r="P688" i="14"/>
  <c r="P689" i="14"/>
  <c r="P690" i="14"/>
  <c r="P691" i="14"/>
  <c r="P692" i="14"/>
  <c r="P693" i="14"/>
  <c r="P694" i="14"/>
  <c r="P695" i="14"/>
  <c r="P696" i="14"/>
  <c r="P697" i="14"/>
  <c r="P698" i="14"/>
  <c r="P699" i="14"/>
  <c r="P700" i="14"/>
  <c r="P701" i="14"/>
  <c r="P702" i="14"/>
  <c r="P703" i="14"/>
  <c r="P704" i="14"/>
  <c r="P705" i="14"/>
  <c r="P706" i="14"/>
  <c r="P707" i="14"/>
  <c r="P708" i="14"/>
  <c r="P709" i="14"/>
  <c r="P710" i="14"/>
  <c r="P711" i="14"/>
  <c r="P712" i="14"/>
  <c r="P713" i="14"/>
  <c r="P714" i="14"/>
  <c r="P715" i="14"/>
  <c r="P716" i="14"/>
  <c r="P717" i="14"/>
  <c r="P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2" i="14"/>
  <c r="I603" i="11"/>
  <c r="I602" i="11"/>
  <c r="I754" i="11"/>
  <c r="I752" i="11"/>
  <c r="I750" i="11"/>
  <c r="I748" i="11"/>
  <c r="I746" i="11"/>
  <c r="AB9" i="17" l="1"/>
  <c r="G74" i="17"/>
  <c r="A2" i="17" s="1"/>
  <c r="W12" i="17"/>
  <c r="P73" i="17"/>
  <c r="AL8" i="17" s="1"/>
  <c r="AL15" i="17" s="1"/>
  <c r="N74" i="17"/>
  <c r="AB7" i="17"/>
  <c r="H74" i="17"/>
  <c r="M12" i="17"/>
  <c r="AL11" i="17"/>
  <c r="AB10" i="17"/>
  <c r="AB15" i="17"/>
  <c r="AB18" i="17"/>
  <c r="AB21" i="17"/>
  <c r="AB24" i="17"/>
  <c r="AB27" i="17"/>
  <c r="AB30" i="17"/>
  <c r="AB33" i="17"/>
  <c r="AB36" i="17"/>
  <c r="AB39" i="17"/>
  <c r="AB42" i="17"/>
  <c r="AB45" i="17"/>
  <c r="AB48" i="17"/>
  <c r="AB51" i="17"/>
  <c r="AB54" i="17"/>
  <c r="AB57" i="17"/>
  <c r="AB60" i="17"/>
  <c r="AB63" i="17"/>
  <c r="AB66" i="17"/>
  <c r="AB69" i="17"/>
  <c r="AB72" i="17"/>
  <c r="AB13" i="17"/>
  <c r="AB16" i="17"/>
  <c r="AB19" i="17"/>
  <c r="AB22" i="17"/>
  <c r="AB25" i="17"/>
  <c r="AB28" i="17"/>
  <c r="AB31" i="17"/>
  <c r="AB34" i="17"/>
  <c r="AB37" i="17"/>
  <c r="AB40" i="17"/>
  <c r="AB43" i="17"/>
  <c r="AB46" i="17"/>
  <c r="AB49" i="17"/>
  <c r="AB52" i="17"/>
  <c r="AB55" i="17"/>
  <c r="AB58" i="17"/>
  <c r="AB61" i="17"/>
  <c r="AB64" i="17"/>
  <c r="AB67" i="17"/>
  <c r="AB70" i="17"/>
  <c r="AL7" i="17"/>
  <c r="AL14" i="17" s="1"/>
  <c r="AB8" i="17"/>
  <c r="AB14" i="17"/>
  <c r="AB17" i="17"/>
  <c r="AB20" i="17"/>
  <c r="AB23" i="17"/>
  <c r="AB26" i="17"/>
  <c r="AB29" i="17"/>
  <c r="AB32" i="17"/>
  <c r="AB35" i="17"/>
  <c r="AB38" i="17"/>
  <c r="AB41" i="17"/>
  <c r="AB44" i="17"/>
  <c r="AB47" i="17"/>
  <c r="AB50" i="17"/>
  <c r="AB53" i="17"/>
  <c r="AB56" i="17"/>
  <c r="AB59" i="17"/>
  <c r="AB62" i="17"/>
  <c r="AB65" i="17"/>
  <c r="AB68" i="17"/>
  <c r="AB71" i="17"/>
  <c r="AB11" i="17"/>
  <c r="AB6" i="17"/>
  <c r="AL13" i="17" l="1"/>
  <c r="AB12" i="17"/>
  <c r="M73" i="17"/>
  <c r="AL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samet adalı</author>
    <author>Bereketli Topraklar</author>
    <author>Konuk Kullanıcı</author>
  </authors>
  <commentList>
    <comment ref="M83" authorId="0" shapeId="0" xr:uid="{64C18E40-CB14-4A32-8089-93FD6F060182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N83" authorId="0" shapeId="0" xr:uid="{7C15D0B1-4E2B-47C7-BC49-1A9DE6498F1E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O83" authorId="0" shapeId="0" xr:uid="{E769D8A6-8BEF-4926-91FA-C6C50680F2BF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P83" authorId="0" shapeId="0" xr:uid="{5980D8CC-25DD-4B6F-802D-60FBB40D8125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Q83" authorId="0" shapeId="0" xr:uid="{3D5BD811-454C-460D-B185-E19F7A749E03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R83" authorId="0" shapeId="0" xr:uid="{F59584FB-D92B-4ECE-9AF3-65D4354DAD18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I84" authorId="0" shapeId="0" xr:uid="{8981F5FE-F514-4B65-B514-A4851571A720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J84" authorId="0" shapeId="0" xr:uid="{95AFC84D-28B4-4584-9828-83FDECDD107D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K84" authorId="0" shapeId="0" xr:uid="{130DF47B-4DA2-406D-83FD-A5787381242A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L84" authorId="0" shapeId="0" xr:uid="{93061621-8193-4DB6-9893-67E4A701DF2C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M118" authorId="1" shapeId="0" xr:uid="{F44F0D73-E5E6-4D6C-BAED-79EE0C36C149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N118" authorId="1" shapeId="0" xr:uid="{0A558353-FDEB-4072-ABAF-54E9E87CB6D4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O118" authorId="1" shapeId="0" xr:uid="{4111B1F5-D376-43EE-B696-BBAFD4F0127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P118" authorId="1" shapeId="0" xr:uid="{C4A430E5-EC1D-4F5C-B7FF-B0557E3A116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Q118" authorId="1" shapeId="0" xr:uid="{19318FF1-1120-4652-8ADC-25885F0023D4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R118" authorId="1" shapeId="0" xr:uid="{DA76AF60-C01E-45E0-B371-E6ADB0CEE4C6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I119" authorId="1" shapeId="0" xr:uid="{5F2FD931-4FC1-4439-A9B6-DD85101394E1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J119" authorId="1" shapeId="0" xr:uid="{795DA845-A8BC-4D78-A9C1-9EF76354C30F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K119" authorId="1" shapeId="0" xr:uid="{4394F82F-A1F3-4316-9647-4221CE280D16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L119" authorId="1" shapeId="0" xr:uid="{5E806255-E027-4CCB-8389-F17DCB34DCE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M120" authorId="1" shapeId="0" xr:uid="{CEB6B532-6CC2-4AEF-B5F7-5A652E56CDF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N120" authorId="1" shapeId="0" xr:uid="{9E96EAC3-EA35-4564-9AD8-28E2EBBBBC37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O120" authorId="1" shapeId="0" xr:uid="{5A000ADB-8E4B-4A67-A590-1EDBB91CF8B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P120" authorId="1" shapeId="0" xr:uid="{ABC2DBA9-BC11-4353-AAA5-D051AEDC049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Q120" authorId="1" shapeId="0" xr:uid="{B946420B-980F-49A7-B027-36988495785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R120" authorId="1" shapeId="0" xr:uid="{DA4CF596-185C-4E61-835C-3B8D8477CE2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I121" authorId="1" shapeId="0" xr:uid="{87E82136-3D0B-4F6B-AE41-6B71C5474AAD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J121" authorId="1" shapeId="0" xr:uid="{5EC52A73-494F-490D-B5DB-01AC41C4B62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K121" authorId="1" shapeId="0" xr:uid="{B30CCF08-80EC-4C3C-AE68-3D7BEA6F062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L121" authorId="1" shapeId="0" xr:uid="{9526620F-0AD6-4431-9BFB-CDD30C2A1E9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M125" authorId="1" shapeId="0" xr:uid="{B97A5A1F-BE84-4483-BF67-3BD09B63F00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N125" authorId="1" shapeId="0" xr:uid="{58074C3D-0DE7-49D7-BCCA-BDC40BE5DC9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O125" authorId="1" shapeId="0" xr:uid="{EF35A1A7-A2CB-4F42-B441-1E587EF3BE2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P125" authorId="1" shapeId="0" xr:uid="{8C1A5827-FFE9-4DA4-AD28-8F93790A91D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Q125" authorId="1" shapeId="0" xr:uid="{2B77369B-1E53-4502-A9ED-8191E4BC061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R125" authorId="1" shapeId="0" xr:uid="{4C614D59-2DB5-4CC2-91AE-427ACAC2640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I126" authorId="1" shapeId="0" xr:uid="{037EF3D4-9DBB-414B-860F-36958C0B2DA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J126" authorId="1" shapeId="0" xr:uid="{23624D87-E4FD-4584-A0E1-7369A2EF08B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K126" authorId="1" shapeId="0" xr:uid="{70CEF253-7822-42BB-963C-362D5ED6B5A7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L126" authorId="1" shapeId="0" xr:uid="{244F1EEC-34F3-458C-B1B3-433CE6F36C47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M137" authorId="1" shapeId="0" xr:uid="{80B94D83-9410-4D8C-9B3A-03A932C92FE4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N137" authorId="1" shapeId="0" xr:uid="{712167B1-9A57-4CD8-8A56-E04626E28131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O137" authorId="1" shapeId="0" xr:uid="{B0750B3B-7FA4-4CCA-A3B7-4EAAADB3E7F3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P137" authorId="1" shapeId="0" xr:uid="{BCAF8EC3-D95E-4556-9810-BFE1BAF7BF19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Q137" authorId="1" shapeId="0" xr:uid="{3020A814-1A73-4839-B49F-715AC3F42E06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R137" authorId="1" shapeId="0" xr:uid="{CE97DBEB-48BE-434D-B938-3A8A2777A165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I138" authorId="1" shapeId="0" xr:uid="{BD7A49A6-237B-484D-BD07-C524E7D0D678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J138" authorId="1" shapeId="0" xr:uid="{2CC20223-923B-42C1-9BEA-01AF17DD3BCF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K138" authorId="1" shapeId="0" xr:uid="{0CD49C7D-5240-4CF9-A145-E1C8CD5F39DA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L138" authorId="1" shapeId="0" xr:uid="{59586435-1A18-4534-B7E7-56333EF4418E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REZERVE</t>
        </r>
      </text>
    </comment>
    <comment ref="M139" authorId="1" shapeId="0" xr:uid="{8A2CAEB2-3D8C-4799-A79D-CE5ECFFA297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N139" authorId="1" shapeId="0" xr:uid="{BBFF60A8-09C8-49D3-A522-B113F2F314D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O139" authorId="1" shapeId="0" xr:uid="{85D33C63-C303-4286-9186-10437C5B73C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P139" authorId="1" shapeId="0" xr:uid="{403852D6-25CF-4EDA-8C23-11D2DF5A96D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Q139" authorId="1" shapeId="0" xr:uid="{7770C4F3-4ABE-4315-8B4F-0AB1D2C3619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R139" authorId="1" shapeId="0" xr:uid="{3F6FD15C-3DCB-4417-91BB-63CFAF4C3ED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I140" authorId="1" shapeId="0" xr:uid="{ED883FDF-55C0-4BCB-ADA5-03BEC42F588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J140" authorId="1" shapeId="0" xr:uid="{88D51C77-347E-449A-ADB2-6F57D837AA9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K140" authorId="1" shapeId="0" xr:uid="{5885FBBF-CEC2-4877-9383-0DE0703AA577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L140" authorId="1" shapeId="0" xr:uid="{287A973D-3C67-47A1-BFE1-7A7C22803AA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OSMAN ABİ TRİLYE REZERVE
10.02.2025
20.02.2025
</t>
        </r>
      </text>
    </comment>
    <comment ref="M140" authorId="1" shapeId="0" xr:uid="{9C37A7D0-A082-4120-A887-8BE6161E5FC8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N140" authorId="1" shapeId="0" xr:uid="{1AAFC34A-6890-4E16-A439-603C3B7CD9AE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O140" authorId="1" shapeId="0" xr:uid="{10F412A0-437F-4888-9280-714B0D4B5686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P140" authorId="1" shapeId="0" xr:uid="{1AFEF8EE-DFCF-452D-8DC9-3BBE66D85931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Q140" authorId="1" shapeId="0" xr:uid="{8B444874-9C1A-4974-AAE4-FC1988A321B8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R140" authorId="1" shapeId="0" xr:uid="{8E43E57E-BB59-435D-920B-D45D8F97930E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I141" authorId="1" shapeId="0" xr:uid="{B30E0DF3-B95E-4E4B-A420-D163755E74F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J141" authorId="1" shapeId="0" xr:uid="{086C456B-0CAB-4F66-B9F9-9C16D48B5054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K141" authorId="1" shapeId="0" xr:uid="{E4FACB37-64B9-41C7-A238-AF70D8BD12BF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L141" authorId="1" shapeId="0" xr:uid="{048F2093-DA6A-4C37-98EA-EA3DC088477A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REMZİYE BAYRAKAR REZERVE BİLAL AKTAŞ</t>
        </r>
      </text>
    </comment>
    <comment ref="M210" authorId="1" shapeId="0" xr:uid="{0607F7C8-824A-4390-8966-F557D0ED2D2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N210" authorId="1" shapeId="0" xr:uid="{A34C56BA-539B-486E-9008-DAC4730D12BF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O210" authorId="1" shapeId="0" xr:uid="{C7E447DD-BE8D-49B4-A874-033572A76E8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P210" authorId="1" shapeId="0" xr:uid="{BCE6F5C7-269A-42EA-A6D7-A011B8814D7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Q210" authorId="1" shapeId="0" xr:uid="{6D30FCE0-6A4B-4167-ACA4-B3045FA088C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R210" authorId="1" shapeId="0" xr:uid="{29E97A3A-C59C-4200-A4DE-69E338E021A7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I211" authorId="1" shapeId="0" xr:uid="{6102F0D0-F1BC-481C-9C67-ECAE046E8B2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J211" authorId="1" shapeId="0" xr:uid="{64CBB9D9-8AA1-4259-B641-AA6B706C2F0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K211" authorId="1" shapeId="0" xr:uid="{A1A54882-C394-4759-AF11-3F115930452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L211" authorId="1" shapeId="0" xr:uid="{F4BDDE68-08E7-4890-A619-127A52AE6BB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REZERVE
</t>
        </r>
      </text>
    </comment>
    <comment ref="M276" authorId="1" shapeId="0" xr:uid="{EA42F286-97D6-4300-BB5A-E4D1CD527A6C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N276" authorId="1" shapeId="0" xr:uid="{29527612-E632-4C3B-8DF7-E3F0B41B27A6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O276" authorId="1" shapeId="0" xr:uid="{F87C3406-6465-459C-9DDD-3E6B61A87F0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P276" authorId="1" shapeId="0" xr:uid="{DD96A65E-DA2F-4FB7-8C69-1204D17B4CB1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Q276" authorId="1" shapeId="0" xr:uid="{82F82C31-DBF3-4376-B38B-7C32A5B5A92F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R276" authorId="1" shapeId="0" xr:uid="{9FD13FE7-A64F-469C-993B-5EC9AE4585D6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I277" authorId="1" shapeId="0" xr:uid="{15D5567A-ED19-40B0-B8B4-2E74FA528CA4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J277" authorId="1" shapeId="0" xr:uid="{BA8E07CF-05AB-4E5D-AC3A-4FE0B529266F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K277" authorId="1" shapeId="0" xr:uid="{56331189-4C18-401C-9B66-B3D46D9EEB0E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L277" authorId="1" shapeId="0" xr:uid="{5C92EB76-918A-41FC-AAB5-88CE063E82ED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REMZİYE BAYRAKAR REZERVE BİLAL AKTAŞ</t>
        </r>
      </text>
    </comment>
    <comment ref="M298" authorId="1" shapeId="0" xr:uid="{6E19F4CE-BDF1-43BB-9DB5-6DEB61B03EF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N298" authorId="1" shapeId="0" xr:uid="{8ABB5351-7845-42EA-ABCC-3F97AC20D38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O298" authorId="1" shapeId="0" xr:uid="{2550B22A-1BF7-4297-A4A5-DE1285FDD2D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P298" authorId="1" shapeId="0" xr:uid="{9C965685-5AF0-4D7C-BC53-B4A87417DFC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Q298" authorId="1" shapeId="0" xr:uid="{18D0CD4B-77BF-42FC-94A0-6454E40B2B3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R298" authorId="1" shapeId="0" xr:uid="{F837C9DC-72B4-49A8-A53F-E1EBDF0B8D4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I299" authorId="1" shapeId="0" xr:uid="{D41F9C45-553A-424A-AA66-A08894C77F2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J299" authorId="1" shapeId="0" xr:uid="{1BF460F8-BB46-4156-B9E6-6027694E455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K299" authorId="1" shapeId="0" xr:uid="{AE8958BC-7C84-4317-BD26-6754605F4BC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L299" authorId="1" shapeId="0" xr:uid="{BBB83CD1-B1E6-4439-BC8A-969AB227053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 BİLAL AKTAŞ REZERVE
</t>
        </r>
      </text>
    </comment>
    <comment ref="M311" authorId="1" shapeId="0" xr:uid="{6960B93E-1BF2-40D4-8F4C-4029CA4240D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N311" authorId="1" shapeId="0" xr:uid="{3469A70C-373D-4B49-9D36-133FAFCC6A0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O311" authorId="1" shapeId="0" xr:uid="{1B7628A7-C636-4971-B026-BF8BDA28705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P311" authorId="1" shapeId="0" xr:uid="{5AEEB24D-4390-4980-8360-1832920DFA2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Q311" authorId="1" shapeId="0" xr:uid="{24611682-AB66-4435-879B-7366F06726F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R311" authorId="1" shapeId="0" xr:uid="{5DCFC5F7-66F5-4B01-A3B9-2D03A148898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I312" authorId="1" shapeId="0" xr:uid="{23CEA5FE-141C-4950-B310-1E21DF222AE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J312" authorId="1" shapeId="0" xr:uid="{69BAFE25-2DF6-4B03-803D-95ECD8A7E1B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K312" authorId="1" shapeId="0" xr:uid="{395D5508-EC6D-4E71-AA90-C048DECFBD0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L312" authorId="1" shapeId="0" xr:uid="{E773894E-02BD-43FE-8A7B-73AE1A269CB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BAHADIR ABİ
</t>
        </r>
      </text>
    </comment>
    <comment ref="M312" authorId="1" shapeId="0" xr:uid="{48568F84-EA09-4323-89DC-CB3B6670BCCF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N312" authorId="1" shapeId="0" xr:uid="{27167338-152B-435B-86F7-93F85611CB8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O312" authorId="1" shapeId="0" xr:uid="{F284D6B7-1D66-42D9-9B39-6D56DA47A45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P312" authorId="1" shapeId="0" xr:uid="{52CEFB65-F049-4E0D-8740-D120E2E2395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Q312" authorId="1" shapeId="0" xr:uid="{C42C3905-8F20-482B-B8A9-E9515275ED7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R312" authorId="1" shapeId="0" xr:uid="{CC94705E-A252-4EF7-AA23-057157005C5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I313" authorId="1" shapeId="0" xr:uid="{D6438704-3A4C-48F2-BC4F-F2C65E73D0F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J313" authorId="1" shapeId="0" xr:uid="{58520057-7D83-4A04-857C-76264EEC8B4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K313" authorId="1" shapeId="0" xr:uid="{AEC8D939-1903-470C-9968-370C27F737BD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L313" authorId="1" shapeId="0" xr:uid="{5065BD15-4397-4292-9743-275FBEFFABA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M326" authorId="1" shapeId="0" xr:uid="{51B33763-1A29-4344-A1EC-04FC3D9441A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N326" authorId="1" shapeId="0" xr:uid="{CD2DF00F-1102-4468-B353-903B5F70165C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O326" authorId="1" shapeId="0" xr:uid="{265C79A4-FA83-4C33-B4F4-36415C5080AA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P326" authorId="1" shapeId="0" xr:uid="{385DDAFF-D794-4800-8DA8-4DB48872FE12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Q326" authorId="1" shapeId="0" xr:uid="{3D5C7ABA-A2E6-42E1-B736-470AED086CA1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R326" authorId="1" shapeId="0" xr:uid="{B7E601ED-0845-45AC-88E6-3A90F7FD27CA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I327" authorId="1" shapeId="0" xr:uid="{1AA08644-4126-445C-BEB9-7DAB80D2AE0E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J327" authorId="1" shapeId="0" xr:uid="{8E8B3541-FCC5-424F-B39A-5496FE5E0362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K327" authorId="1" shapeId="0" xr:uid="{3D6F41E2-9E93-493A-A2F4-8932F350D368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L327" authorId="1" shapeId="0" xr:uid="{5C1AE446-603E-4FD3-A338-284970D7AC55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SUSURLUK TAPU MÜDÜR YRD. REZERVE
AHMET KARADAL</t>
        </r>
      </text>
    </comment>
    <comment ref="M341" authorId="2" shapeId="0" xr:uid="{2431BAB7-698B-484B-AA17-720AA687677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N341" authorId="2" shapeId="0" xr:uid="{9D14E555-06F4-4FEB-994E-937BBB5E381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O341" authorId="2" shapeId="0" xr:uid="{F74ED612-6EFA-41EB-BB11-36D99D86BAC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P341" authorId="2" shapeId="0" xr:uid="{D08D9E27-B85A-4A05-B1E8-A04C64F5DE1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Q341" authorId="2" shapeId="0" xr:uid="{CF2E4ADC-62BF-4097-BA2C-BF8B8E0AC15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R341" authorId="2" shapeId="0" xr:uid="{6E0B43D7-9F1D-4F3B-B7AF-C99D2945295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I342" authorId="2" shapeId="0" xr:uid="{6B38FB13-ED02-48B8-B6DC-D827BFA051B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J342" authorId="2" shapeId="0" xr:uid="{0305DA85-CA37-4BD5-BA20-A38C92F2E9A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K342" authorId="2" shapeId="0" xr:uid="{34B9732F-218A-4D1A-BBEA-6D804A3793E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L342" authorId="2" shapeId="0" xr:uid="{339CF553-169D-49F1-8B51-243B15372297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M342" authorId="2" shapeId="0" xr:uid="{B0643861-5509-491B-B728-0930A79EAD0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N342" authorId="2" shapeId="0" xr:uid="{40BD07E8-A327-422E-B112-EA66E4C7313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O342" authorId="2" shapeId="0" xr:uid="{D6FFCB91-CED5-410C-9E7F-7202F55ED41F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P342" authorId="2" shapeId="0" xr:uid="{21BDB497-A470-4DDE-A9F9-61790289AFD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Q342" authorId="2" shapeId="0" xr:uid="{E7BBB156-F007-4BEF-A7D6-7CBC06624AA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R342" authorId="2" shapeId="0" xr:uid="{8D6BB042-0BCC-4FAB-A817-9C3DBC646B6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I343" authorId="2" shapeId="0" xr:uid="{A3049FF3-8146-4C52-B348-8B15BD8005C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J343" authorId="2" shapeId="0" xr:uid="{23CD4826-63C4-4D29-A7F1-E031EC93B1E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K343" authorId="2" shapeId="0" xr:uid="{C8C5431E-F91D-4A8C-8728-1956A8B1463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L343" authorId="2" shapeId="0" xr:uid="{156F4ABA-E89E-41C4-B00E-292D6DDAF71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REZERVE
ELA-COŞKUN ÇİÇEK İÇİN
TAPU BAŞVURUSU YAPILDI
</t>
        </r>
      </text>
    </comment>
    <comment ref="M405" authorId="1" shapeId="0" xr:uid="{556D3EB2-123E-4EF4-B22F-8591C1C5149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N405" authorId="1" shapeId="0" xr:uid="{2EDD5037-2B3F-4DD3-BC5F-F2836E38F7B2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O405" authorId="1" shapeId="0" xr:uid="{3EFF81FF-9813-43CD-AB6B-CDFF90D457FE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P405" authorId="1" shapeId="0" xr:uid="{E89451F6-7FEA-44B7-AA7E-A041BF5BD139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Q405" authorId="1" shapeId="0" xr:uid="{FF00E6F5-29A5-4C4C-97B9-D48F90686D75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R405" authorId="1" shapeId="0" xr:uid="{C466FEC2-656D-446F-A1AB-9AE00CF6E5B4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I406" authorId="1" shapeId="0" xr:uid="{1A6A0E34-A357-4169-A859-0E72A293E17C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J406" authorId="1" shapeId="0" xr:uid="{D10AD094-AC70-4128-B801-70F7428C0FAA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K406" authorId="1" shapeId="0" xr:uid="{94D0D9B5-9144-45AE-ABDC-1D72881BF62F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L406" authorId="1" shapeId="0" xr:uid="{28905026-7B20-461E-B220-63B47983C59B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</t>
        </r>
      </text>
    </comment>
    <comment ref="M430" authorId="1" shapeId="0" xr:uid="{366EA4EB-D1D0-42BF-AFB0-5B7899233E10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N430" authorId="1" shapeId="0" xr:uid="{FC6431C7-1C1E-4BFE-AD5D-D9C13EF38B35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O430" authorId="1" shapeId="0" xr:uid="{21BB3FB1-04E8-49CB-8486-97C59184E7A5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P430" authorId="1" shapeId="0" xr:uid="{5E4A2905-2DE2-4652-BC4E-1A4D7A11C0D1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Q430" authorId="1" shapeId="0" xr:uid="{0C13437E-A5F8-4B40-8FBD-52411629C766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R430" authorId="1" shapeId="0" xr:uid="{842FC2B1-2259-4936-B5E3-2FEFE63E4DB7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I431" authorId="1" shapeId="0" xr:uid="{F031A2BD-910E-43D2-A0A9-06B8F5F0AFC3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J431" authorId="1" shapeId="0" xr:uid="{0D175A82-03E4-4CC0-B879-5F521433C973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K431" authorId="1" shapeId="0" xr:uid="{72568A1B-9A3B-4FD4-A6E9-B6374B2C2524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L431" authorId="1" shapeId="0" xr:uid="{F8ABB2B2-98D9-47A2-8211-9BAF60191C9D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 REZERVE
OSMAN ABİYE</t>
        </r>
      </text>
    </comment>
    <comment ref="M676" authorId="1" shapeId="0" xr:uid="{F044E1FC-8BC3-47FD-AE4D-46F1D3FC730A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N676" authorId="1" shapeId="0" xr:uid="{000BA374-E112-46CB-8CF5-F47E6D7F3CE1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O676" authorId="1" shapeId="0" xr:uid="{6289D831-C33F-43E6-8835-DCF5ACACF409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P676" authorId="1" shapeId="0" xr:uid="{43227A94-0E98-4D20-9EA1-7E74A0F3DCC3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Q676" authorId="1" shapeId="0" xr:uid="{498B0551-BB38-4CA8-A017-112B1F539857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R676" authorId="1" shapeId="0" xr:uid="{BA40929C-9466-426A-8051-6F4B916D618A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I677" authorId="1" shapeId="0" xr:uid="{ECE82BA3-C8DE-4649-AF34-13E1EF34136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J677" authorId="1" shapeId="0" xr:uid="{71FC6A6F-237C-487D-9A0B-87975CA66A80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K677" authorId="1" shapeId="0" xr:uid="{BDE8BD9E-1BC8-4797-A58A-74AAA6D8BFF9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  <comment ref="L677" authorId="1" shapeId="0" xr:uid="{9DB58487-967F-45FD-A558-24B202B7DBB8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
EKREM KARAKAAŞ
KAPORA ALINDI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Konuk Kullanıcı</author>
    <author>tc={B3F03E94-615C-4528-A4D6-37A5F9DE802B}</author>
    <author>tc={987F11B1-6D19-4B18-AA42-B10342E90231}</author>
    <author>Bereketli Topraklar</author>
    <author>Furkan Hoşgör</author>
    <author>Guest User</author>
    <author>tc={D028BD1E-A193-4959-AE9A-941E40BA50C5}</author>
    <author>tc={09C927D1-675D-4948-8C41-20441E9B2D01}</author>
    <author>tc={ED257758-E0D5-4A1A-8252-926600AAC08A}</author>
    <author>Taner Varsak</author>
    <author>tc={A5BF3B80-C67B-4623-8D2B-6C52E48E1084}</author>
    <author>tc={1C014D3D-B988-4526-9063-57A2CFD89AA7}</author>
    <author>Hasan Uysal</author>
    <author>samet adalı</author>
    <author>tc={07C0A85C-0E0B-41B6-B29C-047C0855CD9F}</author>
    <author>tc={79CC14EB-74DD-40F2-8D8A-3C7C955E6D56}</author>
    <author>Hakan Yant</author>
    <author>tc={4D9F47C0-2619-45F9-8EA5-2679E2F23471}</author>
    <author>tc={CB7C3C7F-9A86-404B-82B0-443AA9299C6C}</author>
    <author>tc={DC2A1B5C-D3B1-4484-84D5-1F64C029F283}</author>
    <author>tc={7A91963D-D435-4C09-87A0-516E2586ECB4}</author>
    <author>tc={C18F5DA2-F06F-4D6E-BCED-4B3C8C059CAF}</author>
    <author>tc={4D72F0E2-15F6-428C-AA5D-7F2CDA6D749B}</author>
    <author>tc={11DE19FF-CE25-4686-A419-9B1752FC89CC}</author>
    <author>tc={17DF273F-0484-40F0-B046-0D0019B07543}</author>
    <author>tc={FD320520-F6D1-4F50-A243-083111EF2BB9}</author>
    <author>tc={BABB18F8-8C36-4ACC-B982-7493F5E3CE30}</author>
    <author>tc={5B924FEA-BDBF-4230-92C5-C8986195414A}</author>
    <author>tc={D9D724E5-BFD2-4DDA-92D8-3D9E378F29B9}</author>
    <author>tc={E810E5A8-B5A4-4778-BBEA-D38270A8ECA0}</author>
    <author>tc={4E8CDA05-6941-4D75-AA42-F2D2EBC8C83E}</author>
    <author>tc={FD2F9CBC-432F-4075-A41B-8451081C441A}</author>
    <author>tc={FC3AFBB5-DD71-4C3F-A124-813FFC971D49}</author>
    <author>tc={590E43F2-B11F-4B28-8A00-E70A3382E0E5}</author>
    <author>tc={D255F26D-B809-4F80-B021-C933F4A5EFA6}</author>
    <author>tc={016DA346-4D36-4ACA-BF42-E8668A9363FA}</author>
    <author>tc={F1F28991-E693-4916-9DC2-C73AEDBB573A}</author>
    <author>tc={B3EDC6DF-AE81-433C-999A-AC52EA0E57FA}</author>
    <author>Mehtap YAYILGAN</author>
    <author>tc={BA6B37FE-4638-4434-80F7-BB8E7DFBD211}</author>
    <author>tc={4792E8AD-5E9F-42DC-9371-4D8DEED1015C}</author>
    <author>tc={58F8C2AA-8010-4DD1-8C78-AA93E188C93C}</author>
    <author>tc={86F46307-CC6B-4766-AA9E-184C55535B51}</author>
    <author>tc={AE45CA97-4D68-4312-8F10-BA6B139AD181}</author>
    <author>tc={D419680A-C5E5-41B1-BCCD-E680012106AA}</author>
    <author>tc={134279C6-1556-46F8-B47E-C95FDB39DA3B}</author>
    <author>tc={9C5AA83F-E90E-4625-BA38-B72093C7C23F}</author>
    <author>tc={36633CFB-CD2C-48FB-A794-FE05B25733D6}</author>
    <author>tc={776F85EB-806F-4DEF-90DE-6FADE96A6D97}</author>
    <author>tc={94412E8C-1C06-4AD8-BAEC-C3880C550A5A}</author>
    <author>tc={9014FE5F-7BED-4C0F-A96D-1D41ECE99249}</author>
    <author>tc={93A12527-0757-424F-B50E-F88F509DFC78}</author>
    <author>FURKAN KARABULUT</author>
  </authors>
  <commentList>
    <comment ref="L5" authorId="0" shapeId="0" xr:uid="{B50265E9-C478-4C48-8DF9-2EF7D838E333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Kullanıcı:HAKAN YANT
KAPORASI ALINDI</t>
        </r>
      </text>
    </comment>
    <comment ref="L8" authorId="1" shapeId="0" xr:uid="{B3F03E94-615C-4528-A4D6-37A5F9DE802B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8" authorId="2" shapeId="0" xr:uid="{987F11B1-6D19-4B18-AA42-B10342E9023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TANER SEZER REZERVE TAPU BAŞVURUSU YAPILDI</t>
      </text>
    </comment>
    <comment ref="M9" authorId="0" shapeId="0" xr:uid="{9F499CA1-9421-4B10-A0EE-E5E8A979C71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SEMİH SEZER BEKAR ADINA REZERVE
BİLAL AKTAŞ
6 EKİM HAFTASI TAPU </t>
        </r>
      </text>
    </comment>
    <comment ref="L10" authorId="3" shapeId="0" xr:uid="{C4C5740D-8005-4D9D-960F-19BD43EC610F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HALİL GÜLCE İÇİN REZERVE
BİLAL AKTAŞ
15.01.2025 TARİHİNDE REZERVEYE ALINDI
</t>
        </r>
      </text>
    </comment>
    <comment ref="M16" authorId="4" shapeId="0" xr:uid="{CB16BE3F-CF8A-4CD6-8613-749ECF951D46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Hoşgör:
CANER/HASRET DOGATA ADINA REZERVE 
29 U TAPU</t>
        </r>
      </text>
    </comment>
    <comment ref="V17" authorId="5" shapeId="0" xr:uid="{1EFBB51F-7138-499C-9A6E-DBB82BE18D0E}">
      <text>
        <r>
          <rPr>
            <sz val="11"/>
            <color theme="1"/>
            <rFont val="Calibri"/>
            <family val="2"/>
            <charset val="162"/>
            <scheme val="minor"/>
          </rPr>
          <t>MAMİ:
03/07/2025 tarihinde Dikili Belediyesi E-imar sitesinden teyit edildi.</t>
        </r>
      </text>
    </comment>
    <comment ref="M34" authorId="6" shapeId="0" xr:uid="{D028BD1E-A193-4959-AE9A-941E40BA50C5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MELEK UZAMIŞ ADINA REZERVE</t>
      </text>
    </comment>
    <comment ref="M43" authorId="7" shapeId="0" xr:uid="{09C927D1-675D-4948-8C41-20441E9B2D0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TANER SEZER E REZERVE</t>
      </text>
    </comment>
    <comment ref="AH53" authorId="8" shapeId="0" xr:uid="{ED257758-E0D5-4A1A-8252-926600AAC08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Tapu Mehmet Akkaş'ın üstünde</t>
      </text>
    </comment>
    <comment ref="AK61" authorId="9" shapeId="0" xr:uid="{8FF9C16B-E63B-43E1-9E63-6DEDA1B5CC90}">
      <text>
        <r>
          <rPr>
            <sz val="11"/>
            <color theme="1"/>
            <rFont val="Calibri"/>
            <family val="2"/>
            <charset val="162"/>
            <scheme val="minor"/>
          </rPr>
          <t>Taner Varsak:
400 bine bize geçti</t>
        </r>
      </text>
    </comment>
    <comment ref="L63" authorId="10" shapeId="0" xr:uid="{A5BF3B80-C67B-4623-8D2B-6C52E48E108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Aliye Kaya kapora alındı</t>
      </text>
    </comment>
    <comment ref="M66" authorId="3" shapeId="0" xr:uid="{7F24354B-B419-42AD-A078-1895E28E9F8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TANER VARSAK&amp;M.ALİ ZENGİN ADINA REZERVE
TAPU BAŞVURUSU YAPILDI
</t>
        </r>
      </text>
    </comment>
    <comment ref="M79" authorId="0" shapeId="0" xr:uid="{D52B84FA-C4AC-45B0-8CEA-5F026C6F6050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ZİYA SADIKOĞLU ADINA
REZERVE
22.09.2025</t>
        </r>
      </text>
    </comment>
    <comment ref="M111" authorId="0" shapeId="0" xr:uid="{9064A663-D672-48AE-AF91-BE0847C45DDF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süleyman KAHRAMAN KAPORA ALINDI</t>
        </r>
      </text>
    </comment>
    <comment ref="L129" authorId="0" shapeId="0" xr:uid="{56DD2554-5FBF-4593-A6CD-5F123938FD8D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SEMİH AYGÜN 
VOLKAN BEY E REZERVE</t>
        </r>
      </text>
    </comment>
    <comment ref="L139" authorId="0" shapeId="0" xr:uid="{92BD010C-2EBD-4FC6-BE95-8B1BD16B08AA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SEMİH-VELİ BEY REZERVE</t>
        </r>
      </text>
    </comment>
    <comment ref="M141" authorId="0" shapeId="0" xr:uid="{322C500F-4111-4AD6-A6D1-5D3FF67B1DEA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ADNAN DİĞRENCİ ADINA REZERVE
28.10.2025</t>
        </r>
      </text>
    </comment>
    <comment ref="L148" authorId="11" shapeId="0" xr:uid="{1C014D3D-B988-4526-9063-57A2CFD89AA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148" authorId="12" shapeId="0" xr:uid="{F4CBEF6D-292E-45C3-AAFE-9872152714C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Hasan Uysal:
</t>
        </r>
      </text>
    </comment>
    <comment ref="L150" authorId="13" shapeId="0" xr:uid="{39D8640C-5BC6-4794-96C2-1FA94EA73A2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02.02.2025 
SAMET ADALI 
ADEM YÜCEL &amp; MEHMET YÜCEL HİSSELİ SATIŞ OLACAK.
1.100.000 TL PEŞİN 
10.000 TL KAPORA ALINDI 
</t>
        </r>
      </text>
    </comment>
    <comment ref="M151" authorId="14" shapeId="0" xr:uid="{07C0A85C-0E0B-41B6-B29C-047C0855CD9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NİHAT SERTTEPE REZERVE</t>
      </text>
    </comment>
    <comment ref="L152" authorId="15" shapeId="0" xr:uid="{79CC14EB-74DD-40F2-8D8A-3C7C955E6D5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152" authorId="3" shapeId="0" xr:uid="{2C4DFEEF-4916-414C-9DD6-20CA8F4AB50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AHMET KARADALDI
</t>
        </r>
      </text>
    </comment>
    <comment ref="M153" authorId="16" shapeId="0" xr:uid="{443E4139-A5A4-477C-B6AB-56B26770D434}">
      <text>
        <r>
          <rPr>
            <sz val="11"/>
            <color theme="1"/>
            <rFont val="Calibri"/>
            <family val="2"/>
            <charset val="162"/>
            <scheme val="minor"/>
          </rPr>
          <t>Hakan Yant:
ÖMER ARIK 150.000 TL KAPORA ALINDI</t>
        </r>
      </text>
    </comment>
    <comment ref="L154" authorId="3" shapeId="0" xr:uid="{9ABC9902-6071-461F-A106-F8B530CAEE6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REZERVE BİLAL AKTAAŞ
</t>
        </r>
      </text>
    </comment>
    <comment ref="L157" authorId="3" shapeId="0" xr:uid="{DBB1BB00-B595-4A79-9D58-B56B7E727ACA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EMEL AKTAŞ ADINA REZERVE
KAPORA ALINDI
17.02.2025</t>
        </r>
      </text>
    </comment>
    <comment ref="L159" authorId="17" shapeId="0" xr:uid="{4D9F47C0-2619-45F9-8EA5-2679E2F2347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159" authorId="3" shapeId="0" xr:uid="{09E0888E-C71A-46A5-8188-FB30AE38FD0A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EKİN BEY TAİ REZERVE
BİLAL AKTAŞ
</t>
        </r>
      </text>
    </comment>
    <comment ref="L160" authorId="13" shapeId="0" xr:uid="{E6765F92-A3AB-4F8F-B333-1BC72DF6EEF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SAMET ADALI 
20.01.2025
SERAP HANIM 
1 MİLYON PEŞİN ANLAŞILDI. 27 sinde satışı yapılacak. 
</t>
        </r>
      </text>
    </comment>
    <comment ref="L162" authorId="13" shapeId="0" xr:uid="{EF19793B-D54B-4675-9836-A820AA0C659D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SAMET ADALI 
21.01.2025
SEDEF AYDIN
10 BİN TL KAPORA ALINDI.
700 BİN PEŞİN + 200 BİN VADE 4 AY. 22.01 Tapu Başvuru yapılacak </t>
        </r>
      </text>
    </comment>
    <comment ref="M166" authorId="0" shapeId="0" xr:uid="{50F8337A-CEB2-47B1-9157-4D87287F20EF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MEHMET AKKAŞ ADINA REZ.
27.09.2025</t>
        </r>
      </text>
    </comment>
    <comment ref="L169" authorId="13" shapeId="0" xr:uid="{A189ECBE-868F-43A1-8F13-F0BB9D9FEB1B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10.01.2025
SUAT KARABUDAK REERVE
10 gün için rezerve, daire takası için değerlendirilecek</t>
        </r>
      </text>
    </comment>
    <comment ref="L170" authorId="3" shapeId="0" xr:uid="{CD76FFB9-AD4A-4CA5-8318-4FF62E23031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
ERCAN ERDEM REZERVE 
</t>
        </r>
      </text>
    </comment>
    <comment ref="M171" authorId="3" shapeId="0" xr:uid="{E560BF65-D003-48D2-AAC8-72D09CEFA29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EMİNA AKTAŞ REZERVE
TAPU BAŞVURUSU YAPILDI
</t>
        </r>
      </text>
    </comment>
    <comment ref="L172" authorId="12" shapeId="0" xr:uid="{FC23AEB9-7AE5-4095-93DD-EDF75325DF1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Hasan Uysal:
HALKBANKA İPOTEK VERİLDİ
TUĞÇE SALTEKİN ERSOY REZERVE
</t>
        </r>
      </text>
    </comment>
    <comment ref="L174" authorId="12" shapeId="0" xr:uid="{461907D6-43F0-4B25-A070-2AF2A651880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semih aygün
OKAN YILDIZ ADINA REZERVE
</t>
        </r>
      </text>
    </comment>
    <comment ref="M174" authorId="3" shapeId="0" xr:uid="{E18BAF28-0AC5-4F60-98F2-E43B82B2A85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OKAN YILDIZ REZERVE
</t>
        </r>
      </text>
    </comment>
    <comment ref="M175" authorId="0" shapeId="0" xr:uid="{A933215A-BF07-4626-AFB4-88F38B2014BB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MEHMET AKKAŞ ADINA REZ.
27.09.2025</t>
        </r>
      </text>
    </comment>
    <comment ref="L176" authorId="0" shapeId="0" xr:uid="{A8A000FB-9C87-4307-80F5-670980650C7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Bilinmeyen Kullanıcı:
SAMET ADALI 
21.03.2025 
MERVE ÜLKER
900.000 BİN TL PEŞİN 
26.03 TE SATIŞI YAPILACAK 
</t>
        </r>
      </text>
    </comment>
    <comment ref="L177" authorId="0" shapeId="0" xr:uid="{F857DB57-A016-4E71-9E4D-6F853B77DD7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Bilinmeyen Kullanıcı:
SAMET ADALI REZERVE </t>
        </r>
      </text>
    </comment>
    <comment ref="L178" authorId="12" shapeId="0" xr:uid="{DBEC7ADA-C6EF-4D69-AE63-B5DA1D6C2655}">
      <text>
        <r>
          <rPr>
            <sz val="11"/>
            <color theme="1"/>
            <rFont val="Calibri"/>
            <family val="2"/>
            <charset val="162"/>
            <scheme val="minor"/>
          </rPr>
          <t>Hasan Uysal:
TANER VARSAK'A REZERVE</t>
        </r>
      </text>
    </comment>
    <comment ref="L180" authorId="13" shapeId="0" xr:uid="{39F61CDF-BE77-4170-B7B8-779F39D422B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SAMET ADALI 
10.01.2025
SUAT KARABUDAK REERVE
10 gün için rezerve, daire takası için değerlendirilecek 
 </t>
        </r>
      </text>
    </comment>
    <comment ref="L181" authorId="13" shapeId="0" xr:uid="{1F48973B-5D26-4D11-80DE-E25EB71D9300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10.01.2025
SUAT KARABUDAK 
10 gün için rezerve, daire takası için değerlendirilecek</t>
        </r>
      </text>
    </comment>
    <comment ref="L182" authorId="0" shapeId="0" xr:uid="{7FF46E42-4688-4AC7-832A-3DC75EF7A87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Bilinmeyen Kullanıcı:
SAMET ADALI 
06.01.2025
SUAT KARABUDAK 
600 BİN TL PEŞİN
08.01
50 Bin tl kapora alındı 
</t>
        </r>
      </text>
    </comment>
    <comment ref="L184" authorId="12" shapeId="0" xr:uid="{98A87A00-51C1-405C-82DD-121A044C45A3}">
      <text>
        <r>
          <rPr>
            <sz val="11"/>
            <color theme="1"/>
            <rFont val="Calibri"/>
            <family val="2"/>
            <charset val="162"/>
            <scheme val="minor"/>
          </rPr>
          <t>Hasan Uysal:
HALKBANKA İPOTEK VERİLDİ</t>
        </r>
      </text>
    </comment>
    <comment ref="M184" authorId="0" shapeId="0" xr:uid="{06B831AD-62CF-4229-AABF-85818FD2034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SATILMAYACAK
</t>
        </r>
      </text>
    </comment>
    <comment ref="L185" authorId="12" shapeId="0" xr:uid="{3FAC802E-10C8-4920-AEF5-5CD53B19B32E}">
      <text>
        <r>
          <rPr>
            <sz val="11"/>
            <color theme="1"/>
            <rFont val="Calibri"/>
            <family val="2"/>
            <charset val="162"/>
            <scheme val="minor"/>
          </rPr>
          <t>Hasan Uysal:HALKBANKA İPOTEK VERİLDİ</t>
        </r>
      </text>
    </comment>
    <comment ref="M185" authorId="0" shapeId="0" xr:uid="{DB1C6C1A-91A6-4171-B844-07CB055AAF48}">
      <text>
        <r>
          <rPr>
            <sz val="11"/>
            <color theme="1"/>
            <rFont val="Calibri"/>
            <family val="2"/>
            <charset val="162"/>
            <scheme val="minor"/>
          </rPr>
          <t>SATILMAYACAK</t>
        </r>
      </text>
    </comment>
    <comment ref="V187" authorId="18" shapeId="0" xr:uid="{CB7C3C7F-9A86-404B-82B0-443AA9299C6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88" authorId="19" shapeId="0" xr:uid="{DC2A1B5C-D3B1-4484-84D5-1F64C029F283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89" authorId="20" shapeId="0" xr:uid="{7A91963D-D435-4C09-87A0-516E2586ECB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0" authorId="21" shapeId="0" xr:uid="{C18F5DA2-F06F-4D6E-BCED-4B3C8C059CA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1" authorId="22" shapeId="0" xr:uid="{4D72F0E2-15F6-428C-AA5D-7F2CDA6D749B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2" authorId="23" shapeId="0" xr:uid="{11DE19FF-CE25-4686-A419-9B1752FC89C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3" authorId="24" shapeId="0" xr:uid="{17DF273F-0484-40F0-B046-0D0019B07543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4" authorId="25" shapeId="0" xr:uid="{FD320520-F6D1-4F50-A243-083111EF2BB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5" authorId="26" shapeId="0" xr:uid="{BABB18F8-8C36-4ACC-B982-7493F5E3CE3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6" authorId="27" shapeId="0" xr:uid="{5B924FEA-BDBF-4230-92C5-C8986195414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199" authorId="28" shapeId="0" xr:uid="{D9D724E5-BFD2-4DDA-92D8-3D9E378F29B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V200" authorId="29" shapeId="0" xr:uid="{E810E5A8-B5A4-4778-BBEA-D38270A8ECA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BURASI 3 KAT İMARLI; GABARİ: 9,50</t>
      </text>
    </comment>
    <comment ref="L201" authorId="3" shapeId="0" xr:uid="{66733BE6-8870-4129-9F22-FCC91D025DDE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BİLAL AKTAŞ REZERVE</t>
        </r>
      </text>
    </comment>
    <comment ref="L202" authorId="3" shapeId="0" xr:uid="{1660A6F7-29C3-44C4-A8A9-53759678A2C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L206" authorId="30" shapeId="0" xr:uid="{4E8CDA05-6941-4D75-AA42-F2D2EBC8C83E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L210" authorId="31" shapeId="0" xr:uid="{FD2F9CBC-432F-4075-A41B-8451081C441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211" authorId="0" shapeId="0" xr:uid="{E9D6D43D-B090-4585-8493-0A808E3789D6}">
      <text>
        <r>
          <rPr>
            <sz val="11"/>
            <color theme="1"/>
            <rFont val="Calibri"/>
            <family val="2"/>
            <charset val="162"/>
            <scheme val="minor"/>
          </rPr>
          <t>Z.  ziya Sadıkoğlu rezerve alacak</t>
        </r>
      </text>
    </comment>
    <comment ref="L219" authorId="0" shapeId="0" xr:uid="{7A76E431-EA28-4649-8B56-D43D5077BBF1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ÖZGÜR TOMOOĞLU ADINA REZERVE</t>
        </r>
      </text>
    </comment>
    <comment ref="M229" authorId="0" shapeId="0" xr:uid="{CE01FE5A-207E-403C-80E6-72219C3E65B9}">
      <text>
        <r>
          <rPr>
            <sz val="11"/>
            <color theme="1"/>
            <rFont val="Calibri"/>
            <family val="2"/>
            <charset val="162"/>
            <scheme val="minor"/>
          </rPr>
          <t>Z.  ziya Sadıkoğlu rezerve alacak</t>
        </r>
      </text>
    </comment>
    <comment ref="L230" authorId="12" shapeId="0" xr:uid="{04784440-038E-4CDB-B685-056CA60F49D9}">
      <text>
        <r>
          <rPr>
            <sz val="11"/>
            <color theme="1"/>
            <rFont val="Calibri"/>
            <family val="2"/>
            <charset val="162"/>
            <scheme val="minor"/>
          </rPr>
          <t>Hasan Uysal:
TANER VARSAK'A REZERVE</t>
        </r>
      </text>
    </comment>
    <comment ref="L233" authorId="3" shapeId="0" xr:uid="{56560D4F-15DE-4EA0-81B4-2D37D3D4BBB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FURKAN HOŞGÖR
BİLAL AKTAŞ
MESTU YARCAN REZERVE
06.02
</t>
        </r>
      </text>
    </comment>
    <comment ref="L248" authorId="13" shapeId="0" xr:uid="{0AA9F429-4B12-4849-8E85-71C8825F1D9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16.02.2025 
SAMET ADALI 
NURSEN BATIK 
PEŞİN 950.000 TL 
10.000 TL KAPORA ALINDI 
</t>
        </r>
      </text>
    </comment>
    <comment ref="L249" authorId="13" shapeId="0" xr:uid="{D452B93E-AAAC-4A4A-90C4-4947BC09718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16.02.2025 
SAMET ADALI 
NURSEN BATIK 
PEŞİN 950.000 TL 
10.000 TL KAPORA ALINDI </t>
        </r>
      </text>
    </comment>
    <comment ref="L250" authorId="32" shapeId="0" xr:uid="{FC3AFBB5-DD71-4C3F-A124-813FFC971D4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PROJE ALANIDIR</t>
      </text>
    </comment>
    <comment ref="M250" authorId="33" shapeId="0" xr:uid="{590E43F2-B11F-4B28-8A00-E70A3382E0E5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PROJE ALANIDIR</t>
      </text>
    </comment>
    <comment ref="L254" authorId="3" shapeId="0" xr:uid="{A8890619-EE2E-4DF7-B2B1-8E91AFDF6E8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</t>
        </r>
      </text>
    </comment>
    <comment ref="L255" authorId="12" shapeId="0" xr:uid="{3583E3A6-C16D-40E9-9F1C-CCDC13F7A6B8}">
      <text>
        <r>
          <rPr>
            <sz val="11"/>
            <color theme="1"/>
            <rFont val="Calibri"/>
            <family val="2"/>
            <charset val="162"/>
            <scheme val="minor"/>
          </rPr>
          <t>Hasan Uysal:
Rahmi beye rezerve edildi, nwtwork: 400.000 TL peşin 420.000 TL 24 ay taksit
05.01.2025</t>
        </r>
      </text>
    </comment>
    <comment ref="L264" authorId="12" shapeId="0" xr:uid="{DC09330B-34FE-4035-B368-D59ABA64B658}">
      <text>
        <r>
          <rPr>
            <sz val="11"/>
            <color theme="1"/>
            <rFont val="Calibri"/>
            <family val="2"/>
            <charset val="162"/>
            <scheme val="minor"/>
          </rPr>
          <t>Hasan Uysal:
HALKBANKA İPOTEK VERİLDİ</t>
        </r>
      </text>
    </comment>
    <comment ref="M264" authorId="0" shapeId="0" xr:uid="{BE4A0AA2-5647-464E-B827-C767DF055745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DOĞUKAN KOÇ ADINA REZERVE</t>
        </r>
      </text>
    </comment>
    <comment ref="AC267" authorId="9" shapeId="0" xr:uid="{3F7EAD3F-C265-49CC-A837-2036F79F7C06}">
      <text>
        <r>
          <rPr>
            <sz val="11"/>
            <color theme="1"/>
            <rFont val="Calibri"/>
            <family val="2"/>
            <charset val="162"/>
            <scheme val="minor"/>
          </rPr>
          <t>Taner Varsak:
1200239001 NUMARALI AYNI İLAN VAR, SÜRESİ BİTTİĞİNDE 1200239001 NUMARALI İLANI YAYINA ALMAYALIM</t>
        </r>
      </text>
    </comment>
    <comment ref="L269" authorId="12" shapeId="0" xr:uid="{7572F7F7-BC79-49A3-8DF6-AF88AFAC56DC}">
      <text>
        <r>
          <rPr>
            <sz val="11"/>
            <color theme="1"/>
            <rFont val="Calibri"/>
            <family val="2"/>
            <charset val="162"/>
            <scheme val="minor"/>
          </rPr>
          <t>Hasan Uysal:
HALKBANKA İPOTEK VERİLDİ</t>
        </r>
      </text>
    </comment>
    <comment ref="M269" authorId="0" shapeId="0" xr:uid="{A20F764E-5C3E-4825-B8F1-75B36C82E55E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DOĞUKAN KOÇ ADINA REZERVE</t>
        </r>
      </text>
    </comment>
    <comment ref="L271" authorId="34" shapeId="0" xr:uid="{D255F26D-B809-4F80-B021-C933F4A5EFA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271" authorId="0" shapeId="0" xr:uid="{75E161FA-14C8-480F-A508-61BA23CE83EE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İSMAİL GÜDEN ADINA REZERVE 
20.10.2025
</t>
        </r>
      </text>
    </comment>
    <comment ref="L272" authorId="13" shapeId="0" xr:uid="{92B88B75-FECE-4D4C-84AA-D5365FB2808D}">
      <text>
        <r>
          <rPr>
            <sz val="11"/>
            <color theme="1"/>
            <rFont val="Calibri"/>
            <family val="2"/>
            <charset val="162"/>
            <scheme val="minor"/>
          </rPr>
          <t>samet adalı:
BİLAL AKTAŞ 
20.01.2025
SEVİLAY KAHYA 
860 bin tl 500 peşin 360 12 ay taksit</t>
        </r>
      </text>
    </comment>
    <comment ref="L275" authorId="35" shapeId="0" xr:uid="{016DA346-4D36-4ACA-BF42-E8668A9363F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Bilal AKTAŞ Rezerve İPOTEK VERİLECEK</t>
      </text>
    </comment>
    <comment ref="M275" authorId="0" shapeId="0" xr:uid="{AD21046A-BF4D-4E2B-9F1C-9C5E4DBE396A}">
      <text>
        <r>
          <rPr>
            <sz val="11"/>
            <color theme="1"/>
            <rFont val="Calibri"/>
            <family val="2"/>
            <charset val="162"/>
            <scheme val="minor"/>
          </rPr>
          <t>İSMAİL GÜDEN ADINA REZERVE
20.10.2025</t>
        </r>
      </text>
    </comment>
    <comment ref="M277" authorId="0" shapeId="0" xr:uid="{B2F129CB-1BC4-42D0-B868-6C2C952C08E6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Kullanıcı:hakan yant
EMİR GÖREN İÇİN KAPORA ALINDI</t>
        </r>
      </text>
    </comment>
    <comment ref="M280" authorId="3" shapeId="0" xr:uid="{9AC306A8-CA4A-4087-9189-08E45E69FC0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MEHMET ALİ ÖZEN 
</t>
        </r>
      </text>
    </comment>
    <comment ref="M281" authorId="0" shapeId="0" xr:uid="{B995B801-5A91-4759-B725-79DE77535812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SEMİH AYGÜN 
TURGAY KAVAK</t>
        </r>
      </text>
    </comment>
    <comment ref="M283" authorId="36" shapeId="0" xr:uid="{F1F28991-E693-4916-9DC2-C73AEDBB573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GÜLCAN SÜMER ADINA REZERVE TAPU BAŞVURUSU YAPILDI</t>
      </text>
    </comment>
    <comment ref="L291" authorId="0" shapeId="0" xr:uid="{A02627A9-D87B-4222-BB6A-DFCC1F9660CA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GÖKHAN İZ ADINA REZERVE
20.12.2025
MURAT TURSUN ADINA REZERVE</t>
        </r>
      </text>
    </comment>
    <comment ref="L292" authorId="3" shapeId="0" xr:uid="{06B4B588-7152-4D70-A0B4-E1851BCE65FC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BİLAL AKTAŞ
MESUT YARCAN REZERVE 
06.12</t>
        </r>
      </text>
    </comment>
    <comment ref="M295" authorId="3" shapeId="0" xr:uid="{4E164FCA-F2E9-4709-A544-DBD318EEED06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REYHAN TOKAL REZERVE
BİLAL AKTAŞ</t>
        </r>
      </text>
    </comment>
    <comment ref="L296" authorId="0" shapeId="0" xr:uid="{291528CE-A4ED-4E19-A97E-F39FB835C57B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GÖKHAN İZ ADINA REZERVE
20.12.2025
MURAT TURSUN ADINA REZERVE</t>
        </r>
      </text>
    </comment>
    <comment ref="L301" authorId="3" shapeId="0" xr:uid="{097F068B-40BA-4526-A621-CA338B74714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HALİL GÜLCE İÇİN REZERVE
BİLAL AKTAŞ
15.01.2025 TARİHİNDE REZERVEYE ALINDI
</t>
        </r>
      </text>
    </comment>
    <comment ref="L302" authorId="0" shapeId="0" xr:uid="{98CCEE81-629F-489C-A2DE-52F9C695AAF9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GÖKHAN İZ ADINA REZERVE
20.12.2025
MURAT TURSUN ADINA REZERVE</t>
        </r>
      </text>
    </comment>
    <comment ref="M306" authorId="37" shapeId="0" xr:uid="{B3EDC6DF-AE81-433C-999A-AC52EA0E57F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Mazhar beye kaporası alındı</t>
      </text>
    </comment>
    <comment ref="L310" authorId="38" shapeId="0" xr:uid="{81A6D4BB-7639-4516-8E1F-53E8BA44ACD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Mehtap YAYILGAN:
HÜSEYİN BENGÜ </t>
        </r>
      </text>
    </comment>
    <comment ref="M318" authorId="0" shapeId="0" xr:uid="{698C1010-8673-4EDD-A8B1-7BB49867B6C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ÇAĞRI YALÇINKAYA ADINA REZERVE
03.11.2025
</t>
        </r>
      </text>
    </comment>
    <comment ref="L337" authorId="0" shapeId="0" xr:uid="{F1CBB20F-6FAB-47CE-B45D-83574E6E83C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KADER YAYLA ADINA REZERVE 
11.11.2025
</t>
        </r>
      </text>
    </comment>
    <comment ref="M343" authorId="0" shapeId="0" xr:uid="{EF42F18F-60AE-4D0F-8F9B-C547ACDFD00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Bilinmeyen Kullanıcı:
DOĞUKAN KOÇ ADINA REZERVE
</t>
        </r>
      </text>
    </comment>
    <comment ref="M348" authorId="0" shapeId="0" xr:uid="{C99B1C04-53B6-4AF8-8D55-7EB2037EF7CA}">
      <text>
        <r>
          <rPr>
            <sz val="11"/>
            <color theme="1"/>
            <rFont val="Calibri"/>
            <family val="2"/>
            <charset val="162"/>
            <scheme val="minor"/>
          </rPr>
          <t>BİLAL AKTAŞ</t>
        </r>
      </text>
    </comment>
    <comment ref="M355" authorId="12" shapeId="0" xr:uid="{5AD14686-D763-4FEB-9B67-05ED3478211F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SERCAN KARANLIK ADINA REZERVE
</t>
        </r>
      </text>
    </comment>
    <comment ref="M359" authorId="39" shapeId="0" xr:uid="{BA6B37FE-4638-4434-80F7-BB8E7DFBD21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HÜSNÜ AKGÜN REZERVE TAPU BAŞVURUSU YAPILDI</t>
      </text>
    </comment>
    <comment ref="M363" authorId="40" shapeId="0" xr:uid="{4792E8AD-5E9F-42DC-9371-4D8DEED1015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HİLMİ KAYNAMAZOĞLU REZERVE</t>
      </text>
    </comment>
    <comment ref="M364" authorId="41" shapeId="0" xr:uid="{58F8C2AA-8010-4DD1-8C78-AA93E188C93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GÖRKEM HÖBELEKLİ REZERVE</t>
      </text>
    </comment>
    <comment ref="M376" authorId="0" shapeId="0" xr:uid="{E075804A-B685-436E-8196-2575B0221FA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   BURAK CELAL GÜRPINAR ADINA REZERVE KAPORASI ALINDI 40.000 TL 314 ADA 12 VE 13 PARSEL SATIŞ AĞUSTOS 15 OLACAK TÜRKİYEYE GELİNCE</t>
        </r>
      </text>
    </comment>
    <comment ref="L380" authorId="0" shapeId="0" xr:uid="{3206AB44-0022-485D-88AF-917F3CEE7255}">
      <text>
        <r>
          <rPr>
            <sz val="11"/>
            <color theme="1"/>
            <rFont val="Calibri"/>
            <family val="2"/>
            <charset val="162"/>
            <scheme val="minor"/>
          </rPr>
          <t>ATALAY CÖMERT REZERVE
BİLAL AKTAŞ
16.09.2025</t>
        </r>
      </text>
    </comment>
    <comment ref="M385" authorId="5" shapeId="0" xr:uid="{70ADEF40-CF22-4B1F-AFD8-C02E8E87E8CD}">
      <text>
        <r>
          <rPr>
            <sz val="11"/>
            <color theme="1"/>
            <rFont val="Calibri"/>
            <family val="2"/>
            <charset val="162"/>
            <scheme val="minor"/>
          </rPr>
          <t>MAMİ: 
BİLAL AKTAŞ ADINA REZERVE
MÜŞTERİ: HARUN MARAŞ</t>
        </r>
      </text>
    </comment>
    <comment ref="M413" authorId="42" shapeId="0" xr:uid="{86F46307-CC6B-4766-AA9E-184C55535B5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BAYRAM SÜVER ADINA REZERVE</t>
      </text>
    </comment>
    <comment ref="M415" authorId="12" shapeId="0" xr:uid="{3D0E4415-39D9-423C-88F3-0D788A668A9D}">
      <text>
        <r>
          <rPr>
            <sz val="11"/>
            <color theme="1"/>
            <rFont val="Calibri"/>
            <family val="2"/>
            <charset val="162"/>
            <scheme val="minor"/>
          </rPr>
          <t>Hasan Uysal:
ATALAY CÖMERT ADINA REZERVE</t>
        </r>
      </text>
    </comment>
    <comment ref="M416" authorId="0" shapeId="0" xr:uid="{2265679F-4E1A-4984-A6C1-8FCEFFD4EC01}">
      <text>
        <r>
          <rPr>
            <sz val="11"/>
            <color theme="1"/>
            <rFont val="Calibri"/>
            <family val="2"/>
            <charset val="162"/>
            <scheme val="minor"/>
          </rPr>
          <t>ADNAN AYDOĞDU-ENVER BEY
REZERVE</t>
        </r>
      </text>
    </comment>
    <comment ref="M422" authorId="43" shapeId="0" xr:uid="{AE45CA97-4D68-4312-8F10-BA6B139AD18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TANER SEZER E REZERVE</t>
      </text>
    </comment>
    <comment ref="M423" authorId="0" shapeId="0" xr:uid="{B1B7BC7C-D053-4EF0-ACEE-4D6CDF3C3DD8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ADNAN DİĞRENCİ ADINA REZERVE
28.10.2025</t>
        </r>
      </text>
    </comment>
    <comment ref="M424" authorId="0" shapeId="0" xr:uid="{CB1AF70A-1678-4CAB-8648-B20DD3F3DE9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SERKAN ÖZTÜRK ADINA REZERVE
28.10.2025
</t>
        </r>
      </text>
    </comment>
    <comment ref="M429" authorId="44" shapeId="0" xr:uid="{D419680A-C5E5-41B1-BCCD-E680012106A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TANER SEZER E REZERVE</t>
      </text>
    </comment>
    <comment ref="AA431" authorId="5" shapeId="0" xr:uid="{45F8E71D-0C87-4460-AE93-D5F8674B91A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MAMİ:
Arsa sahibi Damla Irs'ın yetkilendirmenin süresinin bitmesinden kaynaklı arsanın yayından kaldırılmasını talep etmesi üzerine yayından kaldırılmıştır.
</t>
        </r>
      </text>
    </comment>
    <comment ref="L434" authorId="0" shapeId="0" xr:uid="{B78E3569-0BB6-4102-8DA7-4BE8CD6FF97B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Harun bey için rezervede yere bakmak istiyor.</t>
        </r>
      </text>
    </comment>
    <comment ref="L436" authorId="3" shapeId="0" xr:uid="{9C9FAD17-9454-4BC7-A606-78BE135C8C2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 
REZERVE
20.01.2025
</t>
        </r>
      </text>
    </comment>
    <comment ref="M436" authorId="3" shapeId="0" xr:uid="{27D9916A-B011-4A3A-8708-A585649889A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20.02.2025 TARİHİDNE REZERVE EDİLDİ 
NİHAL OSMA 
</t>
        </r>
      </text>
    </comment>
    <comment ref="M440" authorId="0" shapeId="0" xr:uid="{B7CD5279-DEC4-4C71-8F1F-BE979AFED749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  BURAK CELAL GÜRPINAR ADINA REZERVE KAPORASI ALINDI 40.000 TL 314 ADA 12 VE 13 PARSEL SATIŞ AĞUSTOS 15 OLACAK TÜRKİYEYE GELİNCE</t>
        </r>
      </text>
    </comment>
    <comment ref="L441" authorId="3" shapeId="0" xr:uid="{E8FB17BB-FDBC-469B-8850-03D02EDD7C94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16.01.2025
REZERVE
TAPU BAŞVURUSU YAPILDI</t>
        </r>
      </text>
    </comment>
    <comment ref="L442" authorId="3" shapeId="0" xr:uid="{2C82732E-C8DD-4AB2-9571-798E3BE712F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16.01.2025
REZERVE
TEKLİF ATILDI
</t>
        </r>
      </text>
    </comment>
    <comment ref="L464" authorId="13" shapeId="0" xr:uid="{48D61DDA-79D7-47CB-9F08-D9241A1BB41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31 ARALIK 2024
BAYRAM BEY 
31.12.2024 15 bin tl kapora alındı 
305 Bin TL peşin 
</t>
        </r>
      </text>
    </comment>
    <comment ref="L470" authorId="13" shapeId="0" xr:uid="{A8D761EA-64E2-4F38-BF33-8A0DE96A4A0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30.12.2024 
ADEM YÜCEL
350 BİN TL PEŞİN 
01.01.2015 5 bin tl kapora alındı </t>
        </r>
      </text>
    </comment>
    <comment ref="M490" authorId="3" shapeId="0" xr:uid="{322ECA30-FC19-4057-8714-A48CB007CD87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Bereketli Topraklar:
ADEM BEY 
BİLAL AKTAŞ
cihan abi kapora alındı</t>
        </r>
      </text>
    </comment>
    <comment ref="L492" authorId="38" shapeId="0" xr:uid="{E4C943CF-25AA-4620-8678-FAD5A07DDFC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Mehtap YAYILGAN:
CELAL HOCA </t>
        </r>
      </text>
    </comment>
    <comment ref="M495" authorId="13" shapeId="0" xr:uid="{E2687F50-9D67-4C90-B297-304F43BDEBD1}">
      <text>
        <r>
          <rPr>
            <sz val="11"/>
            <color theme="1"/>
            <rFont val="Calibri"/>
            <family val="2"/>
            <charset val="162"/>
            <scheme val="minor"/>
          </rPr>
          <t>samet adalı:
SAMET ADALI 
SERKAN TAŞKIN 
530.000 TL PEŞİN 
02 NİSANDA SATIŞI YAPILACAK</t>
        </r>
      </text>
    </comment>
    <comment ref="M496" authorId="3" shapeId="0" xr:uid="{9AB76CAF-6DBD-43E6-9DAD-89E0F2E650F4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ADEM BEY 
BİLAL AKTAŞ</t>
        </r>
      </text>
    </comment>
    <comment ref="M531" authorId="0" shapeId="0" xr:uid="{FF4033CF-AFFC-4A28-85BE-2615E017081C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ZGÜR BEY ADINA KAPORA ALINDI 18.8.2025 SATIŞ İŞLEMİ YAPILACAK</t>
        </r>
      </text>
    </comment>
    <comment ref="M582" authorId="45" shapeId="0" xr:uid="{134279C6-1556-46F8-B47E-C95FDB39DA3B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MURAT ASLAN'A REZERVE BAŞVURU YAPILDI</t>
      </text>
    </comment>
    <comment ref="M589" authorId="46" shapeId="0" xr:uid="{9C5AA83F-E90E-4625-BA38-B72093C7C23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ELA / CİHAN ÇİÇEK REZERVE</t>
      </text>
    </comment>
    <comment ref="M590" authorId="0" shapeId="0" xr:uid="{FE883AFA-EA66-48A3-8E5B-2DED8128D542}">
      <text>
        <r>
          <rPr>
            <sz val="11"/>
            <color theme="1"/>
            <rFont val="Calibri"/>
            <family val="2"/>
            <charset val="162"/>
            <scheme val="minor"/>
          </rPr>
          <t>FERİT IŞIK KAPORA ATTI
SEMİH AYGÜN</t>
        </r>
      </text>
    </comment>
    <comment ref="M591" authorId="5" shapeId="0" xr:uid="{971A0B39-B61B-432D-92C3-091C3B5C13F6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Unknown User:
Bilal AKTAŞ 
Doğukan Koç Rezerve
</t>
        </r>
      </text>
    </comment>
    <comment ref="M593" authorId="5" shapeId="0" xr:uid="{B9C746EF-4448-44E8-A05F-A3ED8AED2CE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Unknown User:
Bilal AKTAŞ 
Doğukan Koç Rezerve
</t>
        </r>
      </text>
    </comment>
    <comment ref="M594" authorId="5" shapeId="0" xr:uid="{45EB659B-6E58-48FF-8AB5-9B1B9A208E6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Unknown User:
Bilal AKTAŞ 
Doğukan Koç Rezerve
</t>
        </r>
      </text>
    </comment>
    <comment ref="L595" authorId="0" shapeId="0" xr:uid="{D037DC9A-4CF3-41A3-983D-587E97DCDDDE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REZERVE BİLAL AKTAŞ TUNCAY İLKKAN</t>
        </r>
      </text>
    </comment>
    <comment ref="L596" authorId="12" shapeId="0" xr:uid="{571CBC81-F778-4638-AB8A-0F7EAE92BDD2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Hasan Uysal:
ADNAN ALTUNTAŞ ADINA REZERVE TAPU BAŞVURU YAPILDI 09.03.2025
</t>
        </r>
      </text>
    </comment>
    <comment ref="M614" authorId="0" shapeId="0" xr:uid="{483BE462-AFEE-4108-AA18-45B5E2FDE299}">
      <text>
        <r>
          <rPr>
            <sz val="11"/>
            <color theme="1"/>
            <rFont val="Calibri"/>
            <family val="2"/>
            <charset val="162"/>
            <scheme val="minor"/>
          </rPr>
          <t>HASAN UYSAL 
UĞUR ŞİMŞEK ADINA REZERVE
04.10.2025</t>
        </r>
      </text>
    </comment>
    <comment ref="M640" authorId="47" shapeId="0" xr:uid="{36633CFB-CD2C-48FB-A794-FE05B25733D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MEHMET ALİ YAMAN'A REZERVE</t>
      </text>
    </comment>
    <comment ref="M650" authorId="48" shapeId="0" xr:uid="{776F85EB-806F-4DEF-90DE-6FADE96A6D9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MEHMET ALİ YAMAN'A REZERVE</t>
      </text>
    </comment>
    <comment ref="M651" authorId="0" shapeId="0" xr:uid="{5CC1011C-0FD1-4D22-AC16-4F9E4C13A3F3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SERKAN ÖZTÜRK ADINA REZERVE
28.10.2025</t>
        </r>
      </text>
    </comment>
    <comment ref="M670" authorId="0" shapeId="0" xr:uid="{26997E3C-2FC3-40CC-BE59-E1E7F15504D9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akan yant SÜLEYMAN EMRE ATAĞ KAPORA ALINDI</t>
        </r>
      </text>
    </comment>
    <comment ref="V671" authorId="5" shapeId="0" xr:uid="{F089AEE3-7953-4F94-90BD-71DEF6BE1E66}">
      <text>
        <r>
          <rPr>
            <sz val="11"/>
            <color theme="1"/>
            <rFont val="Calibri"/>
            <family val="2"/>
            <charset val="162"/>
            <scheme val="minor"/>
          </rPr>
          <t>03/07/2025 tarihinde Dikili Belediyesi E-imar sitesinden teyit edildi.</t>
        </r>
      </text>
    </comment>
    <comment ref="L676" authorId="3" shapeId="0" xr:uid="{D225A2DA-1117-445D-A1E0-1BF2A28D440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LEVENT KORKMAZ 
REZERVE
</t>
        </r>
      </text>
    </comment>
    <comment ref="M687" authorId="49" shapeId="0" xr:uid="{94412E8C-1C06-4AD8-BAEC-C3880C550A5A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HASAN UYSAL: YAHYA TURAN ADINA REZERVE KAPORA ALINDI </t>
      </text>
    </comment>
    <comment ref="L690" authorId="0" shapeId="0" xr:uid="{1DC8BF14-8545-4611-B479-69E90035E28A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SEMİH AYGÜN 
NURHAN ÖZKAN KAPORA ALINDI</t>
        </r>
      </text>
    </comment>
    <comment ref="M691" authorId="0" shapeId="0" xr:uid="{9E8813F7-D39B-41FE-B228-5E63C2162268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EMİH AYGÜN OĞUZ BEY KAPORA ALINDI</t>
        </r>
      </text>
    </comment>
    <comment ref="M721" authorId="0" shapeId="0" xr:uid="{44B3DF28-4690-44ED-93EA-0C726DF569E3}">
      <text>
        <r>
          <rPr>
            <sz val="11"/>
            <color theme="1"/>
            <rFont val="Calibri"/>
            <family val="2"/>
            <charset val="162"/>
            <scheme val="minor"/>
          </rPr>
          <t>BERNA KARAKURT REZERVE
BİLAL AKTAŞ</t>
        </r>
      </text>
    </comment>
    <comment ref="M722" authorId="0" shapeId="0" xr:uid="{88B9F72B-2A93-4398-B65C-5060E3633A9D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haydar kurt 5.000 tl kapora alındı</t>
        </r>
      </text>
    </comment>
    <comment ref="L730" authorId="0" shapeId="0" xr:uid="{7F378FC9-7CCB-4036-ADAF-8535A43B7CB0}">
      <text>
        <r>
          <rPr>
            <sz val="11"/>
            <color theme="1"/>
            <rFont val="Calibri"/>
            <family val="2"/>
            <charset val="162"/>
            <scheme val="minor"/>
          </rPr>
          <t>İLKER KAYA ADINA REZERVE</t>
        </r>
      </text>
    </comment>
    <comment ref="L731" authorId="0" shapeId="0" xr:uid="{54ACCADA-934E-4F80-858E-C11B0DE7841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ALİ BAŞÇAVUŞ ADINA REZERVE
20.12.2025
</t>
        </r>
      </text>
    </comment>
    <comment ref="L733" authorId="13" shapeId="0" xr:uid="{6362BB88-E6F3-4203-837B-957C3C28517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samet adalı:
SAMET ADALI 
21.01.2025
SEDEF AYDIN
10 BİN TL KAPORA ALINDI.
700 BİN PEŞİN + 200 BİN VADE 4 AY. 22.01 Tapu Başvuru yapılacak </t>
        </r>
      </text>
    </comment>
    <comment ref="M734" authorId="0" shapeId="0" xr:uid="{E4857158-EE62-4D9A-A95D-DBECA47A78E1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HASRET DOGATA ADINA REZERVE
FURKAN HOŞGÖR
23.09.2025
</t>
        </r>
      </text>
    </comment>
    <comment ref="L737" authorId="4" shapeId="0" xr:uid="{CAFE108E-83F4-49BE-BE0C-54B252E1AE89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MUTTALİP BAŞCAVUŞ ADINA REZERVE</t>
        </r>
      </text>
    </comment>
    <comment ref="L742" authorId="0" shapeId="0" xr:uid="{61A8B7FA-CD72-4A67-B8CD-F37340B6EAB8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SEMİH AYGÜN 
YAŞAR KARA ADINA REZERVE
</t>
        </r>
      </text>
    </comment>
    <comment ref="M745" authorId="0" shapeId="0" xr:uid="{3BEF4211-4DBB-48F3-B338-567FB49E39D2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Semih Aygün
Adem Özgür Rezerve</t>
        </r>
      </text>
    </comment>
    <comment ref="L746" authorId="4" shapeId="0" xr:uid="{AA970CAB-ACA9-4530-95AB-CED18092902F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HÜSEYİN BULAT ADINA REZERVE
18.12.2025</t>
        </r>
      </text>
    </comment>
    <comment ref="L751" authorId="3" shapeId="0" xr:uid="{A50DA78A-B98F-4556-9229-19DB5BF52014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Bereketli Topraklar:
BİLAL AKTAŞ REZERVE
DOĞAN KINIK
</t>
        </r>
      </text>
    </comment>
    <comment ref="L752" authorId="4" shapeId="0" xr:uid="{35B39B14-A73E-4B99-B424-7A8A6572EBE0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HÜSEYİN BULAT ADINA REZERVE
18.12.2025</t>
        </r>
      </text>
    </comment>
    <comment ref="L753" authorId="0" shapeId="0" xr:uid="{1E4FFC4D-EA6C-42B6-856B-C3BD74B6BEFC}">
      <text>
        <r>
          <rPr>
            <sz val="11"/>
            <color theme="1"/>
            <rFont val="Calibri"/>
            <family val="2"/>
            <charset val="162"/>
            <scheme val="minor"/>
          </rPr>
          <t>BİLAL AKTAŞ
ALİ ORAL VE MURAT BAŞÇAVUŞ ADINA REZERVE
20.12.2025</t>
        </r>
      </text>
    </comment>
    <comment ref="L754" authorId="0" shapeId="0" xr:uid="{A1B154CB-7DB0-4952-B85A-B5877BE614A9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GÖKHAN BETÜL ERDİNÇ ADINA REZERVE
20.12.2025
</t>
        </r>
      </text>
    </comment>
    <comment ref="M756" authorId="3" shapeId="0" xr:uid="{51B707D1-DCD6-437F-95F4-69B222302C01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ERTAN YILDIRIM ADINA REZERVE
HAKAN YANT</t>
        </r>
      </text>
    </comment>
    <comment ref="L757" authorId="0" shapeId="0" xr:uid="{0C8EA526-30B1-4091-8174-5228007C029D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Semih Aygün
Finansçı Hakan abi ye rezerve</t>
        </r>
      </text>
    </comment>
    <comment ref="L758" authorId="0" shapeId="0" xr:uid="{F028CA3C-5A52-4C5C-82E6-A8B24E743E84}">
      <text>
        <r>
          <rPr>
            <sz val="11"/>
            <color theme="1"/>
            <rFont val="Calibri"/>
            <family val="2"/>
            <charset val="162"/>
            <scheme val="minor"/>
          </rPr>
          <t>Bilinmeyen Kullanıcı:
EBRU ÖZTÜRK ADINA REZERVE
HAKAN YANT</t>
        </r>
      </text>
    </comment>
    <comment ref="AE763" authorId="50" shapeId="0" xr:uid="{9014FE5F-7BED-4C0F-A96D-1D41ECE9924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TAPU ERSİN UÇAN ÜZERİNDE</t>
      </text>
    </comment>
    <comment ref="L778" authorId="3" shapeId="0" xr:uid="{EA211380-20F5-451C-B34B-2E0D671FC7FF}">
      <text>
        <r>
          <rPr>
            <sz val="11"/>
            <color theme="1"/>
            <rFont val="Calibri"/>
            <family val="2"/>
            <charset val="162"/>
            <scheme val="minor"/>
          </rPr>
          <t>Bereketli Topraklar:
TÜLAY TEYZENİN KARDEŞİ 
BİLAL AKTAŞ</t>
        </r>
      </text>
    </comment>
    <comment ref="M784" authorId="51" shapeId="0" xr:uid="{93A12527-0757-424F-B50E-F88F509DFC78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HALKBANKA İPOTEKLİ</t>
      </text>
    </comment>
    <comment ref="M787" authorId="0" shapeId="0" xr:uid="{18EE2D5A-31A2-4781-8CF3-69545EA8DB23}">
      <text>
        <r>
          <rPr>
            <sz val="11"/>
            <color theme="1"/>
            <rFont val="Calibri"/>
            <family val="2"/>
            <charset val="162"/>
            <scheme val="minor"/>
          </rPr>
          <t>HALİME ALBAYRAK AKDEVECİ KAPORA ALINDI.</t>
        </r>
      </text>
    </comment>
    <comment ref="M790" authorId="4" shapeId="0" xr:uid="{39ECE11F-9769-4A09-9C52-2ACD5D25BDA3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DR. NAZİF ADINA REZERVE
BİLAL AKTAŞ
</t>
        </r>
      </text>
    </comment>
    <comment ref="L792" authorId="0" shapeId="0" xr:uid="{504D5DD0-5BFA-467A-B3A5-53A25B6E8AE5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BİRANT BİROL AKKUYU ADINDA REZERVE
</t>
        </r>
      </text>
    </comment>
    <comment ref="V795" authorId="5" shapeId="0" xr:uid="{5FFC6285-1737-4512-9B8C-339D199AEA3B}">
      <text>
        <r>
          <rPr>
            <sz val="11"/>
            <color theme="1"/>
            <rFont val="Calibri"/>
            <family val="2"/>
            <charset val="162"/>
            <scheme val="minor"/>
          </rPr>
          <t>MAMİ:
03/07/2025 tarihinde Çanakkale İl Özel İdaresi E-imar sitesinden teyit edildi.
GABARİ: 7.5</t>
        </r>
      </text>
    </comment>
    <comment ref="L797" authorId="52" shapeId="0" xr:uid="{0E1ADCDC-8FCB-451E-BD1B-6DDE08DF333E}">
      <text>
        <r>
          <rPr>
            <sz val="11"/>
            <color theme="1"/>
            <rFont val="Calibri"/>
            <family val="2"/>
            <charset val="162"/>
            <scheme val="minor"/>
          </rPr>
          <t>FURKAN KARABULUT:
Semih Aygün wp mesajı:
314/14 germencik Sinan beye  rezerve haftaya İstanbul da devri yapilacak</t>
        </r>
      </text>
    </comment>
    <comment ref="L798" authorId="9" shapeId="0" xr:uid="{8BE27D11-0B2B-4E9D-BE79-F6F9ED3FDFE8}">
      <text>
        <r>
          <rPr>
            <sz val="11"/>
            <color theme="1"/>
            <rFont val="Calibri"/>
            <family val="2"/>
            <charset val="162"/>
            <scheme val="minor"/>
          </rPr>
          <t>Taner Varsak:
Bilal Aktaş Resul Savaş a rezerve etti, instagram</t>
        </r>
      </text>
    </comment>
    <comment ref="W798" authorId="5" shapeId="0" xr:uid="{4F42D12D-D777-41D9-BA9D-EC10486C3614}">
      <text>
        <r>
          <rPr>
            <sz val="11"/>
            <color theme="1"/>
            <rFont val="Calibri"/>
            <family val="2"/>
            <charset val="162"/>
            <scheme val="minor"/>
          </rPr>
          <t>MAMİ:
E-DEVLET ÜZERİNDEN TEYİT EDİLDİ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Konuk Kullanıcı</author>
  </authors>
  <commentList>
    <comment ref="N11" authorId="0" shapeId="0" xr:uid="{051C0A1C-4F14-4C27-83B0-4689B599A4A2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Tolgahan Ersoy Adına Rezerve
Bilal Aktaş
30.08.2025</t>
        </r>
      </text>
    </comment>
    <comment ref="N12" authorId="0" shapeId="0" xr:uid="{0CDDE3B2-5755-418D-BA68-7BC7A6257379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Mehmet Ali Yaman Adına Rezerve
Bilal Aktaş
30.08.2025</t>
        </r>
      </text>
    </comment>
    <comment ref="N13" authorId="0" shapeId="0" xr:uid="{79C9DED6-75F9-49A2-860C-69CC7FAB9B25}">
      <text>
        <r>
          <rPr>
            <sz val="11"/>
            <color theme="1"/>
            <rFont val="Calibri"/>
            <family val="2"/>
            <charset val="162"/>
            <scheme val="minor"/>
          </rPr>
          <t>Furkan Hoşgör
Tolga Özbıyık Adına Rezerve
Bilal Aktaş</t>
        </r>
      </text>
    </comment>
    <comment ref="N14" authorId="0" shapeId="0" xr:uid="{60508524-81E7-4B8A-AB43-1673D667B55B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Furkan Hoşgör
Ayşe Ubuz Adına Rezerve
Bilal Aktaş
</t>
        </r>
      </text>
    </comment>
    <comment ref="N15" authorId="0" shapeId="0" xr:uid="{84F893F3-06B0-4A3D-B394-63F9F84C19C0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FURKAN HOŞGÖR
TANER SEZER ADINA REZERVE
BİLAL AKTAŞ
REZERVE İPTAL
</t>
        </r>
      </text>
    </comment>
    <comment ref="N45" authorId="0" shapeId="0" xr:uid="{5E6687D9-252D-4580-BEBA-FDF216C30E3C}">
      <text>
        <r>
          <rPr>
            <sz val="11"/>
            <color theme="1"/>
            <rFont val="Calibri"/>
            <family val="2"/>
            <charset val="162"/>
            <scheme val="minor"/>
          </rPr>
          <t xml:space="preserve">BİLAL AKTAŞ
MEHMET AKKAŞ ADINA REZ
27.09.2025
</t>
        </r>
      </text>
    </comment>
  </commentList>
</comments>
</file>

<file path=xl/sharedStrings.xml><?xml version="1.0" encoding="utf-8"?>
<sst xmlns="http://schemas.openxmlformats.org/spreadsheetml/2006/main" count="8256" uniqueCount="660">
  <si>
    <t>İL</t>
  </si>
  <si>
    <t>İLÇE</t>
  </si>
  <si>
    <t>MAHALLE</t>
  </si>
  <si>
    <t>ALAN</t>
  </si>
  <si>
    <t>ADA</t>
  </si>
  <si>
    <t>PARSEL</t>
  </si>
  <si>
    <t>Kod</t>
  </si>
  <si>
    <t>TAPU ID</t>
  </si>
  <si>
    <t>SATIŞ DURUM</t>
  </si>
  <si>
    <t>1. MÜŞTERİ</t>
  </si>
  <si>
    <t>BEYAN</t>
  </si>
  <si>
    <t>EİDS YETKİ BİTİŞ</t>
  </si>
  <si>
    <t>2. MÜŞTERİ</t>
  </si>
  <si>
    <t>3. MÜŞTERİ</t>
  </si>
  <si>
    <t>BALIKESİR</t>
  </si>
  <si>
    <t>SUSURLUK</t>
  </si>
  <si>
    <t>REŞADİYE</t>
  </si>
  <si>
    <t>MANİSA</t>
  </si>
  <si>
    <t>DEMİRCİ</t>
  </si>
  <si>
    <t>HÜDÜK</t>
  </si>
  <si>
    <t>MİNNETLER</t>
  </si>
  <si>
    <t>ALAŞEHİR</t>
  </si>
  <si>
    <t>KİLLİK</t>
  </si>
  <si>
    <t>KARESİ</t>
  </si>
  <si>
    <t>İBİRLER</t>
  </si>
  <si>
    <t>BOYACIK</t>
  </si>
  <si>
    <t>KALAYCILAR</t>
  </si>
  <si>
    <t>NAİPLİ</t>
  </si>
  <si>
    <t>DURSUNBEY</t>
  </si>
  <si>
    <t>AŞAĞIMUSALAR</t>
  </si>
  <si>
    <t>AYDIN</t>
  </si>
  <si>
    <t>GERMENCİK</t>
  </si>
  <si>
    <t>CAMİKEBİR</t>
  </si>
  <si>
    <t>SINDIRGI</t>
  </si>
  <si>
    <t>ARMUTLU</t>
  </si>
  <si>
    <t>KULALAR</t>
  </si>
  <si>
    <t xml:space="preserve">ANKARA </t>
  </si>
  <si>
    <t>GÜDÜL</t>
  </si>
  <si>
    <t>GÜNEYCE</t>
  </si>
  <si>
    <t>GÖRDES</t>
  </si>
  <si>
    <t>BEĞEL</t>
  </si>
  <si>
    <t>BÜYÜKPINAR</t>
  </si>
  <si>
    <t>İBİLLER</t>
  </si>
  <si>
    <t>KEPSUT</t>
  </si>
  <si>
    <t>KAYAELİ</t>
  </si>
  <si>
    <t>DELİCE</t>
  </si>
  <si>
    <t>İZMİR</t>
  </si>
  <si>
    <t>DİKİLİ</t>
  </si>
  <si>
    <t>İSLAMLAR</t>
  </si>
  <si>
    <t>ÇANAKKALE</t>
  </si>
  <si>
    <t>BİGA</t>
  </si>
  <si>
    <t>KAHVETEPE</t>
  </si>
  <si>
    <t>KEMALİYE</t>
  </si>
  <si>
    <t>CEM ANIZ</t>
  </si>
  <si>
    <t>KINIK</t>
  </si>
  <si>
    <t>KIRMIZILAR</t>
  </si>
  <si>
    <t>KUVAYİ MİLLİYE</t>
  </si>
  <si>
    <t>AKHİSAR</t>
  </si>
  <si>
    <t>MİLİNGE</t>
  </si>
  <si>
    <t>TOYBELEN</t>
  </si>
  <si>
    <t>TURPLU</t>
  </si>
  <si>
    <t xml:space="preserve">BALIKESİR </t>
  </si>
  <si>
    <t>ÜMİTELİ</t>
  </si>
  <si>
    <t>ILICABOĞAZI</t>
  </si>
  <si>
    <t>Bardakçı</t>
  </si>
  <si>
    <t>ÇELİKLER</t>
  </si>
  <si>
    <t>İVRİNDİ</t>
  </si>
  <si>
    <t>ERDEL</t>
  </si>
  <si>
    <t>YENİCE</t>
  </si>
  <si>
    <t>KARAKÖY</t>
  </si>
  <si>
    <t>KATIRALANI</t>
  </si>
  <si>
    <t>GÖZLÜÇAYIR</t>
  </si>
  <si>
    <t>TATLIPINAR</t>
  </si>
  <si>
    <t>DAVUTLAR</t>
  </si>
  <si>
    <t>MALTEPE</t>
  </si>
  <si>
    <t>Sultançayır</t>
  </si>
  <si>
    <t>ŞEHZADELER</t>
  </si>
  <si>
    <t>TEPECİK</t>
  </si>
  <si>
    <t>Karaköy</t>
  </si>
  <si>
    <t>ALTIEYLÜL</t>
  </si>
  <si>
    <t>DİNKÇİLER</t>
  </si>
  <si>
    <t>BURSA</t>
  </si>
  <si>
    <t>ORHANGAZİ</t>
  </si>
  <si>
    <t>GEDELEK</t>
  </si>
  <si>
    <t>ANTALYA</t>
  </si>
  <si>
    <t>FİNİKE</t>
  </si>
  <si>
    <t>KARŞIYAKA</t>
  </si>
  <si>
    <t>ESKİŞEHİR</t>
  </si>
  <si>
    <t>MİHALIÇÇIK</t>
  </si>
  <si>
    <t>Camikebir</t>
  </si>
  <si>
    <t>ÇAN</t>
  </si>
  <si>
    <t>İSTİKLAL</t>
  </si>
  <si>
    <t>BAKACAK</t>
  </si>
  <si>
    <t>ÇEŞMEALTI</t>
  </si>
  <si>
    <t>DEMİRKAPI</t>
  </si>
  <si>
    <t>DERECİKÖREN</t>
  </si>
  <si>
    <t>494.90</t>
  </si>
  <si>
    <t>451.63</t>
  </si>
  <si>
    <t>315.61</t>
  </si>
  <si>
    <t>256.29</t>
  </si>
  <si>
    <t>261.07</t>
  </si>
  <si>
    <t>619.07</t>
  </si>
  <si>
    <t>NİLÜFER</t>
  </si>
  <si>
    <t>KAYAPA</t>
  </si>
  <si>
    <t>KOCAKAĞAN</t>
  </si>
  <si>
    <t>KOCASİNAN</t>
  </si>
  <si>
    <t>KÜÇÜKKATRANCI</t>
  </si>
  <si>
    <t>KÜRSE</t>
  </si>
  <si>
    <t>SELİMAĞA</t>
  </si>
  <si>
    <t>SELİMİYE</t>
  </si>
  <si>
    <t>YAYLACIK</t>
  </si>
  <si>
    <t>YEŞİLYURT</t>
  </si>
  <si>
    <t>YENİŞEHİR</t>
  </si>
  <si>
    <t xml:space="preserve">SULTANÇAYIR </t>
  </si>
  <si>
    <t xml:space="preserve">İL </t>
  </si>
  <si>
    <t>İlçe</t>
  </si>
  <si>
    <t>Alan</t>
  </si>
  <si>
    <t>Nitelik</t>
  </si>
  <si>
    <t>M2 FİYATI</t>
  </si>
  <si>
    <t>İLAN Fiyatı</t>
  </si>
  <si>
    <t>PEŞİN İSKONTOLU M2 FİYATI</t>
  </si>
  <si>
    <t>Peşin İskontolu Fiyat</t>
  </si>
  <si>
    <t>12 Ay Taksitli M2 Fiyat</t>
  </si>
  <si>
    <t>12 Ay Taksitli Fiyat</t>
  </si>
  <si>
    <t>12 ay taksitli peşinat</t>
  </si>
  <si>
    <t>12 ay taksit tutarı</t>
  </si>
  <si>
    <t>24 ay taksitli M2 fiyat</t>
  </si>
  <si>
    <t>24 ay taksitli fiyat</t>
  </si>
  <si>
    <t>24 ay taksitli peşinat</t>
  </si>
  <si>
    <t>24 ay taksit tutarı</t>
  </si>
  <si>
    <t>ARSA</t>
  </si>
  <si>
    <t>ŞEHİRAYDIN</t>
  </si>
  <si>
    <t>YÜZ ÖLÇÜMÜ M2</t>
  </si>
  <si>
    <t>KOD</t>
  </si>
  <si>
    <t>HANGİ ŞİRKET?</t>
  </si>
  <si>
    <t>RESMİ ALIŞ FİYATI
(KDV HARİÇ)</t>
  </si>
  <si>
    <t>RESMİ SATIŞ FİYATI</t>
  </si>
  <si>
    <t>BİLAL AKTAŞ</t>
  </si>
  <si>
    <t>BEREKETLİ AŞ</t>
  </si>
  <si>
    <t>KESPUT</t>
  </si>
  <si>
    <t>BARDAKÇI</t>
  </si>
  <si>
    <t>BT META</t>
  </si>
  <si>
    <t>MÜŞTERİ YERİ</t>
  </si>
  <si>
    <t>MANYAS</t>
  </si>
  <si>
    <t>ÇARŞI</t>
  </si>
  <si>
    <t>STOK - HAZIR</t>
  </si>
  <si>
    <t>STOK - EMANET</t>
  </si>
  <si>
    <t>STOK - YATIRIMCI</t>
  </si>
  <si>
    <t>STOK - İPOTEK</t>
  </si>
  <si>
    <t>STOK - KONS - ŞAHIS</t>
  </si>
  <si>
    <t>DEĞİL - SATILDI</t>
  </si>
  <si>
    <t>STOK TÜRÜ</t>
  </si>
  <si>
    <t>ÖNCELİK</t>
  </si>
  <si>
    <t>NİTELİK</t>
  </si>
  <si>
    <t>ŞİRKET</t>
  </si>
  <si>
    <t>DURUM</t>
  </si>
  <si>
    <t>DURUM 2</t>
  </si>
  <si>
    <t>PEŞİN FİYAT</t>
  </si>
  <si>
    <t xml:space="preserve">PEŞİN İSKONTOLU FİYAT </t>
  </si>
  <si>
    <t>12 AY TAKSİTLİ M2</t>
  </si>
  <si>
    <t>12 AY TAKSİTLİ FİYAT</t>
  </si>
  <si>
    <t>24 AY Taksitli M2</t>
  </si>
  <si>
    <t>24 Ay Taksitli Fiyat</t>
  </si>
  <si>
    <t>TAKS</t>
  </si>
  <si>
    <t>KAKS (EMSAL)</t>
  </si>
  <si>
    <t>TAŞINMAZ ID</t>
  </si>
  <si>
    <t>DANIŞMAN</t>
  </si>
  <si>
    <t>YAYINLACAK</t>
  </si>
  <si>
    <t>DOPİNG</t>
  </si>
  <si>
    <t>YAYINA ALMA DURUMU</t>
  </si>
  <si>
    <t>WEB</t>
  </si>
  <si>
    <t>SAHİBİNDEN</t>
  </si>
  <si>
    <t>HEPSİ EMLAK</t>
  </si>
  <si>
    <t>MÜŞTERİ</t>
  </si>
  <si>
    <t xml:space="preserve">EİDS YETKİ BİTİŞ </t>
  </si>
  <si>
    <t xml:space="preserve">2. Müşteri </t>
  </si>
  <si>
    <t>3. Müşteri</t>
  </si>
  <si>
    <t>EİDS YETKİ DURUMU</t>
  </si>
  <si>
    <t>ŞİRKET EİDS YETKİ BİTİŞ TARİHİ</t>
  </si>
  <si>
    <t>SATIŞ KAPANDI</t>
  </si>
  <si>
    <t>-</t>
  </si>
  <si>
    <t>İLAN</t>
  </si>
  <si>
    <t xml:space="preserve"> 136598-1554</t>
  </si>
  <si>
    <t>KORAY KIVAM</t>
  </si>
  <si>
    <t>MEHMET AKKAŞ</t>
  </si>
  <si>
    <t>OLCAY KUBİLAY</t>
  </si>
  <si>
    <t>KÜTAHYA</t>
  </si>
  <si>
    <t>MERKEZ</t>
  </si>
  <si>
    <t>İNKÖY</t>
  </si>
  <si>
    <t>İLAN BEKLİYOR</t>
  </si>
  <si>
    <t>STOKTA</t>
  </si>
  <si>
    <t>GÖKHAN AYDIN</t>
  </si>
  <si>
    <t>BALIKLIDERE</t>
  </si>
  <si>
    <t>Hüseyin Avni Çelebi</t>
  </si>
  <si>
    <t>HASAN UYSAL</t>
  </si>
  <si>
    <t>OK</t>
  </si>
  <si>
    <t>31/12/2035</t>
  </si>
  <si>
    <t>ÖNCELİKLİ</t>
  </si>
  <si>
    <t>DORTAGE AŞ</t>
  </si>
  <si>
    <t>İSMAİL ALP</t>
  </si>
  <si>
    <t>SATILDI/2. SATIŞTA</t>
  </si>
  <si>
    <t>İLANDA</t>
  </si>
  <si>
    <t>STOKTA/İPOTEKLİ</t>
  </si>
  <si>
    <t>İlan</t>
  </si>
  <si>
    <t xml:space="preserve"> 136598-1086</t>
  </si>
  <si>
    <t>SATILDI</t>
  </si>
  <si>
    <t>LİNK</t>
  </si>
  <si>
    <t>TANER SEZER</t>
  </si>
  <si>
    <t>YENİPAZAR</t>
  </si>
  <si>
    <t>ALHAN</t>
  </si>
  <si>
    <t>?</t>
  </si>
  <si>
    <t>HAKAN YANT</t>
  </si>
  <si>
    <t>ŞEYMA BEKAR</t>
  </si>
  <si>
    <t>BENSU KİRİŞÇİOĞLU</t>
  </si>
  <si>
    <t>36598-1778</t>
  </si>
  <si>
    <t>MEHMET EMİN AKTAŞ</t>
  </si>
  <si>
    <t>BANU GÜLCE</t>
  </si>
  <si>
    <t>TARLA</t>
  </si>
  <si>
    <t>1220475793/</t>
  </si>
  <si>
    <t>136598-1564</t>
  </si>
  <si>
    <t>NİSA SAKAR</t>
  </si>
  <si>
    <t>31.12.2027</t>
  </si>
  <si>
    <t>İLAN YOK GİRİLECEK</t>
  </si>
  <si>
    <t>136598-1439</t>
  </si>
  <si>
    <t>İPOTEKLİ</t>
  </si>
  <si>
    <t>136598-1511</t>
  </si>
  <si>
    <t>MERT OSKAN</t>
  </si>
  <si>
    <t>SEMİH AYGÜN</t>
  </si>
  <si>
    <t xml:space="preserve"> 136598-1609</t>
  </si>
  <si>
    <t>EMRE-FİLİZ TEK</t>
  </si>
  <si>
    <t>136598-1651</t>
  </si>
  <si>
    <t>SEZEN KAYNAR ALPAN</t>
  </si>
  <si>
    <t>VAR</t>
  </si>
  <si>
    <t>TANER VARSAK</t>
  </si>
  <si>
    <t>SÖKE</t>
  </si>
  <si>
    <t>ATBURGAZI</t>
  </si>
  <si>
    <t>REZERVE</t>
  </si>
  <si>
    <t>TOLGA OKYAY</t>
  </si>
  <si>
    <t>KONSİNYE</t>
  </si>
  <si>
    <t>136598-1580</t>
  </si>
  <si>
    <t>136598-1541</t>
  </si>
  <si>
    <t>MESUT ÇINAR</t>
  </si>
  <si>
    <t>136598-1555</t>
  </si>
  <si>
    <t>MESUT MURATOĞLU</t>
  </si>
  <si>
    <t>OSMANGAZİ</t>
  </si>
  <si>
    <t>AKPINAR</t>
  </si>
  <si>
    <t>EV</t>
  </si>
  <si>
    <t>MEHMET AKKAŞ'ın evi</t>
  </si>
  <si>
    <t>MESUT YARCAN</t>
  </si>
  <si>
    <t>ÇALI</t>
  </si>
  <si>
    <t>136598-1653</t>
  </si>
  <si>
    <t>DOĞAN KINIK</t>
  </si>
  <si>
    <t>136598-1661</t>
  </si>
  <si>
    <t>İLAN GİRİLMESİN</t>
  </si>
  <si>
    <t>ÖZGE AYTEN GÜDEN</t>
  </si>
  <si>
    <t>MURAT DEMİR'İN MÜŞTERİSİ seyfettin karcı</t>
  </si>
  <si>
    <t>DAĞYENİCE</t>
  </si>
  <si>
    <t>BEREKETLİ EMLAK</t>
  </si>
  <si>
    <t>136598-999</t>
  </si>
  <si>
    <t>FATMA FAİKOĞLU</t>
  </si>
  <si>
    <t>HASANAĞA</t>
  </si>
  <si>
    <t>EMRAH ÇAKIR</t>
  </si>
  <si>
    <t>MEHMET FAHRİ İŞİNİBİLİR</t>
  </si>
  <si>
    <t>SEZGİN GÜLSÜN</t>
  </si>
  <si>
    <t xml:space="preserve"> 136598-1520</t>
  </si>
  <si>
    <t>İREM UÇAN</t>
  </si>
  <si>
    <t>KEPEKLER</t>
  </si>
  <si>
    <t>MURADİYE</t>
  </si>
  <si>
    <t>136598-1758</t>
  </si>
  <si>
    <t>MELEK UZAMIŞ</t>
  </si>
  <si>
    <t>ÇAĞRI YALÇINKAYA</t>
  </si>
  <si>
    <t>UYGUR YENİ</t>
  </si>
  <si>
    <t>ELİF AKDOĞAN</t>
  </si>
  <si>
    <t>136598-1538</t>
  </si>
  <si>
    <t>NADİR HIDIR</t>
  </si>
  <si>
    <t>OKÇUGÖL</t>
  </si>
  <si>
    <t>ŞAHMETTİN</t>
  </si>
  <si>
    <t>ilan</t>
  </si>
  <si>
    <t>MUSTAFA MURAT COŞGUR</t>
  </si>
  <si>
    <t>YUSUF ERDOĞAN</t>
  </si>
  <si>
    <t>136598-1527</t>
  </si>
  <si>
    <t>EZGİ KARADERE</t>
  </si>
  <si>
    <t>YUSUF ORHAN</t>
  </si>
  <si>
    <t>SEYİTLER</t>
  </si>
  <si>
    <t>İLAN GİRME</t>
  </si>
  <si>
    <t>SEMİH</t>
  </si>
  <si>
    <t>136598-1685</t>
  </si>
  <si>
    <t>YAVUZ ERDİM</t>
  </si>
  <si>
    <t>136598-907</t>
  </si>
  <si>
    <t xml:space="preserve"> 136598-1351</t>
  </si>
  <si>
    <t>YEŞİL VADİ ARSA OFİSİ</t>
  </si>
  <si>
    <t>BARIŞ ALKAL</t>
  </si>
  <si>
    <t>136598-1003</t>
  </si>
  <si>
    <t>OĞUZHAN DOĞAN</t>
  </si>
  <si>
    <t>136598-968</t>
  </si>
  <si>
    <t xml:space="preserve"> 136598-1583</t>
  </si>
  <si>
    <t>Bilal Aktaş</t>
  </si>
  <si>
    <t>AYTAN ALPATUĞ</t>
  </si>
  <si>
    <t>KADİR TAŞDEMİR</t>
  </si>
  <si>
    <t>ALTAN BAYAR</t>
  </si>
  <si>
    <t>RAUF ÖZTÜRK</t>
  </si>
  <si>
    <t>YUKARIMUSALAR</t>
  </si>
  <si>
    <t>136598-1761</t>
  </si>
  <si>
    <t>TUNCAY EMUCE</t>
  </si>
  <si>
    <t>KIBAR RAKHMANOV</t>
  </si>
  <si>
    <t>BAHÇE</t>
  </si>
  <si>
    <t>OĞUZ DEMİR</t>
  </si>
  <si>
    <t>İSMAİL SERTESEN</t>
  </si>
  <si>
    <t>SUAT ÖZGEN</t>
  </si>
  <si>
    <t>136598-1536</t>
  </si>
  <si>
    <t>GİRAYIN ARKADAŞI MURAT coşkur</t>
  </si>
  <si>
    <t>136598-1011</t>
  </si>
  <si>
    <t>HİLMİ BEY</t>
  </si>
  <si>
    <t>MENEKŞE BULAT</t>
  </si>
  <si>
    <t>SÖVE</t>
  </si>
  <si>
    <t>ALİYE KAYA</t>
  </si>
  <si>
    <t>SULTANÇAYIR</t>
  </si>
  <si>
    <t>NURETTİN CENGİZ</t>
  </si>
  <si>
    <t xml:space="preserve"> 136598-610</t>
  </si>
  <si>
    <t>TANER VARSAK/MEHMET ALİ ZENGİN</t>
  </si>
  <si>
    <t> İmar durumu: Ayrık Nizam, 2 Kat, “Konut-Villa” imarlıdır. </t>
  </si>
  <si>
    <t>136598-1668</t>
  </si>
  <si>
    <t>136598-1540</t>
  </si>
  <si>
    <t>MERVE ÖZTÜRK</t>
  </si>
  <si>
    <t>136598-1783</t>
  </si>
  <si>
    <t>EMİNE BÜŞRA BİRYOL</t>
  </si>
  <si>
    <t>GÖLBAŞI</t>
  </si>
  <si>
    <t>EYMİR</t>
  </si>
  <si>
    <t>136598-903</t>
  </si>
  <si>
    <t>AYCAN ÇOBAN</t>
  </si>
  <si>
    <t xml:space="preserve">İLAN NO </t>
  </si>
  <si>
    <t>İLAN SAHİBİ</t>
  </si>
  <si>
    <t>SATIŞ DURUMU</t>
  </si>
  <si>
    <t>ANKARA</t>
  </si>
  <si>
    <t>STOK</t>
  </si>
  <si>
    <t>SATILABİLİR</t>
  </si>
  <si>
    <t>FURKAN</t>
  </si>
  <si>
    <t>HAKAN</t>
  </si>
  <si>
    <t>CAMİİKEBİR</t>
  </si>
  <si>
    <t>ŞAHIS</t>
  </si>
  <si>
    <t>NORA CAP</t>
  </si>
  <si>
    <t>BİLAL</t>
  </si>
  <si>
    <t xml:space="preserve">KINIK </t>
  </si>
  <si>
    <t xml:space="preserve">KUVAYİ MİLLİYE </t>
  </si>
  <si>
    <t xml:space="preserve">TOYBELEN </t>
  </si>
  <si>
    <t>SEYİTÖMER</t>
  </si>
  <si>
    <t xml:space="preserve">KİLLİK </t>
  </si>
  <si>
    <t xml:space="preserve">TÜTENLİ </t>
  </si>
  <si>
    <t>SAHİBİNDEN İLAN PLANLAMASI</t>
  </si>
  <si>
    <t>DEĞERLENDİRME - SONUÇ</t>
  </si>
  <si>
    <t>LİSTE GÜNCELLEME DURUMU</t>
  </si>
  <si>
    <t>GERMENCİK -SEMİH VE FURKAN GİRİLEBİLİR</t>
  </si>
  <si>
    <t>Furkan ilan girsin</t>
  </si>
  <si>
    <t> </t>
  </si>
  <si>
    <t>BİGA - FURKAN GİREBİLİR</t>
  </si>
  <si>
    <t>İSLAMLAR TEK PARSEL HİÇ KİMSEDE YOK</t>
  </si>
  <si>
    <t>Takasta birinden haber bekliyorduk, Semih daha beklemeyelim ilanı 5.500.000 TL den girersin, doping te basalım</t>
  </si>
  <si>
    <t>SEYİTLER -  FURKAN VE SEMİH GİREBİLİR</t>
  </si>
  <si>
    <t>Semih ilan girsin</t>
  </si>
  <si>
    <t>BEĞEL 1 STOK VAR FURKAN- HAKAN GİREBİLİR</t>
  </si>
  <si>
    <t>Hakan abi ilan girsin</t>
  </si>
  <si>
    <t>YAPILDI - LİSTEYE YAZILDI</t>
  </si>
  <si>
    <t>KEMALİYE - SEMİH FURKAN GİREBİLİR</t>
  </si>
  <si>
    <t>ERDEL - HAKAN-FURKAN EKLEYEBİLİR</t>
  </si>
  <si>
    <t>BÜYÜKPINAR- HAKAN GİREBİLİR</t>
  </si>
  <si>
    <t>İBİRLERDE 1 ADET DAHA GİRİLEBİLİR (SADECE BİLAL BEYDE)</t>
  </si>
  <si>
    <t>Bilal'dekini furkan alsın, semih bir ilan daha gir</t>
  </si>
  <si>
    <t>DAVUTLARDA HİÇ İLANIMIZ YOK</t>
  </si>
  <si>
    <t>Yer sahibi yerin satılması konusunda net değil, kalsın şuanlık</t>
  </si>
  <si>
    <t>KUVAYİ MİLLİYE - FURKAN 1 ADET GİREBİLİR</t>
  </si>
  <si>
    <t>TOYBELENE 1 İLAN DAHA GİRİLEBİLİR (SEMİH-FURKAN)</t>
  </si>
  <si>
    <t>SULTANÇAYIR - HİÇ İLAN YOK</t>
  </si>
  <si>
    <t>Buradaki prefabrik ev, Hasan lots'tan ilan girelim</t>
  </si>
  <si>
    <t>DEMİRKAPI - HİÇ İLAN YOK</t>
  </si>
  <si>
    <t>BALIKLIDERE - FURKAN GİREBİLİR</t>
  </si>
  <si>
    <t>REŞADİYE - SEMİH GİREBİLİR</t>
  </si>
  <si>
    <t>SÖVE - SEMİH'DE İLAN GİRİLEBİLİR</t>
  </si>
  <si>
    <t>KEPEKLERDE HİÇ İLAN YOK</t>
  </si>
  <si>
    <t>Metrekare</t>
  </si>
  <si>
    <t>SATIŞ RAKAMI</t>
  </si>
  <si>
    <t>Ömer</t>
  </si>
  <si>
    <t>Bereketli</t>
  </si>
  <si>
    <t>BAKİYE</t>
  </si>
  <si>
    <t>ada</t>
  </si>
  <si>
    <t>parsel</t>
  </si>
  <si>
    <t xml:space="preserve">murat </t>
  </si>
  <si>
    <t>ALİ BAŞÇAVUS</t>
  </si>
  <si>
    <t>MUTTALİP BAŞÇAVUŞ</t>
  </si>
  <si>
    <t xml:space="preserve">taksit ve senet yapıldı takip edilecek </t>
  </si>
  <si>
    <t>satıldı</t>
  </si>
  <si>
    <t>yaşar kara</t>
  </si>
  <si>
    <t>4200 yarın gelecek 300 bin tl taksidi biz takip edeceğiz</t>
  </si>
  <si>
    <t>6000 yarın gelecek ömerin hesabına gidecek 1750 taksit 5 tane 300 1 tane 250 taksitleri aldıkça 150 şer bin 3 taksit 450 bin tl komisyon ödeyeceğiz</t>
  </si>
  <si>
    <t>ALİ/MURAT BAŞÇAVUŞ</t>
  </si>
  <si>
    <t>GÖKHAN ERDİNÇ</t>
  </si>
  <si>
    <t>BİRANT AKKUYU</t>
  </si>
  <si>
    <t xml:space="preserve">7*50 bin taksit ve senet yapıldı </t>
  </si>
  <si>
    <t>1-7</t>
  </si>
  <si>
    <t>1-8</t>
  </si>
  <si>
    <t>1-9</t>
  </si>
  <si>
    <t>1-10</t>
  </si>
  <si>
    <t>1-11</t>
  </si>
  <si>
    <t>1-1</t>
  </si>
  <si>
    <t>1-2</t>
  </si>
  <si>
    <t>1-3</t>
  </si>
  <si>
    <t>1-4</t>
  </si>
  <si>
    <t>1-5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</si>
  <si>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</si>
  <si>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</si>
  <si>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</si>
  <si>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</si>
  <si>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</si>
  <si>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</si>
  <si>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</si>
  <si>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</si>
  <si>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</si>
  <si>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</si>
  <si>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</si>
  <si>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</si>
  <si>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</si>
  <si>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</si>
  <si>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</si>
  <si>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</si>
  <si>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</si>
  <si>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</si>
  <si>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</si>
  <si>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</si>
  <si>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</si>
  <si>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</si>
  <si>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</si>
  <si>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</si>
  <si>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</si>
  <si>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</si>
  <si>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</si>
  <si>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</si>
  <si>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</si>
  <si>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1-6</t>
  </si>
  <si>
    <t>Bölge</t>
  </si>
  <si>
    <t>M2 Fiyatları
TL</t>
  </si>
  <si>
    <t>Fiyat Düşük
TL</t>
  </si>
  <si>
    <t>Fiyat Yüksek
TL</t>
  </si>
  <si>
    <t>Alan
m²</t>
  </si>
  <si>
    <t>Adet/Parsel</t>
  </si>
  <si>
    <t>KASK</t>
  </si>
  <si>
    <t>GABARİ</t>
  </si>
  <si>
    <t>Ankara, Güdül - Güneyce</t>
  </si>
  <si>
    <t>Balıkesir, Altıeylül - Dinkçiler</t>
  </si>
  <si>
    <t>307 m²</t>
  </si>
  <si>
    <t xml:space="preserve">Aydın, Germencik - Camikebir </t>
  </si>
  <si>
    <t>Aydın, Yenipazar - Alhan</t>
  </si>
  <si>
    <t>Balıkesir, Dursunbey - Delice</t>
  </si>
  <si>
    <t>305 m² - 397 m²</t>
  </si>
  <si>
    <t>Antalya, Finike - Karşıyaka</t>
  </si>
  <si>
    <t>Balıkesir, Dursunbey - AşağıMusalar</t>
  </si>
  <si>
    <t>301 m² - 301 m²</t>
  </si>
  <si>
    <t>Balıkesir, Dursunbey - YukarıMusalar</t>
  </si>
  <si>
    <t>337 m² - 368 m²</t>
  </si>
  <si>
    <t>Balıkesir, Dursunbey - Çelikler</t>
  </si>
  <si>
    <t>870 m²</t>
  </si>
  <si>
    <t>Bursa, Yenişehir - Karaköy</t>
  </si>
  <si>
    <t>Bursa, Kemalpaşa - Lalaşahin</t>
  </si>
  <si>
    <t>Balıkesir, İvrindi -  Gözlüçayır</t>
  </si>
  <si>
    <t>516 m² - 542 m²</t>
  </si>
  <si>
    <r>
      <t xml:space="preserve">Bursa, Nilüfer - Dağyenice </t>
    </r>
    <r>
      <rPr>
        <b/>
        <sz val="11"/>
        <color rgb="FFFF0000"/>
        <rFont val="Calibri"/>
        <family val="2"/>
        <charset val="162"/>
      </rPr>
      <t>(Tarla)</t>
    </r>
  </si>
  <si>
    <t>Balıkesir, İvrindi -  Erdel</t>
  </si>
  <si>
    <t>461 m² -  700 m²</t>
  </si>
  <si>
    <r>
      <t xml:space="preserve">Bursa-Orhangazi - Gedelek </t>
    </r>
    <r>
      <rPr>
        <b/>
        <sz val="11"/>
        <color rgb="FFFF0000"/>
        <rFont val="Calibri"/>
        <family val="2"/>
        <charset val="162"/>
      </rPr>
      <t>(Tarla)</t>
    </r>
  </si>
  <si>
    <t>Balıkesir, Susurluk - Ilıcaboğazı</t>
  </si>
  <si>
    <t>257 m² - 877 m²</t>
  </si>
  <si>
    <t>Çanakkale; Biga Kahvetepe</t>
  </si>
  <si>
    <t>Balıkesir, Susurluk - Reşadiye</t>
  </si>
  <si>
    <t>280 m² - 771 m²</t>
  </si>
  <si>
    <t>Çanakkale; Çan - İstiklal</t>
  </si>
  <si>
    <t>Balıkesir, Susurluk - Balıklıdere</t>
  </si>
  <si>
    <t>638 m²</t>
  </si>
  <si>
    <t>Çanakkale; Yenice - Karaköy</t>
  </si>
  <si>
    <t>Balıkesir, Susurluk - Söve</t>
  </si>
  <si>
    <t>610  m² - 761 m²</t>
  </si>
  <si>
    <t>Balıkesir, Susurluk - Muradiye</t>
  </si>
  <si>
    <t>İzmir, Dikili - Katıralanı</t>
  </si>
  <si>
    <t>Balıkesir, Susurluk - Sultançayır</t>
  </si>
  <si>
    <t>622 m²</t>
  </si>
  <si>
    <t>İzmir, Dikili - İslamlar</t>
  </si>
  <si>
    <t>Balıkesir, Susurluk - Ümiteli</t>
  </si>
  <si>
    <t>1559 m²</t>
  </si>
  <si>
    <t>Balıkesir, Karesi-Kuvayi Milliye</t>
  </si>
  <si>
    <t>11.687 - 25.000</t>
  </si>
  <si>
    <t>236 m² - 462 m²</t>
  </si>
  <si>
    <t>Manisa, Akhisar -  Tütenli (Milinge)</t>
  </si>
  <si>
    <t>Balıkesir, Karesi- Kalaycılar</t>
  </si>
  <si>
    <t>879 m²</t>
  </si>
  <si>
    <t>Manisa, Alaşehir -  Kemaliye</t>
  </si>
  <si>
    <t>Balıkesir, Karesi- Naipli</t>
  </si>
  <si>
    <t>987 m² - 1221 m²</t>
  </si>
  <si>
    <t>Manisa, Alaşehir -  Killik</t>
  </si>
  <si>
    <t>Balıkesir, Karesi- Büyükpınar</t>
  </si>
  <si>
    <t>489 m² - 988 m²</t>
  </si>
  <si>
    <r>
      <t xml:space="preserve">Manisa, Demirci -  Kulalar </t>
    </r>
    <r>
      <rPr>
        <sz val="11"/>
        <color rgb="FFFF0000"/>
        <rFont val="Calibri"/>
        <family val="2"/>
        <charset val="162"/>
      </rPr>
      <t>(</t>
    </r>
    <r>
      <rPr>
        <b/>
        <sz val="11"/>
        <color rgb="FFFF0000"/>
        <rFont val="Calibri"/>
        <family val="2"/>
        <charset val="162"/>
      </rPr>
      <t>Tarla)</t>
    </r>
  </si>
  <si>
    <t>Balıkesir, Karesi- Davutlar</t>
  </si>
  <si>
    <t>585 m²</t>
  </si>
  <si>
    <t xml:space="preserve">Manisa, Demirci -  Bardakçı </t>
  </si>
  <si>
    <t>Balıkesir, Karesi- İbirler</t>
  </si>
  <si>
    <t>615 m² - 854 m²</t>
  </si>
  <si>
    <t>Manisa, Gördes -  Beğel</t>
  </si>
  <si>
    <t>Balıkesir, Karesi- Kırmızılar</t>
  </si>
  <si>
    <t>433 m²</t>
  </si>
  <si>
    <t>Manisa, Şehzadeler -  Tepecik</t>
  </si>
  <si>
    <t>Balıkesir, Karesi- Maltepe</t>
  </si>
  <si>
    <t>244 m²</t>
  </si>
  <si>
    <r>
      <t xml:space="preserve">Manisa, Demirci -  Boyacık </t>
    </r>
    <r>
      <rPr>
        <b/>
        <sz val="11"/>
        <color rgb="FF548235"/>
        <rFont val="Calibri"/>
        <family val="2"/>
        <charset val="162"/>
      </rPr>
      <t>(Bahçe)</t>
    </r>
  </si>
  <si>
    <t>Balıkesir, Karesi- Tatlıpınar</t>
  </si>
  <si>
    <t>623 m²</t>
  </si>
  <si>
    <r>
      <t xml:space="preserve">Manisa, Demirci -  Hüdük </t>
    </r>
    <r>
      <rPr>
        <b/>
        <sz val="11"/>
        <color rgb="FFFF0000"/>
        <rFont val="Calibri"/>
        <family val="2"/>
        <charset val="162"/>
      </rPr>
      <t>(Tarla)</t>
    </r>
  </si>
  <si>
    <t>Balıkesir, Karesi- Toybelen</t>
  </si>
  <si>
    <t>815 m² - 1001 m²</t>
  </si>
  <si>
    <r>
      <t xml:space="preserve">Manisa, Demirci -  Minnetler </t>
    </r>
    <r>
      <rPr>
        <b/>
        <sz val="11"/>
        <color rgb="FFFF0000"/>
        <rFont val="Calibri"/>
        <family val="2"/>
        <charset val="162"/>
      </rPr>
      <t>(Tarla)</t>
    </r>
  </si>
  <si>
    <t>Balıkesir, Karesi- Turplu</t>
  </si>
  <si>
    <t>509 m²</t>
  </si>
  <si>
    <t>Balıkesir, Sındırgı-Armutlu</t>
  </si>
  <si>
    <t>548 m² - 851 m²</t>
  </si>
  <si>
    <t>Balıkesir, Sındırgı-İbiller</t>
  </si>
  <si>
    <t>302 m² - 837 m²</t>
  </si>
  <si>
    <r>
      <t xml:space="preserve">Balıkesir, Sındırgı- Kınık </t>
    </r>
    <r>
      <rPr>
        <b/>
        <sz val="11"/>
        <color rgb="FFFF0000"/>
        <rFont val="Calibri"/>
        <family val="2"/>
        <charset val="162"/>
      </rPr>
      <t>(Tarla)</t>
    </r>
  </si>
  <si>
    <t>310 m²</t>
  </si>
  <si>
    <r>
      <t xml:space="preserve">Balıkesir, Kepsut - Kayaeli </t>
    </r>
    <r>
      <rPr>
        <b/>
        <sz val="11"/>
        <color rgb="FFFF0000"/>
        <rFont val="Calibri"/>
        <family val="2"/>
        <charset val="162"/>
      </rPr>
      <t>(Tarla)</t>
    </r>
  </si>
  <si>
    <t>4454 m²</t>
  </si>
  <si>
    <t>Düşük  M2</t>
  </si>
  <si>
    <t>Yüksek M2</t>
  </si>
  <si>
    <t>TASK</t>
  </si>
  <si>
    <t xml:space="preserve">KASK </t>
  </si>
  <si>
    <t>Toplam GÜNEYCE</t>
  </si>
  <si>
    <t>Mevcut Değil</t>
  </si>
  <si>
    <t>Toplam GÜDÜL</t>
  </si>
  <si>
    <t xml:space="preserve">Toplam ANKARA </t>
  </si>
  <si>
    <t>////</t>
  </si>
  <si>
    <t>Toplam KARŞIYAKA</t>
  </si>
  <si>
    <t>Toplam FİNİKE</t>
  </si>
  <si>
    <t>Toplam ANTALYA</t>
  </si>
  <si>
    <t>Toplam CAMİKEBİR</t>
  </si>
  <si>
    <t>Toplam GERMENCİK</t>
  </si>
  <si>
    <t>Toplam ALHAN</t>
  </si>
  <si>
    <t>Toplam YENİPAZAR</t>
  </si>
  <si>
    <t>Toplam AYDIN</t>
  </si>
  <si>
    <t>Toplam DİNKÇİLER</t>
  </si>
  <si>
    <t>(boş)</t>
  </si>
  <si>
    <t>Toplam KÜRSE</t>
  </si>
  <si>
    <t>Toplam SELİMİYE</t>
  </si>
  <si>
    <t>Toplam ALTIEYLÜL</t>
  </si>
  <si>
    <t>Toplam AŞAĞIMUSALAR</t>
  </si>
  <si>
    <t>Toplam ÇELİKLER</t>
  </si>
  <si>
    <t>Toplam DELİCE</t>
  </si>
  <si>
    <t>Toplam SELİMAĞA</t>
  </si>
  <si>
    <t>Toplam YUKARIMUSALAR</t>
  </si>
  <si>
    <t>Toplam DURSUNBEY</t>
  </si>
  <si>
    <t>Toplam ERDEL</t>
  </si>
  <si>
    <t>Toplam GÖZLÜÇAYIR</t>
  </si>
  <si>
    <t>Toplam İVRİNDİ</t>
  </si>
  <si>
    <t>Toplam BAKACAK</t>
  </si>
  <si>
    <t>Toplam BÜYÜKPINAR</t>
  </si>
  <si>
    <t>Toplam DAVUTLAR</t>
  </si>
  <si>
    <t>Toplam İBİRLER</t>
  </si>
  <si>
    <t>Toplam KALAYCILAR</t>
  </si>
  <si>
    <t>Toplam KIRMIZILAR</t>
  </si>
  <si>
    <t>Toplam KUVAYİ MİLLİYE</t>
  </si>
  <si>
    <t>Toplam MALTEPE</t>
  </si>
  <si>
    <t>Toplam NAİPLİ</t>
  </si>
  <si>
    <t>Toplam TATLIPINAR</t>
  </si>
  <si>
    <t>Toplam TOYBELEN</t>
  </si>
  <si>
    <t>Toplam TURPLU</t>
  </si>
  <si>
    <t>Toplam YAYLACIK</t>
  </si>
  <si>
    <t>Toplam KARESİ</t>
  </si>
  <si>
    <t>Toplam KAYAELİ</t>
  </si>
  <si>
    <t>Toplam KÜÇÜKKATRANCI</t>
  </si>
  <si>
    <t>Toplam KEPSUT</t>
  </si>
  <si>
    <t>Toplam ARMUTLU</t>
  </si>
  <si>
    <t>Toplam DERECİKÖREN</t>
  </si>
  <si>
    <t>Toplam İBİLLER</t>
  </si>
  <si>
    <t>Toplam KINIK</t>
  </si>
  <si>
    <t>Toplam KOCASİNAN</t>
  </si>
  <si>
    <t>Toplam SINDIRGI</t>
  </si>
  <si>
    <t>Toplam BALIKLIDERE</t>
  </si>
  <si>
    <t>Toplam DEMİRKAPI</t>
  </si>
  <si>
    <t>Toplam ILICABOĞAZI</t>
  </si>
  <si>
    <t>Toplam MURADİYE</t>
  </si>
  <si>
    <t xml:space="preserve">Mevcut Değil </t>
  </si>
  <si>
    <t>Toplam REŞADİYE</t>
  </si>
  <si>
    <t>Toplam SÖVE</t>
  </si>
  <si>
    <t xml:space="preserve">Toplam SULTANÇAYIR </t>
  </si>
  <si>
    <t>Toplam ÜMİTELİ</t>
  </si>
  <si>
    <t>Toplam SUSURLUK</t>
  </si>
  <si>
    <t>Toplam BALIKESİR</t>
  </si>
  <si>
    <t>Toplam DAĞYENİCE</t>
  </si>
  <si>
    <t>Toplam KAYAPA</t>
  </si>
  <si>
    <t>Toplam NİLÜFER</t>
  </si>
  <si>
    <t>Toplam GEDELEK</t>
  </si>
  <si>
    <t>Toplam ORHANGAZİ</t>
  </si>
  <si>
    <t>Toplam KARAKÖY</t>
  </si>
  <si>
    <t>Toplam YENİŞEHİR</t>
  </si>
  <si>
    <t>Toplam BURSA</t>
  </si>
  <si>
    <t>Toplam ÇEŞMEALTI</t>
  </si>
  <si>
    <t>Toplam KAHVETEPE</t>
  </si>
  <si>
    <t>Toplam BİGA</t>
  </si>
  <si>
    <t>Toplam İSTİKLAL</t>
  </si>
  <si>
    <t>Toplam ÇAN</t>
  </si>
  <si>
    <t>Toplam YENİCE</t>
  </si>
  <si>
    <t>Toplam ÇANAKKALE</t>
  </si>
  <si>
    <t>Toplam Camikebir</t>
  </si>
  <si>
    <t>Toplam MİHALIÇÇIK</t>
  </si>
  <si>
    <t>Toplam ESKİŞEHİR</t>
  </si>
  <si>
    <t>Toplam İSLAMLAR</t>
  </si>
  <si>
    <t>Toplam KATIRALANI</t>
  </si>
  <si>
    <t>Toplam DİKİLİ</t>
  </si>
  <si>
    <t>Toplam İZMİR</t>
  </si>
  <si>
    <t>Toplam İNKÖY</t>
  </si>
  <si>
    <t>Toplam SEYİTLER</t>
  </si>
  <si>
    <t>Toplam MERKEZ</t>
  </si>
  <si>
    <t>Toplam KÜTAHYA</t>
  </si>
  <si>
    <t>Toplam KOCAKAĞAN</t>
  </si>
  <si>
    <t>Toplam MİLİNGE</t>
  </si>
  <si>
    <t>Toplam AKHİSAR</t>
  </si>
  <si>
    <t>Toplam KEMALİYE</t>
  </si>
  <si>
    <t>Toplam KİLLİK</t>
  </si>
  <si>
    <t>Toplam YEŞİLYURT</t>
  </si>
  <si>
    <t>Toplam ALAŞEHİR</t>
  </si>
  <si>
    <t>Toplam BARDAKÇI</t>
  </si>
  <si>
    <t>Toplam BOYACIK</t>
  </si>
  <si>
    <t>Toplam HÜDÜK</t>
  </si>
  <si>
    <t>Toplam KULALAR</t>
  </si>
  <si>
    <t>Toplam MİNNETLER</t>
  </si>
  <si>
    <t>Toplam DEMİRCİ</t>
  </si>
  <si>
    <t>Toplam BEĞEL</t>
  </si>
  <si>
    <t>Toplam GÖRDES</t>
  </si>
  <si>
    <t>Toplam TEPECİK</t>
  </si>
  <si>
    <t>Toplam ŞEHZADELER</t>
  </si>
  <si>
    <t>Toplam MANİSA</t>
  </si>
  <si>
    <t>Toplam (boş)</t>
  </si>
  <si>
    <t>Genel Toplam</t>
  </si>
  <si>
    <t>Bereketli Satış Listesi Veri Sayısı</t>
  </si>
  <si>
    <t>Envanter</t>
  </si>
  <si>
    <t>Satışa Açık</t>
  </si>
  <si>
    <t xml:space="preserve"> Satışa Açık Alan m2 Aralıkları</t>
  </si>
  <si>
    <t>SATILDI/BÖLÜNDÜ/2.SATIŞTA</t>
  </si>
  <si>
    <t xml:space="preserve">0-250 </t>
  </si>
  <si>
    <t>250-500</t>
  </si>
  <si>
    <t>500-1000</t>
  </si>
  <si>
    <t>1000 ve üstü</t>
  </si>
  <si>
    <t>Veri Durumu</t>
  </si>
  <si>
    <t>Arsa Sayısı</t>
  </si>
  <si>
    <t>ANALİZ BÖLÜMÜ</t>
  </si>
  <si>
    <t xml:space="preserve">Özet Tablo </t>
  </si>
  <si>
    <t>Adet / Oran</t>
  </si>
  <si>
    <r>
      <rPr>
        <b/>
        <sz val="11"/>
        <color rgb="FFFF0000"/>
        <rFont val="Calibri"/>
        <scheme val="minor"/>
      </rPr>
      <t>BEREKETLİ TOPRAKLAR</t>
    </r>
    <r>
      <rPr>
        <sz val="11"/>
        <color rgb="FF000000"/>
        <rFont val="Calibri"/>
        <scheme val="minor"/>
      </rPr>
      <t xml:space="preserve">  STOKTA + REZERVE + STOKTA İPOTEKLİ</t>
    </r>
  </si>
  <si>
    <r>
      <rPr>
        <b/>
        <sz val="11"/>
        <color rgb="FFFF0000"/>
        <rFont val="Calibri"/>
      </rPr>
      <t xml:space="preserve">(MÜŞTERİ YERLERİ ) </t>
    </r>
    <r>
      <rPr>
        <sz val="11"/>
        <color rgb="FF000000"/>
        <rFont val="Calibri"/>
      </rPr>
      <t>KONSİNYE +SATILDI/2. SATIŞTA + SATILDI/BÖLÜNDÜ/2.SATIŞTA + MÜŞTERİ YERİ</t>
    </r>
  </si>
  <si>
    <r>
      <rPr>
        <sz val="11"/>
        <color rgb="FF000000"/>
        <rFont val="Calibri"/>
        <scheme val="minor"/>
      </rPr>
      <t>STOK /Müşteri Yerleri Oran</t>
    </r>
    <r>
      <rPr>
        <b/>
        <sz val="11"/>
        <color rgb="FF000000"/>
        <rFont val="Calibri"/>
        <scheme val="minor"/>
      </rPr>
      <t xml:space="preserve"> İş Yükü</t>
    </r>
  </si>
  <si>
    <t>SATIŞ KAPANDI + SATILDI</t>
  </si>
  <si>
    <t>SATILACAK</t>
  </si>
  <si>
    <t>Bereketli Topraklar</t>
  </si>
  <si>
    <t>Müşreri Yeri</t>
  </si>
  <si>
    <t>Ara toplam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</si>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</sst>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₺&quot;#,##0.00;[Red]\-&quot;₺&quot;#,##0.00"/>
    <numFmt numFmtId="42" formatCode="_-&quot;₺&quot;* #,##0_-;\-&quot;₺&quot;* #,##0_-;_-&quot;₺&quot;* &quot;-&quot;_-;_-@_-"/>
    <numFmt numFmtId="44" formatCode="_-&quot;₺&quot;* #,##0.00_-;\-&quot;₺&quot;* #,##0.00_-;_-&quot;₺&quot;* &quot;-&quot;??_-;_-@_-"/>
    <numFmt numFmtId="164" formatCode="&quot;₺&quot;#,##0.00"/>
    <numFmt numFmtId="165" formatCode="dd/mm/yy"/>
    <numFmt numFmtId="166" formatCode="[$₺]#,##0.00"/>
    <numFmt numFmtId="167" formatCode="0.0"/>
    <numFmt numFmtId="168" formatCode="&quot;₺&quot;#,##0"/>
  </numFmts>
  <fonts count="59">
    <font>
      <sz val="11"/>
      <color theme="1"/>
      <name val="Calibri"/>
      <family val="2"/>
      <charset val="162"/>
      <scheme val="minor"/>
    </font>
    <font>
      <sz val="11"/>
      <color theme="1"/>
      <name val="Calibri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u/>
      <sz val="11"/>
      <color rgb="FF0563C1"/>
      <name val="Calibri"/>
      <family val="2"/>
      <charset val="162"/>
    </font>
    <font>
      <u/>
      <sz val="11"/>
      <color rgb="FF0000FF"/>
      <name val="Calibri"/>
      <family val="2"/>
      <charset val="162"/>
    </font>
    <font>
      <sz val="11"/>
      <name val="Calibri"/>
      <family val="2"/>
      <charset val="162"/>
    </font>
    <font>
      <u/>
      <sz val="11"/>
      <color theme="10"/>
      <name val="Calibri"/>
      <scheme val="minor"/>
    </font>
    <font>
      <sz val="10"/>
      <color theme="1"/>
      <name val="Calibri"/>
      <family val="2"/>
      <charset val="162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1"/>
      <color rgb="FF000000"/>
      <name val="Calibri"/>
    </font>
    <font>
      <u/>
      <sz val="11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  <family val="2"/>
      <charset val="1"/>
    </font>
    <font>
      <b/>
      <sz val="9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9"/>
      <color theme="1"/>
      <name val="Calibri"/>
    </font>
    <font>
      <sz val="10"/>
      <color theme="1"/>
      <name val="Calibri"/>
    </font>
    <font>
      <sz val="11"/>
      <name val="Calibri"/>
    </font>
    <font>
      <u/>
      <sz val="11"/>
      <color rgb="FF000000"/>
      <name val="Calibri"/>
    </font>
    <font>
      <sz val="11"/>
      <color rgb="FF0000FF"/>
      <name val="Calibri"/>
    </font>
    <font>
      <u/>
      <sz val="11"/>
      <color rgb="FF0563C1"/>
      <name val="Calibri"/>
    </font>
    <font>
      <b/>
      <sz val="11"/>
      <color rgb="FFFFFFFF"/>
      <name val="Calibri (Body)"/>
    </font>
    <font>
      <b/>
      <sz val="10"/>
      <color rgb="FFFFFFFF"/>
      <name val="Calibri (Body)"/>
    </font>
    <font>
      <sz val="11"/>
      <color rgb="FF000000"/>
      <name val="Calibri"/>
      <family val="2"/>
    </font>
    <font>
      <i/>
      <sz val="11"/>
      <color theme="1"/>
      <name val="Calibri"/>
      <family val="2"/>
      <charset val="162"/>
    </font>
    <font>
      <b/>
      <sz val="9"/>
      <color rgb="FF000000"/>
      <name val="Calibri"/>
      <family val="2"/>
      <charset val="162"/>
    </font>
    <font>
      <b/>
      <sz val="11"/>
      <color rgb="FFFF0000"/>
      <name val="Calibri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000000"/>
      <name val="Calibri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</font>
    <font>
      <b/>
      <sz val="9"/>
      <color theme="0"/>
      <name val="Calibri"/>
    </font>
    <font>
      <sz val="11"/>
      <color rgb="FFFF0000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</font>
    <font>
      <b/>
      <sz val="11"/>
      <color rgb="FF548235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name val="Calibri"/>
      <family val="2"/>
    </font>
    <font>
      <sz val="11"/>
      <color rgb="FFFFF2CC"/>
      <name val="Calibri"/>
      <family val="2"/>
    </font>
    <font>
      <b/>
      <sz val="9"/>
      <color theme="1"/>
      <name val="Calibri"/>
      <family val="2"/>
      <charset val="162"/>
    </font>
    <font>
      <u/>
      <sz val="11"/>
      <color theme="1"/>
      <name val="Calibri"/>
    </font>
    <font>
      <u/>
      <sz val="11"/>
      <color theme="1"/>
      <name val="Calibri"/>
      <family val="2"/>
      <charset val="162"/>
    </font>
    <font>
      <b/>
      <sz val="12"/>
      <color rgb="FF000000"/>
      <name val="Calibri"/>
      <family val="2"/>
      <charset val="16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charset val="162"/>
      <scheme val="minor"/>
    </font>
    <font>
      <b/>
      <sz val="10"/>
      <color rgb="FF000000"/>
      <name val="Arial"/>
    </font>
  </fonts>
  <fills count="3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CE5C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20">
    <xf numFmtId="0" fontId="0" fillId="0" borderId="0" xfId="0"/>
    <xf numFmtId="0" fontId="3" fillId="0" borderId="1" xfId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6" borderId="1" xfId="0" applyFont="1" applyFill="1" applyBorder="1" applyAlignment="1">
      <alignment horizontal="center" vertical="center"/>
    </xf>
    <xf numFmtId="0" fontId="3" fillId="6" borderId="1" xfId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3" fillId="9" borderId="1" xfId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3" fillId="10" borderId="1" xfId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3" fillId="10" borderId="1" xfId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1" borderId="1" xfId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6" fontId="5" fillId="11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166" fontId="5" fillId="13" borderId="1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1" xfId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3" fillId="0" borderId="2" xfId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165" fontId="20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30" fillId="14" borderId="11" xfId="0" applyFont="1" applyFill="1" applyBorder="1" applyAlignment="1">
      <alignment horizontal="center"/>
    </xf>
    <xf numFmtId="0" fontId="30" fillId="14" borderId="12" xfId="0" applyFont="1" applyFill="1" applyBorder="1" applyAlignment="1">
      <alignment horizontal="center"/>
    </xf>
    <xf numFmtId="0" fontId="31" fillId="14" borderId="12" xfId="0" applyFont="1" applyFill="1" applyBorder="1" applyAlignment="1">
      <alignment horizontal="center" wrapText="1"/>
    </xf>
    <xf numFmtId="0" fontId="30" fillId="14" borderId="12" xfId="0" applyFont="1" applyFill="1" applyBorder="1" applyAlignment="1">
      <alignment horizontal="center" wrapText="1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8" fontId="32" fillId="0" borderId="14" xfId="0" applyNumberFormat="1" applyFont="1" applyBorder="1" applyAlignment="1">
      <alignment horizontal="center"/>
    </xf>
    <xf numFmtId="0" fontId="3" fillId="0" borderId="14" xfId="1" applyFill="1" applyBorder="1" applyAlignment="1">
      <alignment horizontal="center"/>
    </xf>
    <xf numFmtId="14" fontId="24" fillId="4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6" fillId="25" borderId="0" xfId="0" applyFont="1" applyFill="1" applyAlignment="1">
      <alignment textRotation="90"/>
    </xf>
    <xf numFmtId="0" fontId="16" fillId="19" borderId="20" xfId="0" applyFont="1" applyFill="1" applyBorder="1" applyAlignment="1">
      <alignment textRotation="90"/>
    </xf>
    <xf numFmtId="0" fontId="16" fillId="19" borderId="21" xfId="0" applyFont="1" applyFill="1" applyBorder="1" applyAlignment="1">
      <alignment textRotation="90"/>
    </xf>
    <xf numFmtId="0" fontId="16" fillId="19" borderId="27" xfId="0" applyFont="1" applyFill="1" applyBorder="1" applyAlignment="1">
      <alignment textRotation="90"/>
    </xf>
    <xf numFmtId="0" fontId="16" fillId="22" borderId="23" xfId="0" applyFont="1" applyFill="1" applyBorder="1"/>
    <xf numFmtId="0" fontId="34" fillId="15" borderId="1" xfId="0" applyFont="1" applyFill="1" applyBorder="1"/>
    <xf numFmtId="0" fontId="34" fillId="15" borderId="5" xfId="0" applyFont="1" applyFill="1" applyBorder="1"/>
    <xf numFmtId="0" fontId="34" fillId="15" borderId="28" xfId="0" applyFont="1" applyFill="1" applyBorder="1"/>
    <xf numFmtId="0" fontId="4" fillId="16" borderId="3" xfId="0" applyFont="1" applyFill="1" applyBorder="1"/>
    <xf numFmtId="0" fontId="4" fillId="0" borderId="16" xfId="0" applyFont="1" applyBorder="1"/>
    <xf numFmtId="0" fontId="4" fillId="0" borderId="23" xfId="0" applyFont="1" applyBorder="1"/>
    <xf numFmtId="0" fontId="4" fillId="17" borderId="3" xfId="0" applyFont="1" applyFill="1" applyBorder="1"/>
    <xf numFmtId="0" fontId="4" fillId="18" borderId="3" xfId="0" applyFont="1" applyFill="1" applyBorder="1"/>
    <xf numFmtId="0" fontId="4" fillId="20" borderId="17" xfId="0" applyFont="1" applyFill="1" applyBorder="1"/>
    <xf numFmtId="0" fontId="4" fillId="0" borderId="25" xfId="0" applyFont="1" applyBorder="1"/>
    <xf numFmtId="0" fontId="4" fillId="20" borderId="3" xfId="0" applyFont="1" applyFill="1" applyBorder="1"/>
    <xf numFmtId="0" fontId="4" fillId="19" borderId="17" xfId="0" applyFont="1" applyFill="1" applyBorder="1"/>
    <xf numFmtId="0" fontId="4" fillId="19" borderId="3" xfId="0" applyFont="1" applyFill="1" applyBorder="1"/>
    <xf numFmtId="0" fontId="4" fillId="21" borderId="17" xfId="0" applyFont="1" applyFill="1" applyBorder="1"/>
    <xf numFmtId="0" fontId="4" fillId="0" borderId="27" xfId="0" applyFont="1" applyBorder="1"/>
    <xf numFmtId="0" fontId="4" fillId="0" borderId="26" xfId="0" applyFont="1" applyBorder="1"/>
    <xf numFmtId="0" fontId="4" fillId="0" borderId="29" xfId="0" applyFont="1" applyBorder="1"/>
    <xf numFmtId="0" fontId="4" fillId="20" borderId="18" xfId="0" applyFont="1" applyFill="1" applyBorder="1"/>
    <xf numFmtId="0" fontId="4" fillId="20" borderId="19" xfId="0" applyFont="1" applyFill="1" applyBorder="1"/>
    <xf numFmtId="0" fontId="4" fillId="20" borderId="30" xfId="0" applyFont="1" applyFill="1" applyBorder="1"/>
    <xf numFmtId="0" fontId="16" fillId="24" borderId="0" xfId="0" applyFont="1" applyFill="1" applyAlignment="1">
      <alignment textRotation="90"/>
    </xf>
    <xf numFmtId="0" fontId="0" fillId="0" borderId="6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7" xfId="0" applyBorder="1"/>
    <xf numFmtId="0" fontId="0" fillId="0" borderId="39" xfId="0" applyBorder="1"/>
    <xf numFmtId="0" fontId="0" fillId="0" borderId="40" xfId="0" applyBorder="1"/>
    <xf numFmtId="0" fontId="0" fillId="2" borderId="41" xfId="0" applyFill="1" applyBorder="1" applyAlignment="1">
      <alignment horizontal="center"/>
    </xf>
    <xf numFmtId="0" fontId="16" fillId="24" borderId="4" xfId="0" applyFont="1" applyFill="1" applyBorder="1" applyAlignment="1">
      <alignment textRotation="90"/>
    </xf>
    <xf numFmtId="0" fontId="16" fillId="24" borderId="28" xfId="0" applyFont="1" applyFill="1" applyBorder="1" applyAlignment="1">
      <alignment textRotation="90"/>
    </xf>
    <xf numFmtId="0" fontId="16" fillId="24" borderId="5" xfId="0" applyFont="1" applyFill="1" applyBorder="1" applyAlignment="1">
      <alignment textRotation="90"/>
    </xf>
    <xf numFmtId="0" fontId="16" fillId="25" borderId="4" xfId="0" applyFont="1" applyFill="1" applyBorder="1" applyAlignment="1">
      <alignment textRotation="90"/>
    </xf>
    <xf numFmtId="0" fontId="16" fillId="25" borderId="28" xfId="0" applyFont="1" applyFill="1" applyBorder="1" applyAlignment="1">
      <alignment textRotation="90"/>
    </xf>
    <xf numFmtId="0" fontId="16" fillId="25" borderId="5" xfId="0" applyFont="1" applyFill="1" applyBorder="1" applyAlignment="1">
      <alignment textRotation="90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16" fillId="26" borderId="28" xfId="0" applyFont="1" applyFill="1" applyBorder="1" applyAlignment="1">
      <alignment textRotation="90"/>
    </xf>
    <xf numFmtId="0" fontId="4" fillId="4" borderId="16" xfId="0" applyFont="1" applyFill="1" applyBorder="1"/>
    <xf numFmtId="0" fontId="4" fillId="4" borderId="23" xfId="0" applyFont="1" applyFill="1" applyBorder="1"/>
    <xf numFmtId="167" fontId="0" fillId="0" borderId="0" xfId="0" applyNumberFormat="1"/>
    <xf numFmtId="0" fontId="0" fillId="0" borderId="25" xfId="0" applyBorder="1"/>
    <xf numFmtId="0" fontId="0" fillId="0" borderId="23" xfId="0" applyBorder="1"/>
    <xf numFmtId="0" fontId="0" fillId="0" borderId="16" xfId="0" applyBorder="1"/>
    <xf numFmtId="0" fontId="18" fillId="0" borderId="51" xfId="0" applyFont="1" applyBorder="1"/>
    <xf numFmtId="0" fontId="4" fillId="28" borderId="3" xfId="0" applyFont="1" applyFill="1" applyBorder="1"/>
    <xf numFmtId="0" fontId="4" fillId="28" borderId="16" xfId="0" applyFont="1" applyFill="1" applyBorder="1"/>
    <xf numFmtId="0" fontId="4" fillId="28" borderId="23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0" borderId="0" xfId="0" applyFont="1"/>
    <xf numFmtId="0" fontId="41" fillId="29" borderId="6" xfId="0" applyFont="1" applyFill="1" applyBorder="1" applyAlignment="1">
      <alignment horizontal="center" vertical="center"/>
    </xf>
    <xf numFmtId="0" fontId="41" fillId="29" borderId="6" xfId="0" applyFont="1" applyFill="1" applyBorder="1" applyAlignment="1">
      <alignment horizontal="center" vertical="center" wrapText="1"/>
    </xf>
    <xf numFmtId="164" fontId="41" fillId="29" borderId="6" xfId="0" applyNumberFormat="1" applyFont="1" applyFill="1" applyBorder="1" applyAlignment="1">
      <alignment horizontal="center" vertical="center"/>
    </xf>
    <xf numFmtId="164" fontId="41" fillId="29" borderId="6" xfId="0" applyNumberFormat="1" applyFont="1" applyFill="1" applyBorder="1" applyAlignment="1">
      <alignment horizontal="center" vertical="center" wrapText="1"/>
    </xf>
    <xf numFmtId="2" fontId="41" fillId="29" borderId="6" xfId="0" applyNumberFormat="1" applyFont="1" applyFill="1" applyBorder="1" applyAlignment="1">
      <alignment horizontal="center" vertical="center" wrapText="1"/>
    </xf>
    <xf numFmtId="14" fontId="41" fillId="29" borderId="6" xfId="0" applyNumberFormat="1" applyFont="1" applyFill="1" applyBorder="1" applyAlignment="1">
      <alignment horizontal="center" vertical="center"/>
    </xf>
    <xf numFmtId="0" fontId="42" fillId="29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164" fontId="3" fillId="0" borderId="6" xfId="1" applyNumberForma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5" borderId="6" xfId="1" applyFill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2" fontId="5" fillId="5" borderId="6" xfId="0" applyNumberFormat="1" applyFont="1" applyFill="1" applyBorder="1" applyAlignment="1">
      <alignment horizontal="center" vertical="center"/>
    </xf>
    <xf numFmtId="164" fontId="3" fillId="5" borderId="6" xfId="1" applyNumberFormat="1" applyFill="1" applyBorder="1" applyAlignment="1">
      <alignment horizontal="center" vertical="center"/>
    </xf>
    <xf numFmtId="14" fontId="5" fillId="5" borderId="6" xfId="0" applyNumberFormat="1" applyFont="1" applyFill="1" applyBorder="1" applyAlignment="1">
      <alignment horizontal="center" vertical="center"/>
    </xf>
    <xf numFmtId="14" fontId="13" fillId="5" borderId="6" xfId="0" applyNumberFormat="1" applyFont="1" applyFill="1" applyBorder="1" applyAlignment="1">
      <alignment horizontal="center" vertical="center"/>
    </xf>
    <xf numFmtId="0" fontId="3" fillId="0" borderId="6" xfId="1" applyNumberFormat="1" applyFill="1" applyBorder="1" applyAlignment="1">
      <alignment horizontal="center" vertical="center"/>
    </xf>
    <xf numFmtId="0" fontId="3" fillId="5" borderId="6" xfId="1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2" fontId="13" fillId="5" borderId="6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14" fontId="0" fillId="0" borderId="6" xfId="0" applyNumberFormat="1" applyBorder="1"/>
    <xf numFmtId="0" fontId="6" fillId="0" borderId="6" xfId="0" applyFon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5" fontId="13" fillId="5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0" fontId="41" fillId="30" borderId="6" xfId="0" applyFont="1" applyFill="1" applyBorder="1" applyAlignment="1">
      <alignment horizontal="center" vertical="center"/>
    </xf>
    <xf numFmtId="0" fontId="44" fillId="30" borderId="6" xfId="0" applyFont="1" applyFill="1" applyBorder="1"/>
    <xf numFmtId="0" fontId="5" fillId="31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4" fillId="32" borderId="6" xfId="0" applyFont="1" applyFill="1" applyBorder="1" applyAlignment="1">
      <alignment horizontal="center" vertical="center"/>
    </xf>
    <xf numFmtId="0" fontId="45" fillId="32" borderId="6" xfId="0" applyFont="1" applyFill="1" applyBorder="1" applyAlignment="1">
      <alignment horizontal="center"/>
    </xf>
    <xf numFmtId="0" fontId="4" fillId="28" borderId="17" xfId="0" applyFont="1" applyFill="1" applyBorder="1"/>
    <xf numFmtId="0" fontId="4" fillId="28" borderId="25" xfId="0" applyFont="1" applyFill="1" applyBorder="1"/>
    <xf numFmtId="0" fontId="48" fillId="18" borderId="11" xfId="0" applyFont="1" applyFill="1" applyBorder="1"/>
    <xf numFmtId="0" fontId="48" fillId="24" borderId="12" xfId="0" applyFont="1" applyFill="1" applyBorder="1" applyAlignment="1">
      <alignment wrapText="1"/>
    </xf>
    <xf numFmtId="0" fontId="48" fillId="25" borderId="12" xfId="0" applyFont="1" applyFill="1" applyBorder="1" applyAlignment="1">
      <alignment wrapText="1"/>
    </xf>
    <xf numFmtId="0" fontId="48" fillId="17" borderId="12" xfId="0" applyFont="1" applyFill="1" applyBorder="1" applyAlignment="1">
      <alignment wrapText="1"/>
    </xf>
    <xf numFmtId="0" fontId="48" fillId="33" borderId="12" xfId="0" applyFont="1" applyFill="1" applyBorder="1" applyAlignment="1">
      <alignment wrapText="1"/>
    </xf>
    <xf numFmtId="0" fontId="48" fillId="34" borderId="12" xfId="0" applyFont="1" applyFill="1" applyBorder="1"/>
    <xf numFmtId="0" fontId="48" fillId="35" borderId="12" xfId="0" applyFont="1" applyFill="1" applyBorder="1"/>
    <xf numFmtId="0" fontId="48" fillId="0" borderId="0" xfId="0" applyFont="1"/>
    <xf numFmtId="0" fontId="32" fillId="0" borderId="0" xfId="0" applyFont="1"/>
    <xf numFmtId="0" fontId="32" fillId="0" borderId="53" xfId="0" applyFont="1" applyBorder="1"/>
    <xf numFmtId="0" fontId="32" fillId="0" borderId="54" xfId="0" applyFont="1" applyBorder="1"/>
    <xf numFmtId="3" fontId="32" fillId="0" borderId="54" xfId="0" applyNumberFormat="1" applyFont="1" applyBorder="1"/>
    <xf numFmtId="0" fontId="32" fillId="0" borderId="55" xfId="0" applyFont="1" applyBorder="1"/>
    <xf numFmtId="0" fontId="32" fillId="0" borderId="56" xfId="0" applyFont="1" applyBorder="1"/>
    <xf numFmtId="0" fontId="32" fillId="0" borderId="57" xfId="0" applyFont="1" applyBorder="1"/>
    <xf numFmtId="0" fontId="32" fillId="0" borderId="58" xfId="0" applyFont="1" applyBorder="1"/>
    <xf numFmtId="3" fontId="32" fillId="0" borderId="58" xfId="0" applyNumberFormat="1" applyFont="1" applyBorder="1"/>
    <xf numFmtId="0" fontId="32" fillId="0" borderId="59" xfId="0" applyFont="1" applyBorder="1"/>
    <xf numFmtId="0" fontId="32" fillId="0" borderId="60" xfId="0" applyFont="1" applyBorder="1"/>
    <xf numFmtId="0" fontId="32" fillId="0" borderId="61" xfId="0" applyFont="1" applyBorder="1"/>
    <xf numFmtId="0" fontId="32" fillId="0" borderId="14" xfId="0" applyFont="1" applyBorder="1"/>
    <xf numFmtId="3" fontId="32" fillId="0" borderId="14" xfId="0" applyNumberFormat="1" applyFont="1" applyBorder="1"/>
    <xf numFmtId="0" fontId="32" fillId="0" borderId="62" xfId="0" applyFont="1" applyBorder="1"/>
    <xf numFmtId="0" fontId="32" fillId="0" borderId="13" xfId="0" applyFont="1" applyBorder="1"/>
    <xf numFmtId="0" fontId="32" fillId="0" borderId="63" xfId="0" applyFont="1" applyBorder="1"/>
    <xf numFmtId="0" fontId="32" fillId="0" borderId="64" xfId="0" applyFont="1" applyBorder="1"/>
    <xf numFmtId="3" fontId="32" fillId="0" borderId="64" xfId="0" applyNumberFormat="1" applyFont="1" applyBorder="1"/>
    <xf numFmtId="0" fontId="32" fillId="0" borderId="26" xfId="0" applyFont="1" applyBorder="1"/>
    <xf numFmtId="0" fontId="32" fillId="0" borderId="65" xfId="0" applyFont="1" applyBorder="1"/>
    <xf numFmtId="0" fontId="32" fillId="0" borderId="66" xfId="0" applyFont="1" applyBorder="1"/>
    <xf numFmtId="0" fontId="32" fillId="0" borderId="67" xfId="0" applyFont="1" applyBorder="1"/>
    <xf numFmtId="3" fontId="32" fillId="0" borderId="67" xfId="0" applyNumberFormat="1" applyFont="1" applyBorder="1"/>
    <xf numFmtId="0" fontId="32" fillId="0" borderId="68" xfId="0" applyFont="1" applyBorder="1"/>
    <xf numFmtId="0" fontId="32" fillId="0" borderId="69" xfId="0" applyFont="1" applyBorder="1"/>
    <xf numFmtId="0" fontId="46" fillId="0" borderId="0" xfId="0" applyFont="1"/>
    <xf numFmtId="0" fontId="32" fillId="19" borderId="61" xfId="0" applyFont="1" applyFill="1" applyBorder="1"/>
    <xf numFmtId="0" fontId="32" fillId="19" borderId="14" xfId="0" applyFont="1" applyFill="1" applyBorder="1"/>
    <xf numFmtId="3" fontId="32" fillId="19" borderId="14" xfId="0" applyNumberFormat="1" applyFont="1" applyFill="1" applyBorder="1"/>
    <xf numFmtId="0" fontId="32" fillId="19" borderId="62" xfId="0" applyFont="1" applyFill="1" applyBorder="1"/>
    <xf numFmtId="0" fontId="32" fillId="19" borderId="13" xfId="0" applyFont="1" applyFill="1" applyBorder="1"/>
    <xf numFmtId="0" fontId="32" fillId="0" borderId="70" xfId="0" applyFont="1" applyBorder="1"/>
    <xf numFmtId="0" fontId="32" fillId="0" borderId="71" xfId="0" applyFont="1" applyBorder="1"/>
    <xf numFmtId="3" fontId="32" fillId="0" borderId="71" xfId="0" applyNumberFormat="1" applyFont="1" applyBorder="1"/>
    <xf numFmtId="0" fontId="32" fillId="0" borderId="72" xfId="0" applyFont="1" applyBorder="1"/>
    <xf numFmtId="0" fontId="32" fillId="0" borderId="73" xfId="0" applyFont="1" applyBorder="1"/>
    <xf numFmtId="0" fontId="32" fillId="20" borderId="13" xfId="0" applyFont="1" applyFill="1" applyBorder="1"/>
    <xf numFmtId="0" fontId="32" fillId="20" borderId="62" xfId="0" applyFont="1" applyFill="1" applyBorder="1"/>
    <xf numFmtId="0" fontId="32" fillId="20" borderId="73" xfId="0" applyFont="1" applyFill="1" applyBorder="1"/>
    <xf numFmtId="0" fontId="32" fillId="20" borderId="72" xfId="0" applyFont="1" applyFill="1" applyBorder="1"/>
    <xf numFmtId="0" fontId="32" fillId="0" borderId="74" xfId="0" applyFont="1" applyBorder="1"/>
    <xf numFmtId="0" fontId="49" fillId="24" borderId="14" xfId="0" applyFont="1" applyFill="1" applyBorder="1"/>
    <xf numFmtId="0" fontId="50" fillId="24" borderId="14" xfId="0" applyFont="1" applyFill="1" applyBorder="1"/>
    <xf numFmtId="0" fontId="32" fillId="24" borderId="14" xfId="0" applyFont="1" applyFill="1" applyBorder="1"/>
    <xf numFmtId="0" fontId="32" fillId="0" borderId="75" xfId="0" applyFont="1" applyBorder="1"/>
    <xf numFmtId="0" fontId="32" fillId="0" borderId="76" xfId="0" applyFont="1" applyBorder="1"/>
    <xf numFmtId="0" fontId="32" fillId="15" borderId="61" xfId="0" applyFont="1" applyFill="1" applyBorder="1"/>
    <xf numFmtId="0" fontId="32" fillId="15" borderId="14" xfId="0" applyFont="1" applyFill="1" applyBorder="1"/>
    <xf numFmtId="3" fontId="32" fillId="15" borderId="14" xfId="0" applyNumberFormat="1" applyFont="1" applyFill="1" applyBorder="1"/>
    <xf numFmtId="0" fontId="32" fillId="15" borderId="62" xfId="0" applyFont="1" applyFill="1" applyBorder="1"/>
    <xf numFmtId="0" fontId="32" fillId="15" borderId="13" xfId="0" applyFont="1" applyFill="1" applyBorder="1"/>
    <xf numFmtId="3" fontId="46" fillId="0" borderId="14" xfId="0" applyNumberFormat="1" applyFont="1" applyBorder="1"/>
    <xf numFmtId="3" fontId="49" fillId="24" borderId="14" xfId="0" applyNumberFormat="1" applyFont="1" applyFill="1" applyBorder="1"/>
    <xf numFmtId="3" fontId="50" fillId="24" borderId="14" xfId="0" applyNumberFormat="1" applyFont="1" applyFill="1" applyBorder="1"/>
    <xf numFmtId="0" fontId="32" fillId="15" borderId="70" xfId="0" applyFont="1" applyFill="1" applyBorder="1"/>
    <xf numFmtId="0" fontId="32" fillId="15" borderId="71" xfId="0" applyFont="1" applyFill="1" applyBorder="1"/>
    <xf numFmtId="3" fontId="32" fillId="15" borderId="71" xfId="0" applyNumberFormat="1" applyFont="1" applyFill="1" applyBorder="1"/>
    <xf numFmtId="0" fontId="32" fillId="15" borderId="57" xfId="0" applyFont="1" applyFill="1" applyBorder="1"/>
    <xf numFmtId="0" fontId="32" fillId="0" borderId="77" xfId="0" applyFont="1" applyBorder="1"/>
    <xf numFmtId="0" fontId="32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8" fillId="18" borderId="12" xfId="0" applyFont="1" applyFill="1" applyBorder="1"/>
    <xf numFmtId="3" fontId="32" fillId="0" borderId="54" xfId="0" applyNumberFormat="1" applyFont="1" applyBorder="1" applyAlignment="1">
      <alignment wrapText="1"/>
    </xf>
    <xf numFmtId="0" fontId="32" fillId="0" borderId="14" xfId="0" applyFont="1" applyBorder="1" applyAlignment="1">
      <alignment wrapText="1"/>
    </xf>
    <xf numFmtId="0" fontId="0" fillId="0" borderId="0" xfId="0" pivotButton="1"/>
    <xf numFmtId="44" fontId="0" fillId="0" borderId="0" xfId="0" pivotButton="1" applyNumberFormat="1"/>
    <xf numFmtId="42" fontId="0" fillId="0" borderId="0" xfId="0" applyNumberFormat="1"/>
    <xf numFmtId="44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36" borderId="0" xfId="0" applyFill="1"/>
    <xf numFmtId="42" fontId="0" fillId="36" borderId="0" xfId="0" applyNumberFormat="1" applyFill="1"/>
    <xf numFmtId="0" fontId="0" fillId="36" borderId="0" xfId="0" applyFill="1" applyAlignment="1">
      <alignment horizontal="center"/>
    </xf>
    <xf numFmtId="2" fontId="0" fillId="36" borderId="0" xfId="0" applyNumberFormat="1" applyFill="1" applyAlignment="1">
      <alignment horizontal="center"/>
    </xf>
    <xf numFmtId="0" fontId="0" fillId="0" borderId="6" xfId="0" applyBorder="1" applyAlignment="1">
      <alignment horizontal="center" vertical="center" wrapText="1"/>
    </xf>
    <xf numFmtId="16" fontId="0" fillId="0" borderId="6" xfId="0" quotePrefix="1" applyNumberFormat="1" applyBorder="1" applyAlignment="1">
      <alignment horizontal="center" vertical="center"/>
    </xf>
    <xf numFmtId="0" fontId="51" fillId="29" borderId="6" xfId="0" applyFont="1" applyFill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0" fillId="0" borderId="6" xfId="1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0" fillId="5" borderId="6" xfId="1" applyFont="1" applyFill="1" applyBorder="1" applyAlignment="1">
      <alignment horizontal="center" vertical="center"/>
    </xf>
    <xf numFmtId="0" fontId="53" fillId="5" borderId="6" xfId="0" applyFont="1" applyFill="1" applyBorder="1" applyAlignment="1">
      <alignment horizontal="center" vertical="center"/>
    </xf>
    <xf numFmtId="168" fontId="5" fillId="0" borderId="6" xfId="0" applyNumberFormat="1" applyFont="1" applyBorder="1" applyAlignment="1">
      <alignment horizontal="center" vertical="center"/>
    </xf>
    <xf numFmtId="168" fontId="5" fillId="5" borderId="6" xfId="0" applyNumberFormat="1" applyFont="1" applyFill="1" applyBorder="1" applyAlignment="1">
      <alignment horizontal="center" vertical="center"/>
    </xf>
    <xf numFmtId="168" fontId="0" fillId="5" borderId="6" xfId="0" applyNumberFormat="1" applyFill="1" applyBorder="1" applyAlignment="1">
      <alignment horizontal="center" vertical="center"/>
    </xf>
    <xf numFmtId="168" fontId="13" fillId="0" borderId="6" xfId="0" applyNumberFormat="1" applyFon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13" fillId="5" borderId="6" xfId="0" applyNumberFormat="1" applyFont="1" applyFill="1" applyBorder="1" applyAlignment="1">
      <alignment horizontal="center" vertical="center"/>
    </xf>
    <xf numFmtId="168" fontId="0" fillId="0" borderId="6" xfId="0" applyNumberFormat="1" applyBorder="1"/>
    <xf numFmtId="0" fontId="3" fillId="0" borderId="6" xfId="1" applyFill="1" applyBorder="1" applyAlignment="1">
      <alignment horizontal="center" vertical="center" wrapText="1"/>
    </xf>
    <xf numFmtId="0" fontId="54" fillId="19" borderId="78" xfId="0" applyFont="1" applyFill="1" applyBorder="1"/>
    <xf numFmtId="0" fontId="54" fillId="19" borderId="79" xfId="0" applyFont="1" applyFill="1" applyBorder="1"/>
    <xf numFmtId="0" fontId="48" fillId="19" borderId="59" xfId="0" applyFont="1" applyFill="1" applyBorder="1"/>
    <xf numFmtId="0" fontId="4" fillId="0" borderId="13" xfId="0" applyFont="1" applyBorder="1"/>
    <xf numFmtId="0" fontId="55" fillId="38" borderId="6" xfId="0" applyFont="1" applyFill="1" applyBorder="1"/>
    <xf numFmtId="0" fontId="55" fillId="0" borderId="6" xfId="0" applyFont="1" applyBorder="1"/>
    <xf numFmtId="0" fontId="56" fillId="0" borderId="6" xfId="0" applyFont="1" applyBorder="1"/>
    <xf numFmtId="0" fontId="57" fillId="0" borderId="6" xfId="0" applyFont="1" applyBorder="1"/>
    <xf numFmtId="0" fontId="32" fillId="4" borderId="14" xfId="0" applyFont="1" applyFill="1" applyBorder="1"/>
    <xf numFmtId="0" fontId="16" fillId="4" borderId="14" xfId="0" applyFont="1" applyFill="1" applyBorder="1"/>
    <xf numFmtId="0" fontId="15" fillId="38" borderId="6" xfId="0" applyFont="1" applyFill="1" applyBorder="1" applyAlignment="1">
      <alignment horizontal="center"/>
    </xf>
    <xf numFmtId="0" fontId="58" fillId="37" borderId="6" xfId="0" applyFont="1" applyFill="1" applyBorder="1" applyAlignment="1">
      <alignment horizontal="center" wrapText="1"/>
    </xf>
    <xf numFmtId="0" fontId="48" fillId="37" borderId="6" xfId="0" applyFont="1" applyFill="1" applyBorder="1" applyAlignment="1">
      <alignment wrapText="1"/>
    </xf>
    <xf numFmtId="0" fontId="48" fillId="37" borderId="6" xfId="0" applyFont="1" applyFill="1" applyBorder="1"/>
    <xf numFmtId="0" fontId="0" fillId="8" borderId="51" xfId="0" applyFill="1" applyBorder="1" applyAlignment="1">
      <alignment horizontal="right"/>
    </xf>
    <xf numFmtId="0" fontId="0" fillId="8" borderId="0" xfId="0" applyFill="1" applyAlignment="1">
      <alignment horizontal="right"/>
    </xf>
    <xf numFmtId="0" fontId="16" fillId="23" borderId="21" xfId="0" applyFont="1" applyFill="1" applyBorder="1" applyAlignment="1">
      <alignment wrapText="1"/>
    </xf>
    <xf numFmtId="0" fontId="16" fillId="23" borderId="0" xfId="0" applyFont="1" applyFill="1" applyAlignment="1">
      <alignment wrapText="1"/>
    </xf>
    <xf numFmtId="0" fontId="16" fillId="22" borderId="21" xfId="0" applyFont="1" applyFill="1" applyBorder="1"/>
    <xf numFmtId="0" fontId="16" fillId="22" borderId="0" xfId="0" applyFont="1" applyFill="1"/>
    <xf numFmtId="0" fontId="18" fillId="0" borderId="51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3" fillId="27" borderId="52" xfId="0" applyFont="1" applyFill="1" applyBorder="1" applyAlignment="1">
      <alignment horizontal="right"/>
    </xf>
    <xf numFmtId="0" fontId="0" fillId="27" borderId="23" xfId="0" applyFill="1" applyBorder="1" applyAlignment="1">
      <alignment horizontal="right"/>
    </xf>
    <xf numFmtId="0" fontId="38" fillId="0" borderId="52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0" fillId="8" borderId="51" xfId="0" applyFill="1" applyBorder="1" applyAlignment="1">
      <alignment horizontal="right"/>
    </xf>
    <xf numFmtId="0" fontId="0" fillId="8" borderId="0" xfId="0" applyFill="1" applyAlignment="1">
      <alignment horizontal="right"/>
    </xf>
    <xf numFmtId="0" fontId="0" fillId="8" borderId="52" xfId="0" applyFill="1" applyBorder="1" applyAlignment="1">
      <alignment horizontal="right"/>
    </xf>
    <xf numFmtId="0" fontId="0" fillId="8" borderId="23" xfId="0" applyFill="1" applyBorder="1" applyAlignment="1">
      <alignment horizontal="right"/>
    </xf>
    <xf numFmtId="0" fontId="0" fillId="8" borderId="15" xfId="0" applyFill="1" applyBorder="1" applyAlignment="1">
      <alignment horizontal="right"/>
    </xf>
    <xf numFmtId="0" fontId="0" fillId="8" borderId="49" xfId="0" applyFill="1" applyBorder="1" applyAlignment="1">
      <alignment horizontal="right"/>
    </xf>
    <xf numFmtId="0" fontId="40" fillId="0" borderId="2" xfId="0" applyFont="1" applyBorder="1" applyAlignment="1">
      <alignment horizontal="center" vertical="center" textRotation="90"/>
    </xf>
    <xf numFmtId="0" fontId="40" fillId="0" borderId="17" xfId="0" applyFont="1" applyBorder="1" applyAlignment="1">
      <alignment horizontal="center" vertical="center" textRotation="90"/>
    </xf>
    <xf numFmtId="0" fontId="40" fillId="0" borderId="3" xfId="0" applyFont="1" applyBorder="1" applyAlignment="1">
      <alignment horizontal="center" vertical="center" textRotation="90"/>
    </xf>
    <xf numFmtId="0" fontId="16" fillId="23" borderId="20" xfId="0" applyFont="1" applyFill="1" applyBorder="1" applyAlignment="1">
      <alignment wrapText="1"/>
    </xf>
    <xf numFmtId="0" fontId="16" fillId="23" borderId="21" xfId="0" applyFont="1" applyFill="1" applyBorder="1" applyAlignment="1">
      <alignment wrapText="1"/>
    </xf>
    <xf numFmtId="0" fontId="16" fillId="23" borderId="22" xfId="0" applyFont="1" applyFill="1" applyBorder="1" applyAlignment="1">
      <alignment wrapText="1"/>
    </xf>
    <xf numFmtId="0" fontId="16" fillId="23" borderId="24" xfId="0" applyFont="1" applyFill="1" applyBorder="1" applyAlignment="1">
      <alignment wrapText="1"/>
    </xf>
    <xf numFmtId="0" fontId="16" fillId="23" borderId="0" xfId="0" applyFont="1" applyFill="1" applyAlignment="1">
      <alignment wrapText="1"/>
    </xf>
    <xf numFmtId="0" fontId="16" fillId="23" borderId="25" xfId="0" applyFont="1" applyFill="1" applyBorder="1" applyAlignment="1">
      <alignment wrapText="1"/>
    </xf>
    <xf numFmtId="0" fontId="1" fillId="27" borderId="15" xfId="0" applyFont="1" applyFill="1" applyBorder="1" applyAlignment="1">
      <alignment horizontal="right"/>
    </xf>
    <xf numFmtId="0" fontId="1" fillId="27" borderId="49" xfId="0" applyFont="1" applyFill="1" applyBorder="1" applyAlignment="1">
      <alignment horizontal="right"/>
    </xf>
    <xf numFmtId="0" fontId="13" fillId="27" borderId="51" xfId="0" applyFont="1" applyFill="1" applyBorder="1" applyAlignment="1">
      <alignment horizontal="right"/>
    </xf>
    <xf numFmtId="0" fontId="13" fillId="27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16" fillId="22" borderId="20" xfId="0" applyFont="1" applyFill="1" applyBorder="1"/>
    <xf numFmtId="0" fontId="16" fillId="22" borderId="21" xfId="0" applyFont="1" applyFill="1" applyBorder="1"/>
    <xf numFmtId="0" fontId="16" fillId="22" borderId="22" xfId="0" applyFont="1" applyFill="1" applyBorder="1"/>
    <xf numFmtId="0" fontId="16" fillId="22" borderId="24" xfId="0" applyFont="1" applyFill="1" applyBorder="1"/>
    <xf numFmtId="0" fontId="16" fillId="22" borderId="0" xfId="0" applyFont="1" applyFill="1"/>
    <xf numFmtId="0" fontId="16" fillId="22" borderId="25" xfId="0" applyFont="1" applyFill="1" applyBorder="1"/>
    <xf numFmtId="0" fontId="0" fillId="9" borderId="28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0" xfId="0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38" fillId="0" borderId="51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167" fontId="18" fillId="4" borderId="52" xfId="0" applyNumberFormat="1" applyFont="1" applyFill="1" applyBorder="1" applyAlignment="1">
      <alignment horizontal="right" wrapText="1"/>
    </xf>
    <xf numFmtId="167" fontId="18" fillId="4" borderId="16" xfId="0" applyNumberFormat="1" applyFont="1" applyFill="1" applyBorder="1" applyAlignment="1">
      <alignment horizontal="right" wrapText="1"/>
    </xf>
    <xf numFmtId="0" fontId="18" fillId="0" borderId="15" xfId="0" applyFont="1" applyBorder="1" applyAlignment="1">
      <alignment horizontal="center"/>
    </xf>
    <xf numFmtId="0" fontId="18" fillId="0" borderId="50" xfId="0" applyFont="1" applyBorder="1" applyAlignment="1">
      <alignment horizontal="center"/>
    </xf>
  </cellXfs>
  <cellStyles count="3">
    <cellStyle name="Hyperlink" xfId="1" xr:uid="{00000000-000B-0000-0000-000008000000}"/>
    <cellStyle name="Köprü 2" xfId="2" xr:uid="{5BFD88C7-2DF3-4868-A378-16C71F7BD0E2}"/>
    <cellStyle name="Normal" xfId="0" builtinId="0"/>
  </cellStyles>
  <dxfs count="19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34" formatCode="_-&quot;₺&quot;* #,##0.00_-;\-&quot;₺&quot;* #,##0.00_-;_-&quot;₺&quot;* &quot;-&quot;??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  <dxf>
      <numFmt numFmtId="32" formatCode="_-&quot;₺&quot;* #,##0_-;\-&quot;₺&quot;* #,##0_-;_-&quot;₺&quot;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688B0EB5-E433-4948-8C03-A2AA95A6B6D6}" userId="" providerId="Windows Live"/>
  <person displayName="Hasan Uysal" id="{E34E5BF0-477F-4D98-B160-94A7C97ED439}" userId="bda648e822340bd5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2.746396643517" createdVersion="8" refreshedVersion="8" minRefreshableVersion="3" recordCount="805" xr:uid="{6E09D6E5-97BA-4F54-8404-BFF944416976}">
  <cacheSource type="worksheet">
    <worksheetSource ref="D1:N933" sheet="Bereketli Satış"/>
  </cacheSource>
  <cacheFields count="11">
    <cacheField name="İL" numFmtId="0">
      <sharedItems containsBlank="1" count="11">
        <s v="MANİSA"/>
        <s v="BALIKESİR"/>
        <s v="KÜTAHYA"/>
        <s v="AYDIN"/>
        <s v="ANKARA "/>
        <s v="ÇANAKKALE"/>
        <s v="ANTALYA"/>
        <s v="İZMİR"/>
        <s v="BURSA"/>
        <s v="ESKİŞEHİR"/>
        <m/>
      </sharedItems>
    </cacheField>
    <cacheField name="İLÇE" numFmtId="0">
      <sharedItems containsBlank="1" count="26">
        <s v="ALAŞEHİR"/>
        <s v="SUSURLUK"/>
        <s v="MERKEZ"/>
        <s v="DURSUNBEY"/>
        <s v="GERMENCİK"/>
        <s v="GÜDÜL"/>
        <s v="SINDIRGI"/>
        <s v="KARESİ"/>
        <s v="GÖRDES"/>
        <s v="YENİCE"/>
        <s v="ALTIEYLÜL"/>
        <s v="DEMİRCİ"/>
        <s v="FİNİKE"/>
        <s v="BİGA"/>
        <s v="İVRİNDİ"/>
        <s v="YENİPAZAR"/>
        <s v="DİKİLİ"/>
        <s v="AKHİSAR"/>
        <s v="YENİŞEHİR"/>
        <s v="MİHALIÇÇIK"/>
        <s v="ÇAN"/>
        <s v="KEPSUT"/>
        <s v="ŞEHZADELER"/>
        <s v="NİLÜFER"/>
        <s v="ORHANGAZİ"/>
        <m/>
      </sharedItems>
    </cacheField>
    <cacheField name="MAHALLE" numFmtId="0">
      <sharedItems containsBlank="1" count="67">
        <s v="KİLLİK"/>
        <s v="REŞADİYE"/>
        <s v="İNKÖY"/>
        <s v="YUKARIMUSALAR"/>
        <s v="CAMİKEBİR"/>
        <s v="GÜNEYCE"/>
        <s v="İBİLLER"/>
        <s v="BALIKLIDERE"/>
        <s v="KUVAYİ MİLLİYE"/>
        <s v="DELİCE"/>
        <s v="MALTEPE"/>
        <s v="AŞAĞIMUSALAR"/>
        <s v="BEĞEL"/>
        <s v="KARAKÖY"/>
        <s v="DİNKÇİLER"/>
        <s v="KINIK"/>
        <s v="ILICABOĞAZI"/>
        <s v="BARDAKÇI"/>
        <s v="ARMUTLU"/>
        <s v="KARŞIYAKA"/>
        <s v="KAHVETEPE"/>
        <s v="KIRMIZILAR"/>
        <s v="GÖZLÜÇAYIR"/>
        <s v="ÜMİTELİ"/>
        <s v="KEMALİYE"/>
        <s v="ALHAN"/>
        <s v="KATIRALANI"/>
        <s v="İSLAMLAR"/>
        <s v="MİLİNGE"/>
        <s v="SEYİTLER"/>
        <s v="ERDEL"/>
        <s v="SÖVE"/>
        <s v="MURADİYE"/>
        <s v="Camikebir"/>
        <s v="BÜYÜKPINAR"/>
        <s v="İSTİKLAL"/>
        <s v="TURPLU"/>
        <s v="BAKACAK"/>
        <s v="ÇEŞMEALTI"/>
        <s v="DEMİRKAPI"/>
        <s v="DERECİKÖREN"/>
        <s v="İBİRLER"/>
        <s v="KALAYCILAR"/>
        <s v="KOCAKAĞAN"/>
        <s v="KOCASİNAN"/>
        <s v="KÜÇÜKKATRANCI"/>
        <s v="KÜRSE"/>
        <s v="SELİMAĞA"/>
        <s v="SELİMİYE"/>
        <s v="TEPECİK"/>
        <s v="YAYLACIK"/>
        <s v="YEŞİLYURT"/>
        <s v="DAVUTLAR"/>
        <s v="SULTANÇAYIR "/>
        <s v="TATLIPINAR"/>
        <s v="KAYAPA"/>
        <s v="TOYBELEN"/>
        <s v="ÇELİKLER"/>
        <s v="NAİPLİ"/>
        <s v="BOYACIK"/>
        <s v="HÜDÜK"/>
        <s v="MİNNETLER"/>
        <s v="KULALAR"/>
        <s v="GEDELEK"/>
        <s v="KAYAELİ"/>
        <s v="DAĞYENİCE"/>
        <m/>
      </sharedItems>
    </cacheField>
    <cacheField name="ALAN" numFmtId="0">
      <sharedItems containsBlank="1" containsMixedTypes="1" containsNumber="1" minValue="60" maxValue="6351"/>
    </cacheField>
    <cacheField name="ADA" numFmtId="0">
      <sharedItems containsString="0" containsBlank="1" containsNumber="1" containsInteger="1" minValue="0" maxValue="14236"/>
    </cacheField>
    <cacheField name="PARSEL" numFmtId="0">
      <sharedItems containsBlank="1" containsMixedTypes="1" containsNumber="1" containsInteger="1" minValue="1" maxValue="2615"/>
    </cacheField>
    <cacheField name="NİTELİK" numFmtId="0">
      <sharedItems containsBlank="1"/>
    </cacheField>
    <cacheField name="ŞİRKET" numFmtId="0">
      <sharedItems containsBlank="1"/>
    </cacheField>
    <cacheField name="DURUM" numFmtId="0">
      <sharedItems containsBlank="1"/>
    </cacheField>
    <cacheField name="DURUM 2" numFmtId="0">
      <sharedItems containsBlank="1"/>
    </cacheField>
    <cacheField name="M2 FİYATI" numFmtId="0">
      <sharedItems containsString="0" containsBlank="1" containsNumber="1" containsInteger="1" minValue="112" maxValue="30000" count="31">
        <n v="6000"/>
        <n v="2500"/>
        <n v="16000"/>
        <n v="2000"/>
        <n v="4000"/>
        <n v="15000"/>
        <m/>
        <n v="25000"/>
        <n v="2250"/>
        <n v="20000"/>
        <n v="30000"/>
        <n v="3500"/>
        <n v="3000"/>
        <n v="11000"/>
        <n v="1650"/>
        <n v="1575"/>
        <n v="8000"/>
        <n v="6500"/>
        <n v="3415"/>
        <n v="6450"/>
        <n v="1500"/>
        <n v="280"/>
        <n v="200"/>
        <n v="187"/>
        <n v="340"/>
        <n v="175"/>
        <n v="5000"/>
        <n v="112"/>
        <n v="7873"/>
        <n v="5500"/>
        <n v="48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5">
  <r>
    <x v="0"/>
    <x v="0"/>
    <x v="0"/>
    <n v="60"/>
    <n v="241"/>
    <n v="15"/>
    <s v="ARSA"/>
    <s v="BİLAL AKTAŞ"/>
    <s v="İLANDA"/>
    <s v="SATILDI/2. SATIŞTA"/>
    <x v="0"/>
  </r>
  <r>
    <x v="0"/>
    <x v="0"/>
    <x v="0"/>
    <n v="60"/>
    <n v="241"/>
    <n v="7"/>
    <s v="ARSA"/>
    <s v="BİLAL AKTAŞ"/>
    <s v="İLANDA"/>
    <s v="SATILDI/2. SATIŞTA"/>
    <x v="0"/>
  </r>
  <r>
    <x v="0"/>
    <x v="0"/>
    <x v="0"/>
    <n v="60"/>
    <n v="241"/>
    <n v="6"/>
    <s v="ARSA"/>
    <s v="BİLAL AKTAŞ"/>
    <s v="İLANDA"/>
    <s v="SATILDI/2. SATIŞTA"/>
    <x v="0"/>
  </r>
  <r>
    <x v="0"/>
    <x v="0"/>
    <x v="0"/>
    <n v="60"/>
    <n v="241"/>
    <n v="5"/>
    <s v="ARSA"/>
    <s v="BİLAL AKTAŞ"/>
    <s v="İLANDA"/>
    <s v="SATILDI/2. SATIŞTA"/>
    <x v="0"/>
  </r>
  <r>
    <x v="0"/>
    <x v="0"/>
    <x v="0"/>
    <n v="78"/>
    <n v="240"/>
    <n v="14"/>
    <s v="ARSA"/>
    <s v="BİLAL AKTAŞ"/>
    <s v="İLANDA"/>
    <s v="SATILDI/2. SATIŞTA"/>
    <x v="0"/>
  </r>
  <r>
    <x v="1"/>
    <x v="1"/>
    <x v="1"/>
    <n v="312.8"/>
    <n v="158"/>
    <n v="8"/>
    <s v="ARSA"/>
    <s v="BİLAL AKTAŞ"/>
    <s v="SATIŞ KAPANDI"/>
    <s v="SATIŞ KAPANDI"/>
    <x v="1"/>
  </r>
  <r>
    <x v="1"/>
    <x v="1"/>
    <x v="1"/>
    <n v="349.22"/>
    <n v="158"/>
    <n v="18"/>
    <s v="ARSA"/>
    <s v="BİLAL AKTAŞ"/>
    <s v="SATIŞ KAPANDI"/>
    <s v="SATIŞ KAPANDI"/>
    <x v="1"/>
  </r>
  <r>
    <x v="1"/>
    <x v="1"/>
    <x v="1"/>
    <n v="342.81"/>
    <n v="158"/>
    <n v="7"/>
    <s v="ARSA"/>
    <s v="BİLAL AKTAŞ"/>
    <s v="SATIŞ KAPANDI"/>
    <s v="SATIŞ KAPANDI"/>
    <x v="1"/>
  </r>
  <r>
    <x v="1"/>
    <x v="1"/>
    <x v="1"/>
    <n v="304.31"/>
    <n v="158"/>
    <n v="19"/>
    <s v="ARSA"/>
    <s v="BİLAL AKTAŞ"/>
    <s v="SATIŞ KAPANDI"/>
    <s v="SATIŞ KAPANDI"/>
    <x v="1"/>
  </r>
  <r>
    <x v="1"/>
    <x v="1"/>
    <x v="1"/>
    <n v="304.3"/>
    <n v="158"/>
    <n v="20"/>
    <s v="ARSA"/>
    <s v="BİLAL AKTAŞ"/>
    <s v="SATIŞ KAPANDI"/>
    <s v="SATIŞ KAPANDI"/>
    <x v="1"/>
  </r>
  <r>
    <x v="1"/>
    <x v="1"/>
    <x v="1"/>
    <n v="261.37"/>
    <n v="158"/>
    <n v="9"/>
    <s v="ARSA"/>
    <s v="BİLAL AKTAŞ"/>
    <s v="SATIŞ KAPANDI"/>
    <s v="SATIŞ KAPANDI"/>
    <x v="1"/>
  </r>
  <r>
    <x v="1"/>
    <x v="1"/>
    <x v="1"/>
    <n v="273.05"/>
    <n v="158"/>
    <n v="10"/>
    <s v="ARSA"/>
    <s v="BİLAL AKTAŞ"/>
    <s v="SATIŞ KAPANDI"/>
    <s v="SATIŞ KAPANDI"/>
    <x v="1"/>
  </r>
  <r>
    <x v="1"/>
    <x v="1"/>
    <x v="1"/>
    <n v="365.23"/>
    <n v="158"/>
    <n v="12"/>
    <s v="ARSA"/>
    <s v="BİLAL AKTAŞ"/>
    <s v="SATILDI"/>
    <s v="SATIŞ KAPANDI"/>
    <x v="1"/>
  </r>
  <r>
    <x v="1"/>
    <x v="1"/>
    <x v="1"/>
    <n v="326.77999999999997"/>
    <n v="158"/>
    <n v="15"/>
    <s v="ARSA"/>
    <s v="BİLAL AKTAŞ"/>
    <s v="SATIŞ KAPANDI"/>
    <s v="SATIŞ KAPANDI"/>
    <x v="1"/>
  </r>
  <r>
    <x v="1"/>
    <x v="1"/>
    <x v="1"/>
    <n v="353.16"/>
    <n v="158"/>
    <n v="17"/>
    <s v="ARSA"/>
    <s v="BİLAL AKTAŞ"/>
    <s v="SATIŞ KAPANDI"/>
    <s v="SATIŞ KAPANDI"/>
    <x v="1"/>
  </r>
  <r>
    <x v="2"/>
    <x v="2"/>
    <x v="2"/>
    <n v="150"/>
    <n v="4868"/>
    <s v="1-1"/>
    <s v="ARSA"/>
    <s v="BEREKETLİ AŞ"/>
    <s v="REZERVE"/>
    <s v="REZERVE"/>
    <x v="2"/>
  </r>
  <r>
    <x v="2"/>
    <x v="2"/>
    <x v="2"/>
    <n v="150"/>
    <n v="4868"/>
    <s v="1-2"/>
    <s v="ARSA"/>
    <s v="BEREKETLİ AŞ"/>
    <s v="SATIŞ KAPANDI"/>
    <s v="SATIŞ KAPANDI"/>
    <x v="2"/>
  </r>
  <r>
    <x v="1"/>
    <x v="1"/>
    <x v="1"/>
    <n v="303.39"/>
    <n v="159"/>
    <n v="8"/>
    <s v="ARSA"/>
    <s v="BİLAL AKTAŞ"/>
    <s v="SATIŞ KAPANDI"/>
    <s v="SATIŞ KAPANDI"/>
    <x v="1"/>
  </r>
  <r>
    <x v="1"/>
    <x v="1"/>
    <x v="1"/>
    <n v="387.93"/>
    <n v="159"/>
    <n v="7"/>
    <s v="ARSA"/>
    <s v="BİLAL AKTAŞ"/>
    <s v="SATIŞ KAPANDI"/>
    <s v="SATIŞ KAPANDI"/>
    <x v="1"/>
  </r>
  <r>
    <x v="1"/>
    <x v="1"/>
    <x v="1"/>
    <n v="406.75"/>
    <n v="159"/>
    <n v="6"/>
    <s v="ARSA"/>
    <s v="BİLAL AKTAŞ"/>
    <s v="SATIŞ KAPANDI"/>
    <s v="SATIŞ KAPANDI"/>
    <x v="1"/>
  </r>
  <r>
    <x v="2"/>
    <x v="2"/>
    <x v="2"/>
    <n v="150"/>
    <n v="4868"/>
    <s v="1-3"/>
    <s v="ARSA"/>
    <s v="BEREKETLİ AŞ"/>
    <s v="REZERVE"/>
    <s v="REZERVE"/>
    <x v="2"/>
  </r>
  <r>
    <x v="1"/>
    <x v="1"/>
    <x v="1"/>
    <n v="303.38"/>
    <n v="159"/>
    <n v="9"/>
    <s v="ARSA"/>
    <s v="BİLAL AKTAŞ"/>
    <s v="İLANDA"/>
    <s v="SATIŞ KAPANDI"/>
    <x v="1"/>
  </r>
  <r>
    <x v="1"/>
    <x v="1"/>
    <x v="1"/>
    <n v="287.64"/>
    <n v="160"/>
    <n v="6"/>
    <s v="ARSA"/>
    <s v="BİLAL AKTAŞ"/>
    <s v="SATIŞ KAPANDI"/>
    <s v="SATIŞ KAPANDI"/>
    <x v="1"/>
  </r>
  <r>
    <x v="1"/>
    <x v="1"/>
    <x v="1"/>
    <n v="317.68"/>
    <n v="160"/>
    <n v="5"/>
    <s v="ARSA"/>
    <s v="BİLAL AKTAŞ"/>
    <s v="SATIŞ KAPANDI"/>
    <s v="SATIŞ KAPANDI"/>
    <x v="1"/>
  </r>
  <r>
    <x v="1"/>
    <x v="1"/>
    <x v="1"/>
    <n v="264.95999999999998"/>
    <n v="161"/>
    <n v="4"/>
    <s v="ARSA"/>
    <s v="BİLAL AKTAŞ"/>
    <s v="SATIŞ KAPANDI"/>
    <s v="SATIŞ KAPANDI"/>
    <x v="1"/>
  </r>
  <r>
    <x v="1"/>
    <x v="1"/>
    <x v="1"/>
    <n v="268.82"/>
    <n v="161"/>
    <n v="5"/>
    <s v="ARSA"/>
    <s v="BİLAL AKTAŞ"/>
    <s v="SATILDI"/>
    <s v="SATIŞ KAPANDI"/>
    <x v="1"/>
  </r>
  <r>
    <x v="1"/>
    <x v="1"/>
    <x v="1"/>
    <n v="329.13"/>
    <n v="161"/>
    <n v="9"/>
    <s v="ARSA"/>
    <s v="BİLAL AKTAŞ"/>
    <s v="SATILDI"/>
    <s v="SATIŞ KAPANDI"/>
    <x v="1"/>
  </r>
  <r>
    <x v="2"/>
    <x v="2"/>
    <x v="2"/>
    <n v="150"/>
    <n v="4868"/>
    <s v="1-4"/>
    <s v="ARSA"/>
    <s v="BEREKETLİ AŞ"/>
    <s v="REZERVE"/>
    <s v="REZERVE"/>
    <x v="2"/>
  </r>
  <r>
    <x v="1"/>
    <x v="1"/>
    <x v="1"/>
    <n v="300"/>
    <n v="161"/>
    <n v="7"/>
    <s v="ARSA"/>
    <s v="BİLAL AKTAŞ"/>
    <s v="SATILDI"/>
    <s v="SATIŞ KAPANDI"/>
    <x v="1"/>
  </r>
  <r>
    <x v="1"/>
    <x v="1"/>
    <x v="1"/>
    <n v="362.35"/>
    <n v="161"/>
    <n v="6"/>
    <s v="ARSA"/>
    <s v="BİLAL AKTAŞ"/>
    <s v="SATIŞ KAPANDI"/>
    <s v="SATIŞ KAPANDI"/>
    <x v="1"/>
  </r>
  <r>
    <x v="2"/>
    <x v="2"/>
    <x v="2"/>
    <n v="150"/>
    <n v="4868"/>
    <s v="1-5"/>
    <s v="ARSA"/>
    <s v="BEREKETLİ AŞ"/>
    <s v="SATIŞ KAPANDI"/>
    <s v="SATIŞ KAPANDI"/>
    <x v="2"/>
  </r>
  <r>
    <x v="1"/>
    <x v="1"/>
    <x v="1"/>
    <n v="740.83"/>
    <n v="162"/>
    <n v="11"/>
    <s v="ARSA"/>
    <s v="BİLAL AKTAŞ"/>
    <s v="SATIŞ KAPANDI"/>
    <s v="SATIŞ KAPANDI"/>
    <x v="1"/>
  </r>
  <r>
    <x v="1"/>
    <x v="1"/>
    <x v="1"/>
    <n v="537.67999999999995"/>
    <n v="162"/>
    <n v="2"/>
    <s v="ARSA"/>
    <s v="BİLAL AKTAŞ"/>
    <s v="SATIŞ KAPANDI"/>
    <s v="SATIŞ KAPANDI"/>
    <x v="1"/>
  </r>
  <r>
    <x v="1"/>
    <x v="1"/>
    <x v="1"/>
    <n v="756.98"/>
    <n v="162"/>
    <n v="4"/>
    <s v="ARSA"/>
    <s v="BİLAL AKTAŞ"/>
    <s v="SATIŞ KAPANDI"/>
    <s v="SATIŞ KAPANDI"/>
    <x v="1"/>
  </r>
  <r>
    <x v="1"/>
    <x v="1"/>
    <x v="1"/>
    <n v="378.89"/>
    <n v="162"/>
    <n v="28"/>
    <s v="ARSA"/>
    <s v="BEREKETLİ AŞ"/>
    <s v="SATIŞ KAPANDI"/>
    <s v="SATIŞ KAPANDI"/>
    <x v="1"/>
  </r>
  <r>
    <x v="2"/>
    <x v="2"/>
    <x v="2"/>
    <n v="150"/>
    <n v="4868"/>
    <s v="1-6"/>
    <s v="ARSA"/>
    <s v="BEREKETLİ AŞ"/>
    <s v="İLAN BEKLİYOR"/>
    <s v="STOKTA"/>
    <x v="2"/>
  </r>
  <r>
    <x v="2"/>
    <x v="2"/>
    <x v="2"/>
    <n v="150"/>
    <n v="4868"/>
    <s v="1-7"/>
    <s v="ARSA"/>
    <s v="BEREKETLİ AŞ"/>
    <s v="İLAN BEKLİYOR"/>
    <s v="STOKTA"/>
    <x v="2"/>
  </r>
  <r>
    <x v="2"/>
    <x v="2"/>
    <x v="2"/>
    <n v="150"/>
    <n v="4868"/>
    <s v="1-8"/>
    <s v="ARSA"/>
    <s v="BEREKETLİ AŞ"/>
    <s v="İLAN BEKLİYOR"/>
    <s v="STOKTA"/>
    <x v="2"/>
  </r>
  <r>
    <x v="2"/>
    <x v="2"/>
    <x v="2"/>
    <n v="150"/>
    <n v="4868"/>
    <s v="1-9"/>
    <s v="ARSA"/>
    <s v="BEREKETLİ AŞ"/>
    <s v="İLAN BEKLİYOR"/>
    <s v="STOKTA"/>
    <x v="2"/>
  </r>
  <r>
    <x v="2"/>
    <x v="2"/>
    <x v="2"/>
    <n v="150"/>
    <n v="4868"/>
    <s v="1-10"/>
    <s v="ARSA"/>
    <s v="BEREKETLİ AŞ"/>
    <s v="İLAN BEKLİYOR"/>
    <s v="STOKTA"/>
    <x v="2"/>
  </r>
  <r>
    <x v="2"/>
    <x v="2"/>
    <x v="2"/>
    <n v="150"/>
    <n v="4868"/>
    <s v="1-11"/>
    <s v="ARSA"/>
    <s v="BEREKETLİ AŞ"/>
    <s v="İLAN BEKLİYOR"/>
    <s v="STOKTA"/>
    <x v="2"/>
  </r>
  <r>
    <x v="1"/>
    <x v="1"/>
    <x v="1"/>
    <n v="305.14999999999998"/>
    <n v="170"/>
    <n v="9"/>
    <s v="ARSA"/>
    <s v="BİLAL AKTAŞ"/>
    <s v="İLAN BEKLİYOR"/>
    <s v="SATILDI/2. SATIŞTA"/>
    <x v="1"/>
  </r>
  <r>
    <x v="2"/>
    <x v="2"/>
    <x v="2"/>
    <n v="150"/>
    <n v="4868"/>
    <s v="1-12"/>
    <s v="ARSA"/>
    <s v="BEREKETLİ AŞ"/>
    <s v="İLAN BEKLİYOR"/>
    <s v="STOKTA"/>
    <x v="2"/>
  </r>
  <r>
    <x v="2"/>
    <x v="2"/>
    <x v="2"/>
    <n v="150"/>
    <n v="4868"/>
    <s v="1-13"/>
    <s v="ARSA"/>
    <s v="BEREKETLİ AŞ"/>
    <s v="İLAN BEKLİYOR"/>
    <s v="STOKTA"/>
    <x v="2"/>
  </r>
  <r>
    <x v="2"/>
    <x v="2"/>
    <x v="2"/>
    <n v="150"/>
    <n v="4868"/>
    <s v="1-14"/>
    <s v="ARSA"/>
    <s v="BEREKETLİ AŞ"/>
    <s v="İLAN BEKLİYOR"/>
    <s v="STOKTA"/>
    <x v="2"/>
  </r>
  <r>
    <x v="2"/>
    <x v="2"/>
    <x v="2"/>
    <n v="150"/>
    <n v="4868"/>
    <s v="1-15"/>
    <s v="ARSA"/>
    <s v="BEREKETLİ AŞ"/>
    <s v="İLAN BEKLİYOR"/>
    <s v="STOKTA"/>
    <x v="2"/>
  </r>
  <r>
    <x v="2"/>
    <x v="2"/>
    <x v="2"/>
    <n v="150"/>
    <n v="4868"/>
    <s v="1-16"/>
    <s v="ARSA"/>
    <s v="BEREKETLİ AŞ"/>
    <s v="İLAN BEKLİYOR"/>
    <s v="STOKTA"/>
    <x v="2"/>
  </r>
  <r>
    <x v="1"/>
    <x v="1"/>
    <x v="1"/>
    <n v="298"/>
    <n v="163"/>
    <n v="15"/>
    <s v="ARSA"/>
    <s v="BEREKETLİ AŞ"/>
    <s v="SATIŞ KAPANDI"/>
    <s v="SATIŞ KAPANDI"/>
    <x v="1"/>
  </r>
  <r>
    <x v="1"/>
    <x v="1"/>
    <x v="1"/>
    <n v="740.38"/>
    <n v="163"/>
    <n v="3"/>
    <s v="ARSA"/>
    <s v="BİLAL AKTAŞ"/>
    <s v="SATIŞ KAPANDI"/>
    <s v="SATIŞ KAPANDI"/>
    <x v="1"/>
  </r>
  <r>
    <x v="1"/>
    <x v="1"/>
    <x v="1"/>
    <n v="735.08"/>
    <n v="163"/>
    <n v="10"/>
    <s v="ARSA"/>
    <s v="BİLAL AKTAŞ"/>
    <s v="SATIŞ KAPANDI"/>
    <s v="SATIŞ KAPANDI"/>
    <x v="1"/>
  </r>
  <r>
    <x v="1"/>
    <x v="1"/>
    <x v="1"/>
    <n v="734.68"/>
    <n v="163"/>
    <n v="8"/>
    <s v="ARSA"/>
    <s v="BİLAL AKTAŞ"/>
    <s v="SATIŞ KAPANDI"/>
    <s v="SATIŞ KAPANDI"/>
    <x v="1"/>
  </r>
  <r>
    <x v="1"/>
    <x v="1"/>
    <x v="1"/>
    <n v="750.8"/>
    <n v="163"/>
    <n v="4"/>
    <s v="ARSA"/>
    <s v="BİLAL AKTAŞ"/>
    <s v="SATIŞ KAPANDI"/>
    <s v="SATIŞ KAPANDI"/>
    <x v="1"/>
  </r>
  <r>
    <x v="2"/>
    <x v="2"/>
    <x v="2"/>
    <n v="150"/>
    <n v="4868"/>
    <s v="1-17"/>
    <s v="ARSA"/>
    <s v="BEREKETLİ AŞ"/>
    <s v="İLAN BEKLİYOR"/>
    <s v="STOKTA"/>
    <x v="2"/>
  </r>
  <r>
    <x v="2"/>
    <x v="2"/>
    <x v="2"/>
    <n v="150"/>
    <n v="4868"/>
    <s v="1-18"/>
    <s v="ARSA"/>
    <s v="BEREKETLİ AŞ"/>
    <s v="İLAN BEKLİYOR"/>
    <s v="STOKTA"/>
    <x v="2"/>
  </r>
  <r>
    <x v="1"/>
    <x v="1"/>
    <x v="1"/>
    <n v="320.24"/>
    <n v="161"/>
    <n v="8"/>
    <s v="ARSA"/>
    <s v="BİLAL AKTAŞ"/>
    <s v="SATIŞ KAPANDI"/>
    <s v="SATIŞ KAPANDI"/>
    <x v="1"/>
  </r>
  <r>
    <x v="2"/>
    <x v="2"/>
    <x v="2"/>
    <n v="150"/>
    <n v="4868"/>
    <s v="1-19"/>
    <s v="ARSA"/>
    <s v="BEREKETLİ AŞ"/>
    <s v="İLAN BEKLİYOR"/>
    <s v="STOKTA"/>
    <x v="2"/>
  </r>
  <r>
    <x v="1"/>
    <x v="3"/>
    <x v="3"/>
    <n v="368"/>
    <n v="110"/>
    <n v="16"/>
    <s v="ARSA"/>
    <s v="BEREKETLİ AŞ"/>
    <s v="SATIŞ KAPANDI"/>
    <s v="SATIŞ KAPANDI"/>
    <x v="3"/>
  </r>
  <r>
    <x v="2"/>
    <x v="2"/>
    <x v="2"/>
    <n v="150"/>
    <n v="4868"/>
    <s v="1-20"/>
    <s v="ARSA"/>
    <s v="BEREKETLİ AŞ"/>
    <s v="İLAN BEKLİYOR"/>
    <s v="STOKTA"/>
    <x v="2"/>
  </r>
  <r>
    <x v="1"/>
    <x v="1"/>
    <x v="1"/>
    <n v="489"/>
    <n v="163"/>
    <n v="14"/>
    <s v="ARSA"/>
    <s v="BEREKETLİ AŞ"/>
    <s v="SATILDI"/>
    <s v="SATIŞ KAPANDI"/>
    <x v="1"/>
  </r>
  <r>
    <x v="2"/>
    <x v="2"/>
    <x v="2"/>
    <n v="150"/>
    <n v="4868"/>
    <s v="2-1"/>
    <s v="ARSA"/>
    <s v="BEREKETLİ AŞ"/>
    <s v="İLAN BEKLİYOR"/>
    <s v="STOKTA"/>
    <x v="2"/>
  </r>
  <r>
    <x v="2"/>
    <x v="2"/>
    <x v="2"/>
    <n v="150"/>
    <n v="4868"/>
    <s v="2-2"/>
    <s v="ARSA"/>
    <s v="BEREKETLİ AŞ"/>
    <s v="İLAN BEKLİYOR"/>
    <s v="STOKTA"/>
    <x v="2"/>
  </r>
  <r>
    <x v="2"/>
    <x v="2"/>
    <x v="2"/>
    <n v="150"/>
    <n v="4868"/>
    <s v="2-3"/>
    <s v="ARSA"/>
    <s v="BEREKETLİ AŞ"/>
    <s v="İLAN BEKLİYOR"/>
    <s v="STOKTA"/>
    <x v="2"/>
  </r>
  <r>
    <x v="3"/>
    <x v="4"/>
    <x v="4"/>
    <n v="270.14999999999998"/>
    <n v="316"/>
    <n v="27"/>
    <s v="ARSA"/>
    <s v="BEREKETLİ AŞ"/>
    <s v="SATIŞ KAPANDI"/>
    <s v="SATIŞ KAPANDI"/>
    <x v="0"/>
  </r>
  <r>
    <x v="2"/>
    <x v="2"/>
    <x v="2"/>
    <n v="150"/>
    <n v="4868"/>
    <s v="2-4"/>
    <s v="ARSA"/>
    <s v="BEREKETLİ AŞ"/>
    <s v="İLAN BEKLİYOR"/>
    <s v="STOKTA"/>
    <x v="2"/>
  </r>
  <r>
    <x v="2"/>
    <x v="2"/>
    <x v="2"/>
    <n v="150"/>
    <n v="4868"/>
    <s v="2-5"/>
    <s v="ARSA"/>
    <s v="BEREKETLİ AŞ"/>
    <s v="İLAN BEKLİYOR"/>
    <s v="STOKTA"/>
    <x v="2"/>
  </r>
  <r>
    <x v="2"/>
    <x v="2"/>
    <x v="2"/>
    <n v="150"/>
    <n v="4868"/>
    <s v="2-6"/>
    <s v="ARSA"/>
    <s v="BEREKETLİ AŞ"/>
    <s v="İLAN BEKLİYOR"/>
    <s v="STOKTA"/>
    <x v="2"/>
  </r>
  <r>
    <x v="2"/>
    <x v="2"/>
    <x v="2"/>
    <n v="150"/>
    <n v="4868"/>
    <s v="2-7"/>
    <s v="ARSA"/>
    <s v="BEREKETLİ AŞ"/>
    <s v="İLAN BEKLİYOR"/>
    <s v="STOKTA"/>
    <x v="2"/>
  </r>
  <r>
    <x v="2"/>
    <x v="2"/>
    <x v="2"/>
    <n v="150"/>
    <n v="4868"/>
    <s v="2-8"/>
    <s v="ARSA"/>
    <s v="BEREKETLİ AŞ"/>
    <s v="İLAN BEKLİYOR"/>
    <s v="STOKTA"/>
    <x v="2"/>
  </r>
  <r>
    <x v="3"/>
    <x v="4"/>
    <x v="4"/>
    <n v="256.36"/>
    <n v="314"/>
    <n v="12"/>
    <s v="ARSA"/>
    <s v="BEREKETLİ AŞ"/>
    <s v="SATIŞ KAPANDI"/>
    <s v="SATIŞ KAPANDI"/>
    <x v="0"/>
  </r>
  <r>
    <x v="3"/>
    <x v="4"/>
    <x v="4"/>
    <n v="257.24"/>
    <n v="314"/>
    <n v="13"/>
    <s v="ARSA"/>
    <s v="BEREKETLİ AŞ"/>
    <s v="SATIŞ KAPANDI"/>
    <s v="SATIŞ KAPANDI"/>
    <x v="0"/>
  </r>
  <r>
    <x v="1"/>
    <x v="1"/>
    <x v="1"/>
    <n v="298"/>
    <n v="163"/>
    <n v="15"/>
    <s v="ARSA"/>
    <s v="BEREKETLİ AŞ"/>
    <s v="SATIŞ KAPANDI"/>
    <s v="SATILDI"/>
    <x v="1"/>
  </r>
  <r>
    <x v="1"/>
    <x v="1"/>
    <x v="1"/>
    <n v="735.14"/>
    <n v="165"/>
    <n v="7"/>
    <s v="ARSA"/>
    <s v="BİLAL AKTAŞ"/>
    <s v="SATIŞ KAPANDI"/>
    <s v="SATIŞ KAPANDI"/>
    <x v="1"/>
  </r>
  <r>
    <x v="2"/>
    <x v="2"/>
    <x v="2"/>
    <n v="150"/>
    <n v="4868"/>
    <s v="2-9"/>
    <s v="ARSA"/>
    <s v="BEREKETLİ AŞ"/>
    <s v="İLAN BEKLİYOR"/>
    <s v="STOKTA"/>
    <x v="2"/>
  </r>
  <r>
    <x v="2"/>
    <x v="2"/>
    <x v="2"/>
    <n v="150"/>
    <n v="4868"/>
    <s v="2-10"/>
    <s v="ARSA"/>
    <s v="BEREKETLİ AŞ"/>
    <s v="İLAN BEKLİYOR"/>
    <s v="STOKTA"/>
    <x v="2"/>
  </r>
  <r>
    <x v="2"/>
    <x v="2"/>
    <x v="2"/>
    <n v="150"/>
    <n v="4868"/>
    <s v="2-11"/>
    <s v="ARSA"/>
    <s v="BEREKETLİ AŞ"/>
    <s v="İLAN BEKLİYOR"/>
    <s v="STOKTA"/>
    <x v="2"/>
  </r>
  <r>
    <x v="2"/>
    <x v="2"/>
    <x v="2"/>
    <n v="150"/>
    <n v="4868"/>
    <s v="2-12"/>
    <s v="ARSA"/>
    <s v="BEREKETLİ AŞ"/>
    <s v="İLAN BEKLİYOR"/>
    <s v="STOKTA"/>
    <x v="2"/>
  </r>
  <r>
    <x v="2"/>
    <x v="2"/>
    <x v="2"/>
    <n v="150"/>
    <n v="4868"/>
    <s v="2-13"/>
    <s v="ARSA"/>
    <s v="BEREKETLİ AŞ"/>
    <s v="İLAN BEKLİYOR"/>
    <s v="STOKTA"/>
    <x v="2"/>
  </r>
  <r>
    <x v="4"/>
    <x v="5"/>
    <x v="5"/>
    <n v="400"/>
    <n v="911"/>
    <n v="20"/>
    <s v="ARSA"/>
    <s v="BİLAL AKTAŞ"/>
    <s v="SATILDI"/>
    <s v="SATIŞ KAPANDI"/>
    <x v="3"/>
  </r>
  <r>
    <x v="1"/>
    <x v="6"/>
    <x v="6"/>
    <n v="329.53"/>
    <n v="122"/>
    <n v="40"/>
    <s v="ARSA"/>
    <s v="BİLAL AKTAŞ"/>
    <s v="SATIŞ KAPANDI"/>
    <s v="SATIŞ KAPANDI"/>
    <x v="1"/>
  </r>
  <r>
    <x v="2"/>
    <x v="2"/>
    <x v="2"/>
    <n v="150"/>
    <n v="4868"/>
    <s v="2-14"/>
    <s v="ARSA"/>
    <s v="BEREKETLİ AŞ"/>
    <s v="İLAN BEKLİYOR"/>
    <s v="STOKTA"/>
    <x v="2"/>
  </r>
  <r>
    <x v="2"/>
    <x v="2"/>
    <x v="2"/>
    <n v="150"/>
    <n v="4868"/>
    <s v="2-15"/>
    <s v="ARSA"/>
    <s v="BEREKETLİ AŞ"/>
    <s v="İLAN BEKLİYOR"/>
    <s v="STOKTA"/>
    <x v="2"/>
  </r>
  <r>
    <x v="1"/>
    <x v="1"/>
    <x v="1"/>
    <n v="385.76"/>
    <n v="165"/>
    <n v="15"/>
    <s v="ARSA"/>
    <s v="BİLAL AKTAŞ"/>
    <s v="SATIŞ KAPANDI"/>
    <s v="SATIŞ KAPANDI"/>
    <x v="1"/>
  </r>
  <r>
    <x v="1"/>
    <x v="1"/>
    <x v="1"/>
    <n v="385.16"/>
    <n v="165"/>
    <n v="16"/>
    <s v="ARSA"/>
    <s v="BİLAL AKTAŞ"/>
    <s v="SATIŞ KAPANDI"/>
    <s v="SATIŞ KAPANDI"/>
    <x v="1"/>
  </r>
  <r>
    <x v="1"/>
    <x v="1"/>
    <x v="1"/>
    <n v="366.44"/>
    <n v="165"/>
    <n v="9"/>
    <s v="ARSA"/>
    <s v="BİLAL AKTAŞ"/>
    <s v="SATIŞ KAPANDI"/>
    <s v="SATIŞ KAPANDI"/>
    <x v="1"/>
  </r>
  <r>
    <x v="2"/>
    <x v="2"/>
    <x v="2"/>
    <n v="150"/>
    <n v="4868"/>
    <s v="2-16"/>
    <s v="ARSA"/>
    <s v="BEREKETLİ AŞ"/>
    <s v="İLAN BEKLİYOR"/>
    <s v="STOKTA"/>
    <x v="2"/>
  </r>
  <r>
    <x v="2"/>
    <x v="2"/>
    <x v="2"/>
    <n v="150"/>
    <n v="4868"/>
    <s v="2-17"/>
    <s v="ARSA"/>
    <s v="BEREKETLİ AŞ"/>
    <s v="İLAN BEKLİYOR"/>
    <s v="STOKTA"/>
    <x v="2"/>
  </r>
  <r>
    <x v="2"/>
    <x v="2"/>
    <x v="2"/>
    <n v="150"/>
    <n v="4868"/>
    <s v="2-18"/>
    <s v="ARSA"/>
    <s v="BEREKETLİ AŞ"/>
    <s v="İLAN BEKLİYOR"/>
    <s v="STOKTA"/>
    <x v="2"/>
  </r>
  <r>
    <x v="2"/>
    <x v="2"/>
    <x v="2"/>
    <n v="150"/>
    <n v="4868"/>
    <s v="2-19"/>
    <s v="ARSA"/>
    <s v="BEREKETLİ AŞ"/>
    <s v="İLAN BEKLİYOR"/>
    <s v="STOKTA"/>
    <x v="2"/>
  </r>
  <r>
    <x v="2"/>
    <x v="2"/>
    <x v="2"/>
    <n v="150"/>
    <n v="4868"/>
    <s v="2-20"/>
    <s v="ARSA"/>
    <s v="BEREKETLİ AŞ"/>
    <s v="İLAN BEKLİYOR"/>
    <s v="STOKTA"/>
    <x v="2"/>
  </r>
  <r>
    <x v="3"/>
    <x v="4"/>
    <x v="4"/>
    <n v="228.78"/>
    <n v="314"/>
    <n v="3"/>
    <s v="ARSA"/>
    <s v="BEREKETLİ AŞ"/>
    <s v="SATIŞ KAPANDI"/>
    <s v="SATIŞ KAPANDI"/>
    <x v="0"/>
  </r>
  <r>
    <x v="1"/>
    <x v="1"/>
    <x v="7"/>
    <n v="638"/>
    <n v="149"/>
    <n v="34"/>
    <s v="ARSA"/>
    <s v="BEREKETLİ "/>
    <s v="SATIŞ KAPANDI"/>
    <s v="SATIŞ KAPANDI"/>
    <x v="4"/>
  </r>
  <r>
    <x v="3"/>
    <x v="4"/>
    <x v="4"/>
    <n v="228.98"/>
    <n v="314"/>
    <n v="4"/>
    <s v="ARSA"/>
    <s v="BEREKETLİ AŞ"/>
    <s v="SATIŞ KAPANDI"/>
    <s v="SATIŞ KAPANDI"/>
    <x v="0"/>
  </r>
  <r>
    <x v="3"/>
    <x v="4"/>
    <x v="4"/>
    <n v="229.18"/>
    <n v="314"/>
    <n v="5"/>
    <s v="ARSA"/>
    <s v="BEREKETLİ AŞ"/>
    <s v="SATIŞ KAPANDI"/>
    <s v="SATIŞ KAPANDI"/>
    <x v="0"/>
  </r>
  <r>
    <x v="3"/>
    <x v="4"/>
    <x v="4"/>
    <n v="235.28"/>
    <n v="314"/>
    <n v="7"/>
    <s v="ARSA"/>
    <s v="BEREKETLİ AŞ"/>
    <s v="SATIŞ KAPANDI"/>
    <s v="SATIŞ KAPANDI"/>
    <x v="0"/>
  </r>
  <r>
    <x v="1"/>
    <x v="7"/>
    <x v="8"/>
    <n v="236.18"/>
    <n v="12477"/>
    <n v="30"/>
    <s v="ARSA"/>
    <s v="BİLAL AKTAŞ"/>
    <s v="İLAN BEKLİYOR"/>
    <s v="SATILDI/2. SATIŞTA"/>
    <x v="5"/>
  </r>
  <r>
    <x v="1"/>
    <x v="7"/>
    <x v="8"/>
    <n v="241.93"/>
    <n v="12477"/>
    <n v="51"/>
    <s v="ARSA"/>
    <s v="BİLAL AKTAŞ"/>
    <s v="İLAN BEKLİYOR"/>
    <s v="SATILDI/2. SATIŞTA"/>
    <x v="5"/>
  </r>
  <r>
    <x v="1"/>
    <x v="7"/>
    <x v="8"/>
    <n v="244.22"/>
    <n v="12477"/>
    <n v="54"/>
    <s v="ARSA"/>
    <s v="BİLAL AKTAŞ"/>
    <s v="İLAN BEKLİYOR"/>
    <s v="SATILDI/2. SATIŞTA"/>
    <x v="5"/>
  </r>
  <r>
    <x v="1"/>
    <x v="3"/>
    <x v="9"/>
    <n v="307.74"/>
    <n v="670"/>
    <n v="4"/>
    <s v="ARSA"/>
    <s v="BEREKETLİ AŞ"/>
    <s v="SATIŞ KAPANDI"/>
    <s v="SATIŞ KAPANDI"/>
    <x v="1"/>
  </r>
  <r>
    <x v="1"/>
    <x v="7"/>
    <x v="10"/>
    <n v="244.43"/>
    <n v="11633"/>
    <n v="5"/>
    <s v="ARSA"/>
    <s v="BİLAL AKTAŞ"/>
    <s v="İLANDA"/>
    <s v="SATILDI/2. SATIŞTA"/>
    <x v="5"/>
  </r>
  <r>
    <x v="3"/>
    <x v="4"/>
    <x v="4"/>
    <n v="248.79"/>
    <n v="314"/>
    <n v="10"/>
    <s v="ARSA"/>
    <s v="BEREKETLİ AŞ"/>
    <s v="İLANDA"/>
    <s v="SATILDI/2. SATIŞTA"/>
    <x v="0"/>
  </r>
  <r>
    <x v="1"/>
    <x v="7"/>
    <x v="8"/>
    <n v="250.13"/>
    <n v="12626"/>
    <n v="8"/>
    <s v="ARSA"/>
    <s v="BİLAL AKTAŞ"/>
    <s v="SATIŞ KAPANDI"/>
    <s v="SATIŞ KAPANDI"/>
    <x v="6"/>
  </r>
  <r>
    <x v="1"/>
    <x v="7"/>
    <x v="8"/>
    <n v="252.96"/>
    <n v="12628"/>
    <n v="13"/>
    <s v="ARSA"/>
    <s v="BİLAL AKTAŞ"/>
    <s v="İLAN BEKLİYOR"/>
    <s v="SATILDI/2. SATIŞTA"/>
    <x v="5"/>
  </r>
  <r>
    <x v="1"/>
    <x v="6"/>
    <x v="6"/>
    <n v="362.77"/>
    <n v="118"/>
    <n v="11"/>
    <s v="ARSA"/>
    <s v="BİLAL AKTAŞ"/>
    <s v="İLAN BEKLİYOR"/>
    <s v="SATILDI/2. SATIŞTA"/>
    <x v="1"/>
  </r>
  <r>
    <x v="1"/>
    <x v="6"/>
    <x v="6"/>
    <n v="363.2"/>
    <n v="118"/>
    <n v="10"/>
    <s v="ARSA"/>
    <s v="BİLAL AKTAŞ"/>
    <s v="İLAN BEKLİYOR"/>
    <s v="SATILDI/2. SATIŞTA"/>
    <x v="1"/>
  </r>
  <r>
    <x v="1"/>
    <x v="7"/>
    <x v="8"/>
    <n v="252.96"/>
    <n v="12628"/>
    <n v="18"/>
    <s v="ARSA"/>
    <s v="BİLAL AKTAŞ"/>
    <s v="SATILDI"/>
    <s v="SATILDI/2. SATIŞTA"/>
    <x v="5"/>
  </r>
  <r>
    <x v="3"/>
    <x v="4"/>
    <x v="4"/>
    <n v="258.7"/>
    <n v="314"/>
    <n v="11"/>
    <s v="ARSA"/>
    <s v="BEREKETLİ AŞ"/>
    <s v="İLANDA"/>
    <s v="SATILDI/2. SATIŞTA"/>
    <x v="0"/>
  </r>
  <r>
    <x v="1"/>
    <x v="6"/>
    <x v="6"/>
    <n v="389.95"/>
    <n v="122"/>
    <n v="33"/>
    <s v="ARSA"/>
    <s v="BİLAL AKTAŞ"/>
    <s v="SATILDI"/>
    <s v="SATIŞ KAPANDI"/>
    <x v="1"/>
  </r>
  <r>
    <x v="1"/>
    <x v="7"/>
    <x v="8"/>
    <n v="266.52999999999997"/>
    <n v="12628"/>
    <n v="9"/>
    <s v="ARSA"/>
    <s v="BİLAL AKTAŞ"/>
    <s v="İLAN BEKLİYOR"/>
    <s v="SATILDI/2. SATIŞTA"/>
    <x v="5"/>
  </r>
  <r>
    <x v="3"/>
    <x v="4"/>
    <x v="4"/>
    <n v="270.95"/>
    <n v="316"/>
    <n v="25"/>
    <s v="ARSA"/>
    <s v="BEREKETLİ AŞ"/>
    <s v="SATIŞ KAPANDI"/>
    <s v="STOKTA/İPOTEKLİ"/>
    <x v="0"/>
  </r>
  <r>
    <x v="3"/>
    <x v="4"/>
    <x v="4"/>
    <n v="271.36"/>
    <n v="316"/>
    <n v="24"/>
    <s v="ARSA"/>
    <s v="BEREKETLİ AŞ"/>
    <s v="SATIŞ KAPANDI"/>
    <s v="STOKTA/İPOTEKLİ"/>
    <x v="0"/>
  </r>
  <r>
    <x v="3"/>
    <x v="4"/>
    <x v="4"/>
    <n v="271.76"/>
    <n v="316"/>
    <n v="23"/>
    <s v="ARSA"/>
    <s v="BEREKETLİ AŞ"/>
    <s v="SATIŞ KAPANDI"/>
    <s v="STOKTA/İPOTEKLİ"/>
    <x v="0"/>
  </r>
  <r>
    <x v="3"/>
    <x v="4"/>
    <x v="4"/>
    <n v="272.17"/>
    <n v="316"/>
    <n v="22"/>
    <s v="ARSA"/>
    <s v="BEREKETLİ AŞ"/>
    <s v="SATIŞ KAPANDI"/>
    <s v="STOKTA/İPOTEKLİ"/>
    <x v="0"/>
  </r>
  <r>
    <x v="3"/>
    <x v="4"/>
    <x v="4"/>
    <n v="272.64999999999998"/>
    <n v="316"/>
    <n v="21"/>
    <s v="ARSA"/>
    <s v="BEREKETLİ AŞ"/>
    <s v="SATIŞ KAPANDI"/>
    <s v="STOKTA/İPOTEKLİ"/>
    <x v="0"/>
  </r>
  <r>
    <x v="1"/>
    <x v="1"/>
    <x v="1"/>
    <n v="280.77999999999997"/>
    <n v="161"/>
    <n v="10"/>
    <s v="ARSA"/>
    <s v="BİLAL AKTAŞ"/>
    <s v="İLAN BEKLİYOR"/>
    <s v="STOKTA"/>
    <x v="1"/>
  </r>
  <r>
    <x v="1"/>
    <x v="7"/>
    <x v="8"/>
    <n v="296"/>
    <n v="12490"/>
    <n v="11"/>
    <s v="ARSA"/>
    <s v="BİLAL AKTAŞ"/>
    <s v="SATILDI"/>
    <s v="SATILDI/2. SATIŞTA"/>
    <x v="5"/>
  </r>
  <r>
    <x v="1"/>
    <x v="6"/>
    <x v="6"/>
    <n v="427.99"/>
    <n v="118"/>
    <n v="18"/>
    <s v="ARSA"/>
    <s v="BİLAL AKTAŞ"/>
    <s v="SATIŞ KAPANDI"/>
    <s v="SATIŞ KAPANDI"/>
    <x v="1"/>
  </r>
  <r>
    <x v="1"/>
    <x v="7"/>
    <x v="8"/>
    <n v="297.85000000000002"/>
    <n v="12481"/>
    <n v="11"/>
    <s v="ARSA"/>
    <s v="BİLAL AKTAŞ"/>
    <s v="İLAN BEKLİYOR"/>
    <s v="SATILDI/2. SATIŞTA"/>
    <x v="5"/>
  </r>
  <r>
    <x v="1"/>
    <x v="7"/>
    <x v="8"/>
    <n v="299.33999999999997"/>
    <n v="12450"/>
    <n v="2"/>
    <s v="ARSA"/>
    <s v="BİLAL AKTAŞ"/>
    <s v="İLAN BEKLİYOR"/>
    <s v="SATILDI/2. SATIŞTA"/>
    <x v="7"/>
  </r>
  <r>
    <x v="1"/>
    <x v="1"/>
    <x v="1"/>
    <n v="299.98"/>
    <n v="177"/>
    <n v="7"/>
    <s v="ARSA"/>
    <s v="BEREKETLİ AŞ"/>
    <s v="İLAN BEKLİYOR"/>
    <s v="STOKTA"/>
    <x v="1"/>
  </r>
  <r>
    <x v="1"/>
    <x v="6"/>
    <x v="6"/>
    <n v="372.7"/>
    <n v="120"/>
    <n v="6"/>
    <s v="ARSA"/>
    <s v="BİLAL AKTAŞ"/>
    <s v="İLAN BEKLİYOR"/>
    <s v="SATILDI/2. SATIŞTA"/>
    <x v="1"/>
  </r>
  <r>
    <x v="1"/>
    <x v="1"/>
    <x v="1"/>
    <n v="377.15"/>
    <n v="166"/>
    <n v="14"/>
    <s v="ARSA"/>
    <s v="BİLAL AKTAŞ"/>
    <s v="SATIŞ KAPANDI"/>
    <s v="SATIŞ KAPANDI"/>
    <x v="1"/>
  </r>
  <r>
    <x v="1"/>
    <x v="6"/>
    <x v="6"/>
    <n v="372.72"/>
    <n v="120"/>
    <n v="13"/>
    <s v="ARSA"/>
    <s v="BİLAL AKTAŞ"/>
    <s v="İLAN BEKLİYOR"/>
    <s v="SATILDI/2. SATIŞTA"/>
    <x v="1"/>
  </r>
  <r>
    <x v="1"/>
    <x v="1"/>
    <x v="1"/>
    <n v="374.1"/>
    <n v="162"/>
    <n v="18"/>
    <s v="ARSA"/>
    <s v="BİLAL AKTAŞ"/>
    <s v="SATILDI"/>
    <s v="SATILDI/2. SATIŞTA"/>
    <x v="1"/>
  </r>
  <r>
    <x v="1"/>
    <x v="1"/>
    <x v="1"/>
    <n v="374.25"/>
    <n v="162"/>
    <n v="17"/>
    <s v="ARSA"/>
    <s v="BİLAL AKTAŞ"/>
    <s v="SATILDI"/>
    <s v="SATILDI/2. SATIŞTA"/>
    <x v="1"/>
  </r>
  <r>
    <x v="1"/>
    <x v="3"/>
    <x v="9"/>
    <n v="361.8"/>
    <n v="670"/>
    <n v="3"/>
    <s v="ARSA"/>
    <s v="BEREKETLİ AŞ"/>
    <s v="SATIŞ KAPANDI"/>
    <s v="SATIŞ KAPANDI"/>
    <x v="1"/>
  </r>
  <r>
    <x v="1"/>
    <x v="1"/>
    <x v="1"/>
    <n v="375.54"/>
    <n v="162"/>
    <n v="13"/>
    <s v="ARSA"/>
    <s v="BİLAL AKTAŞ"/>
    <s v="SATILDI"/>
    <s v="SATILDI/2. SATIŞTA"/>
    <x v="1"/>
  </r>
  <r>
    <x v="1"/>
    <x v="1"/>
    <x v="1"/>
    <n v="376.28"/>
    <n v="162"/>
    <n v="14"/>
    <s v="ARSA"/>
    <s v="BİLAL AKTAŞ"/>
    <s v="SATILDI"/>
    <s v="SATILDI/2. SATIŞTA"/>
    <x v="1"/>
  </r>
  <r>
    <x v="1"/>
    <x v="1"/>
    <x v="1"/>
    <n v="395.29"/>
    <n v="166"/>
    <n v="20"/>
    <s v="ARSA"/>
    <s v="BİLAL AKTAŞ"/>
    <s v="SATIŞ KAPANDI"/>
    <s v="SATIŞ KAPANDI"/>
    <x v="1"/>
  </r>
  <r>
    <x v="1"/>
    <x v="1"/>
    <x v="1"/>
    <n v="379.94"/>
    <n v="166"/>
    <n v="16"/>
    <s v="ARSA"/>
    <s v="BİLAL AKTAŞ"/>
    <s v="SATIŞ KAPANDI"/>
    <s v="SATIŞ KAPANDI"/>
    <x v="1"/>
  </r>
  <r>
    <x v="1"/>
    <x v="1"/>
    <x v="1"/>
    <n v="379.48"/>
    <n v="166"/>
    <n v="13"/>
    <s v="ARSA"/>
    <s v="BİLAL AKTAŞ"/>
    <s v="SATIŞ KAPANDI"/>
    <s v="SATIŞ KAPANDI"/>
    <x v="1"/>
  </r>
  <r>
    <x v="1"/>
    <x v="1"/>
    <x v="1"/>
    <n v="368.76"/>
    <n v="166"/>
    <n v="18"/>
    <s v="ARSA"/>
    <s v="BİLAL AKTAŞ"/>
    <s v="SATIŞ KAPANDI"/>
    <s v="SATIŞ KAPANDI"/>
    <x v="1"/>
  </r>
  <r>
    <x v="1"/>
    <x v="3"/>
    <x v="11"/>
    <n v="301.23"/>
    <n v="171"/>
    <n v="3"/>
    <s v="ARSA"/>
    <s v="BİLAL AKTAŞ"/>
    <s v="İLANDA"/>
    <s v="STOKTA"/>
    <x v="8"/>
  </r>
  <r>
    <x v="1"/>
    <x v="3"/>
    <x v="9"/>
    <n v="390.18"/>
    <n v="670"/>
    <n v="2"/>
    <s v="ARSA"/>
    <s v="BEREKETLİ AŞ"/>
    <s v="SATIŞ KAPANDI"/>
    <s v="SATIŞ KAPANDI"/>
    <x v="1"/>
  </r>
  <r>
    <x v="1"/>
    <x v="1"/>
    <x v="1"/>
    <n v="378.74"/>
    <n v="162"/>
    <n v="15"/>
    <s v="ARSA"/>
    <s v="BİLAL AKTAŞ"/>
    <s v="SATILDI"/>
    <s v="SATILDI/2. SATIŞTA"/>
    <x v="1"/>
  </r>
  <r>
    <x v="1"/>
    <x v="6"/>
    <x v="6"/>
    <n v="384.49"/>
    <n v="120"/>
    <n v="12"/>
    <s v="ARSA"/>
    <s v="BİLAL AKTAŞ"/>
    <s v="İLAN BEKLİYOR"/>
    <s v="SATIŞ KAPANDI"/>
    <x v="1"/>
  </r>
  <r>
    <x v="1"/>
    <x v="1"/>
    <x v="1"/>
    <n v="379.31"/>
    <n v="162"/>
    <n v="16"/>
    <s v="ARSA"/>
    <s v="BİLAL AKTAŞ"/>
    <s v="SATILDI"/>
    <s v="SATILDI/2. SATIŞTA"/>
    <x v="1"/>
  </r>
  <r>
    <x v="3"/>
    <x v="4"/>
    <x v="4"/>
    <n v="258.98"/>
    <n v="314"/>
    <n v="15"/>
    <s v="ARSA"/>
    <s v="BEREKETLİ AŞ"/>
    <s v="SATIŞ KAPANDI"/>
    <s v="SATIŞ KAPANDI"/>
    <x v="0"/>
  </r>
  <r>
    <x v="1"/>
    <x v="1"/>
    <x v="1"/>
    <n v="380.28"/>
    <n v="162"/>
    <n v="23"/>
    <s v="ARSA"/>
    <s v="BİLAL AKTAŞ"/>
    <s v="SATILDI"/>
    <s v="SATILDI/2. SATIŞTA"/>
    <x v="1"/>
  </r>
  <r>
    <x v="3"/>
    <x v="4"/>
    <x v="4"/>
    <n v="269.73"/>
    <n v="316"/>
    <n v="28"/>
    <s v="ARSA"/>
    <s v="BEREKETLİ AŞ"/>
    <s v="SATIŞ KAPANDI"/>
    <s v="SATIŞ KAPANDI"/>
    <x v="0"/>
  </r>
  <r>
    <x v="1"/>
    <x v="1"/>
    <x v="1"/>
    <n v="381.7"/>
    <n v="162"/>
    <n v="24"/>
    <s v="ARSA"/>
    <s v="BİLAL AKTAŞ"/>
    <s v="SATILDI"/>
    <s v="SATILDI/2. SATIŞTA"/>
    <x v="1"/>
  </r>
  <r>
    <x v="1"/>
    <x v="6"/>
    <x v="6"/>
    <n v="378.79"/>
    <n v="122"/>
    <n v="30"/>
    <s v="ARSA"/>
    <s v="BİLAL AKTAŞ"/>
    <s v="SATILDI"/>
    <s v="SATIŞ KAPANDI"/>
    <x v="1"/>
  </r>
  <r>
    <x v="1"/>
    <x v="6"/>
    <x v="6"/>
    <n v="381.77"/>
    <n v="122"/>
    <n v="31"/>
    <s v="ARSA"/>
    <s v="BİLAL AKTAŞ"/>
    <s v="SATILDI"/>
    <s v="SATIŞ KAPANDI"/>
    <x v="1"/>
  </r>
  <r>
    <x v="1"/>
    <x v="3"/>
    <x v="11"/>
    <n v="301.66000000000003"/>
    <n v="169"/>
    <n v="2"/>
    <s v="ARSA"/>
    <s v="BEREKETLİ AŞ"/>
    <s v="İLANDA"/>
    <s v="STOKTA"/>
    <x v="8"/>
  </r>
  <r>
    <x v="1"/>
    <x v="3"/>
    <x v="11"/>
    <n v="301.66000000000003"/>
    <n v="170"/>
    <n v="2"/>
    <s v="ARSA"/>
    <s v="BT META"/>
    <s v="İLANDA"/>
    <s v="STOKTA"/>
    <x v="8"/>
  </r>
  <r>
    <x v="1"/>
    <x v="1"/>
    <x v="1"/>
    <n v="395.3"/>
    <n v="166"/>
    <n v="19"/>
    <s v="ARSA"/>
    <s v="BİLAL AKTAŞ"/>
    <s v="SATIŞ KAPANDI"/>
    <s v="SATIŞ KAPANDI"/>
    <x v="1"/>
  </r>
  <r>
    <x v="1"/>
    <x v="1"/>
    <x v="1"/>
    <n v="395.3"/>
    <n v="166"/>
    <n v="19"/>
    <s v="ARSA"/>
    <s v="BİLAL AKTAŞ"/>
    <s v="SATILDI"/>
    <s v="SATIŞ KAPANDI"/>
    <x v="1"/>
  </r>
  <r>
    <x v="1"/>
    <x v="1"/>
    <x v="1"/>
    <n v="372.41"/>
    <n v="167"/>
    <n v="11"/>
    <s v="ARSA"/>
    <s v="BİLAL AKTAŞ"/>
    <s v="SATIŞ KAPANDI"/>
    <s v="SATIŞ KAPANDI"/>
    <x v="1"/>
  </r>
  <r>
    <x v="1"/>
    <x v="1"/>
    <x v="1"/>
    <n v="370.65"/>
    <n v="167"/>
    <n v="12"/>
    <s v="ARSA"/>
    <s v="BİLAL AKTAŞ"/>
    <s v="SATIŞ KAPANDI"/>
    <s v="SATIŞ KAPANDI"/>
    <x v="1"/>
  </r>
  <r>
    <x v="1"/>
    <x v="6"/>
    <x v="6"/>
    <n v="389.99"/>
    <n v="122"/>
    <n v="34"/>
    <s v="ARSA"/>
    <s v="BİLAL AKTAŞ"/>
    <s v="SATIŞ KAPANDI"/>
    <s v="SATIŞ KAPANDI"/>
    <x v="1"/>
  </r>
  <r>
    <x v="1"/>
    <x v="3"/>
    <x v="11"/>
    <n v="301.66000000000003"/>
    <n v="170"/>
    <n v="4"/>
    <s v="ARSA"/>
    <s v="BİLAL AKTAŞ"/>
    <s v="İLANDA"/>
    <s v="SATILDI/2. SATIŞTA"/>
    <x v="8"/>
  </r>
  <r>
    <x v="0"/>
    <x v="8"/>
    <x v="12"/>
    <n v="302.20999999999998"/>
    <n v="103"/>
    <n v="6"/>
    <s v="ARSA"/>
    <s v="BİLAL AKTAŞ"/>
    <s v="İLANDA"/>
    <s v="SATILDI/2. SATIŞTA"/>
    <x v="8"/>
  </r>
  <r>
    <x v="1"/>
    <x v="3"/>
    <x v="9"/>
    <n v="302.61"/>
    <n v="251"/>
    <n v="21"/>
    <s v="ARSA"/>
    <s v="BEREKETLİ AŞ"/>
    <s v="İLANDA"/>
    <s v="SATILDI/2. SATIŞTA"/>
    <x v="1"/>
  </r>
  <r>
    <x v="1"/>
    <x v="6"/>
    <x v="6"/>
    <n v="302.79000000000002"/>
    <n v="122"/>
    <n v="41"/>
    <s v="ARSA"/>
    <s v="BİLAL AKTAŞ"/>
    <s v="SATILDI"/>
    <s v="SATILDI/2. SATIŞTA"/>
    <x v="1"/>
  </r>
  <r>
    <x v="1"/>
    <x v="6"/>
    <x v="6"/>
    <n v="393.23"/>
    <n v="119"/>
    <n v="10"/>
    <s v="ARSA"/>
    <s v="MÜŞTERİ YERİ"/>
    <s v="İLAN BEKLİYOR"/>
    <s v="SATILDI/2. SATIŞTA"/>
    <x v="1"/>
  </r>
  <r>
    <x v="1"/>
    <x v="6"/>
    <x v="6"/>
    <n v="393.24"/>
    <n v="119"/>
    <n v="11"/>
    <s v="ARSA"/>
    <s v="MÜŞTERİ YERİ"/>
    <s v="İLAN BEKLİYOR"/>
    <s v="SATILDI/2. SATIŞTA"/>
    <x v="1"/>
  </r>
  <r>
    <x v="1"/>
    <x v="1"/>
    <x v="1"/>
    <n v="404.24"/>
    <n v="167"/>
    <n v="14"/>
    <s v="ARSA"/>
    <s v="BİLAL AKTAŞ"/>
    <s v="SATIŞ KAPANDI"/>
    <s v="SATIŞ KAPANDI"/>
    <x v="1"/>
  </r>
  <r>
    <x v="1"/>
    <x v="6"/>
    <x v="6"/>
    <n v="389.99"/>
    <n v="122"/>
    <n v="35"/>
    <s v="ARSA"/>
    <s v="BİLAL AKTAŞ"/>
    <s v="SATILDI"/>
    <s v="SATIŞ KAPANDI"/>
    <x v="1"/>
  </r>
  <r>
    <x v="1"/>
    <x v="1"/>
    <x v="1"/>
    <n v="753.5"/>
    <n v="168"/>
    <n v="3"/>
    <s v="ARSA"/>
    <s v="BİLAL AKTAŞ"/>
    <s v="SATIŞ KAPANDI"/>
    <s v="SATIŞ KAPANDI"/>
    <x v="1"/>
  </r>
  <r>
    <x v="1"/>
    <x v="6"/>
    <x v="6"/>
    <n v="393.94"/>
    <n v="118"/>
    <n v="13"/>
    <s v="ARSA"/>
    <s v="BİLAL AKTAŞ"/>
    <s v="İLAN BEKLİYOR"/>
    <s v="SATILDI/2. SATIŞTA"/>
    <x v="1"/>
  </r>
  <r>
    <x v="1"/>
    <x v="7"/>
    <x v="8"/>
    <n v="303.02999999999997"/>
    <n v="12450"/>
    <n v="3"/>
    <s v="ARSA"/>
    <s v="BİLAL AKTAŞ"/>
    <s v="İLAN BEKLİYOR"/>
    <s v="SATILDI/2. SATIŞTA"/>
    <x v="7"/>
  </r>
  <r>
    <x v="1"/>
    <x v="7"/>
    <x v="8"/>
    <n v="304.48"/>
    <n v="12450"/>
    <n v="10"/>
    <s v="ARSA"/>
    <s v="BİLAL AKTAŞ"/>
    <s v="İLAN BEKLİYOR"/>
    <s v="SATILDI/2. SATIŞTA"/>
    <x v="7"/>
  </r>
  <r>
    <x v="1"/>
    <x v="1"/>
    <x v="1"/>
    <n v="371.73"/>
    <n v="168"/>
    <n v="11"/>
    <s v="ARSA"/>
    <s v="BİLAL AKTAŞ"/>
    <s v="SATIŞ KAPANDI"/>
    <s v="SATIŞ KAPANDI"/>
    <x v="1"/>
  </r>
  <r>
    <x v="1"/>
    <x v="7"/>
    <x v="8"/>
    <n v="304.52"/>
    <n v="12450"/>
    <n v="9"/>
    <s v="TARLA (DEĞİŞECEK)"/>
    <s v="BİLAL AKTAŞ"/>
    <s v="İLAN BEKLİYOR"/>
    <s v="SATILDI/2. SATIŞTA"/>
    <x v="7"/>
  </r>
  <r>
    <x v="1"/>
    <x v="1"/>
    <x v="1"/>
    <n v="689.86"/>
    <n v="168"/>
    <n v="2"/>
    <s v="ARSA"/>
    <s v="BİLAL AKTAŞ"/>
    <s v="SATIŞ KAPANDI"/>
    <s v="SATIŞ KAPANDI"/>
    <x v="1"/>
  </r>
  <r>
    <x v="1"/>
    <x v="7"/>
    <x v="8"/>
    <n v="304.60000000000002"/>
    <n v="12450"/>
    <n v="11"/>
    <s v="TARLA (DEĞİŞECEK)"/>
    <s v="BİLAL AKTAŞ"/>
    <s v="İLAN BEKLİYOR"/>
    <s v="SATILDI/2. SATIŞTA"/>
    <x v="7"/>
  </r>
  <r>
    <x v="1"/>
    <x v="7"/>
    <x v="8"/>
    <n v="304.64999999999998"/>
    <n v="12450"/>
    <n v="8"/>
    <s v="TARLA (DEĞİŞECEK)"/>
    <s v="BİLAL AKTAŞ"/>
    <s v="İLAN BEKLİYOR"/>
    <s v="SATILDI/2. SATIŞTA"/>
    <x v="7"/>
  </r>
  <r>
    <x v="1"/>
    <x v="6"/>
    <x v="6"/>
    <n v="305"/>
    <n v="111"/>
    <n v="14"/>
    <s v="ARSA"/>
    <s v="BİLAL AKTAŞ"/>
    <s v="İLAN BEKLİYOR"/>
    <s v="SATILDI/2. SATIŞTA"/>
    <x v="1"/>
  </r>
  <r>
    <x v="1"/>
    <x v="6"/>
    <x v="6"/>
    <n v="305"/>
    <n v="111"/>
    <n v="15"/>
    <s v="ARSA"/>
    <s v="BİLAL AKTAŞ"/>
    <s v="İLAN BEKLİYOR"/>
    <s v="SATILDI/2. SATIŞTA"/>
    <x v="1"/>
  </r>
  <r>
    <x v="1"/>
    <x v="1"/>
    <x v="1"/>
    <n v="753.16"/>
    <n v="168"/>
    <n v="5"/>
    <s v="ARSA"/>
    <s v="BEREKETLİ AŞ"/>
    <s v="SATIŞ KAPANDI"/>
    <s v="SATIŞ KAPANDI"/>
    <x v="1"/>
  </r>
  <r>
    <x v="1"/>
    <x v="1"/>
    <x v="1"/>
    <n v="283.58999999999997"/>
    <n v="169"/>
    <n v="7"/>
    <s v="ARSA"/>
    <s v="BİLAL AKTAŞ"/>
    <s v="SATIŞ KAPANDI"/>
    <s v="SATIŞ KAPANDI"/>
    <x v="1"/>
  </r>
  <r>
    <x v="1"/>
    <x v="1"/>
    <x v="1"/>
    <n v="283.58999999999997"/>
    <n v="169"/>
    <n v="8"/>
    <s v="ARSA"/>
    <s v="BİLAL AKTAŞ"/>
    <s v="SATIŞ KAPANDI"/>
    <s v="SATIŞ KAPANDI"/>
    <x v="1"/>
  </r>
  <r>
    <x v="1"/>
    <x v="1"/>
    <x v="1"/>
    <n v="292.36"/>
    <n v="169"/>
    <n v="10"/>
    <s v="ARSA"/>
    <s v="MÜŞTERİ YERİ"/>
    <s v="SATIŞ KAPANDI"/>
    <s v="SATIŞ KAPANDI"/>
    <x v="1"/>
  </r>
  <r>
    <x v="1"/>
    <x v="6"/>
    <x v="6"/>
    <n v="305"/>
    <n v="111"/>
    <n v="24"/>
    <s v="ARSA"/>
    <s v="BİLAL AKTAŞ"/>
    <s v="İLAN BEKLİYOR"/>
    <s v="SATILDI/2. SATIŞTA"/>
    <x v="1"/>
  </r>
  <r>
    <x v="1"/>
    <x v="6"/>
    <x v="6"/>
    <n v="305"/>
    <n v="111"/>
    <n v="25"/>
    <s v="ARSA"/>
    <s v="BİLAL AKTAŞ"/>
    <s v="İLANDA"/>
    <s v="SATILDI/2. SATIŞTA"/>
    <x v="1"/>
  </r>
  <r>
    <x v="1"/>
    <x v="7"/>
    <x v="8"/>
    <n v="306"/>
    <n v="12490"/>
    <n v="10"/>
    <s v="ARSA"/>
    <s v="BİLAL AKTAŞ"/>
    <s v="SATILDI"/>
    <s v="SATILDI/2. SATIŞTA"/>
    <x v="5"/>
  </r>
  <r>
    <x v="1"/>
    <x v="1"/>
    <x v="1"/>
    <n v="592.63"/>
    <n v="169"/>
    <n v="2"/>
    <s v="ARSA"/>
    <s v="BİLAL AKTAŞ"/>
    <s v="SATIŞ KAPANDI"/>
    <s v="SATIŞ KAPANDI"/>
    <x v="1"/>
  </r>
  <r>
    <x v="1"/>
    <x v="1"/>
    <x v="1"/>
    <n v="291.2"/>
    <n v="169"/>
    <n v="9"/>
    <s v="ARSA"/>
    <s v="MÜŞTERİ YERİ"/>
    <s v="SATIŞ KAPANDI"/>
    <s v="SATIŞ KAPANDI"/>
    <x v="1"/>
  </r>
  <r>
    <x v="5"/>
    <x v="9"/>
    <x v="13"/>
    <n v="306.5"/>
    <n v="0"/>
    <n v="1710"/>
    <s v="ARSA"/>
    <s v="BİLAL AKTAŞ"/>
    <s v="İLAN BEKLİYOR"/>
    <s v="KONSİNYE"/>
    <x v="1"/>
  </r>
  <r>
    <x v="1"/>
    <x v="1"/>
    <x v="1"/>
    <n v="757.77"/>
    <n v="170"/>
    <n v="7"/>
    <s v="ARSA"/>
    <s v="BİLAL AKTAŞ"/>
    <s v="SATIŞ KAPANDI"/>
    <s v="SATIŞ KAPANDI"/>
    <x v="1"/>
  </r>
  <r>
    <x v="1"/>
    <x v="1"/>
    <x v="1"/>
    <n v="338"/>
    <n v="170"/>
    <n v="14"/>
    <s v="ARSA"/>
    <s v="BEREKETLİ AŞ"/>
    <s v="SATIŞ KAPANDI"/>
    <s v="SATIŞ KAPANDI"/>
    <x v="1"/>
  </r>
  <r>
    <x v="1"/>
    <x v="7"/>
    <x v="8"/>
    <n v="306.77"/>
    <n v="12450"/>
    <n v="4"/>
    <s v="ARSA"/>
    <s v="BİLAL AKTAŞ"/>
    <s v="İLAN BEKLİYOR"/>
    <s v="SATILDI/2. SATIŞTA"/>
    <x v="7"/>
  </r>
  <r>
    <x v="1"/>
    <x v="10"/>
    <x v="14"/>
    <n v="307.69"/>
    <n v="13131"/>
    <n v="6"/>
    <s v="ARSA"/>
    <s v="BİLAL AKTAŞ"/>
    <s v="SATIŞ KAPANDI"/>
    <s v="STOKTA/İPOTEKLİ"/>
    <x v="9"/>
  </r>
  <r>
    <x v="1"/>
    <x v="6"/>
    <x v="6"/>
    <n v="309.19"/>
    <n v="116"/>
    <n v="22"/>
    <s v="ARSA"/>
    <s v="BİLAL AKTAŞ"/>
    <s v="İLAN BEKLİYOR"/>
    <s v="SATILDI/2. SATIŞTA"/>
    <x v="1"/>
  </r>
  <r>
    <x v="1"/>
    <x v="6"/>
    <x v="6"/>
    <n v="310.06"/>
    <n v="119"/>
    <n v="13"/>
    <s v="ARSA"/>
    <s v="MÜŞTERİ YERİ"/>
    <s v="İLAN BEKLİYOR"/>
    <s v="SATILDI/2. SATIŞTA"/>
    <x v="1"/>
  </r>
  <r>
    <x v="1"/>
    <x v="6"/>
    <x v="6"/>
    <n v="310.07"/>
    <n v="119"/>
    <n v="14"/>
    <s v="ARSA"/>
    <s v="MÜŞTERİ YERİ"/>
    <s v="İLAN BEKLİYOR"/>
    <s v="SATILDI/2. SATIŞTA"/>
    <x v="1"/>
  </r>
  <r>
    <x v="1"/>
    <x v="7"/>
    <x v="8"/>
    <n v="310.77"/>
    <n v="12450"/>
    <n v="5"/>
    <s v="ARSA"/>
    <s v="BİLAL AKTAŞ"/>
    <s v="İLAN BEKLİYOR"/>
    <s v="SATILDI/2. SATIŞTA"/>
    <x v="7"/>
  </r>
  <r>
    <x v="1"/>
    <x v="6"/>
    <x v="15"/>
    <n v="310.89999999999998"/>
    <n v="315"/>
    <n v="13"/>
    <s v="TARLA"/>
    <s v="BİLAL AKTAŞ"/>
    <s v="İLANDA"/>
    <s v="STOKTA"/>
    <x v="3"/>
  </r>
  <r>
    <x v="1"/>
    <x v="7"/>
    <x v="8"/>
    <n v="313.11"/>
    <n v="12480"/>
    <n v="4"/>
    <s v="ARSA"/>
    <s v="BİLAL AKTAŞ"/>
    <s v="İLAN BEKLİYOR"/>
    <s v="SATILDI/2. SATIŞTA"/>
    <x v="5"/>
  </r>
  <r>
    <x v="1"/>
    <x v="7"/>
    <x v="8"/>
    <n v="313.17"/>
    <n v="12480"/>
    <n v="6"/>
    <s v="ARSA"/>
    <s v="BİLAL AKTAŞ"/>
    <s v="İLAN BEKLİYOR"/>
    <s v="SATILDI/2. SATIŞTA"/>
    <x v="5"/>
  </r>
  <r>
    <x v="1"/>
    <x v="7"/>
    <x v="8"/>
    <n v="313.25"/>
    <n v="12480"/>
    <n v="5"/>
    <s v="ARSA"/>
    <s v="BİLAL AKTAŞ"/>
    <s v="İLAN BEKLİYOR"/>
    <s v="SATILDI/2. SATIŞTA"/>
    <x v="5"/>
  </r>
  <r>
    <x v="1"/>
    <x v="6"/>
    <x v="6"/>
    <n v="313.92"/>
    <n v="111"/>
    <n v="13"/>
    <s v="ARSA"/>
    <s v="BİLAL AKTAŞ"/>
    <s v="İLAN BEKLİYOR"/>
    <s v="SATILDI/2. SATIŞTA"/>
    <x v="1"/>
  </r>
  <r>
    <x v="1"/>
    <x v="3"/>
    <x v="9"/>
    <n v="317.51"/>
    <n v="251"/>
    <n v="20"/>
    <s v="ARSA"/>
    <s v="BEREKETLİ AŞ"/>
    <s v="İLAN BEKLİYOR"/>
    <s v="SATILDI/2. SATIŞTA"/>
    <x v="1"/>
  </r>
  <r>
    <x v="1"/>
    <x v="7"/>
    <x v="8"/>
    <n v="320"/>
    <n v="14236"/>
    <n v="22"/>
    <s v="ARSA"/>
    <s v="BİLAL AKTAŞ"/>
    <s v="İLAN BEKLİYOR"/>
    <s v="SATILDI/2. SATIŞTA"/>
    <x v="5"/>
  </r>
  <r>
    <x v="1"/>
    <x v="6"/>
    <x v="6"/>
    <n v="396.86"/>
    <n v="122"/>
    <n v="21"/>
    <s v="ARSA"/>
    <s v="BİLAL AKTAŞ"/>
    <s v="SATILDI"/>
    <s v="SATIŞ KAPANDI"/>
    <x v="1"/>
  </r>
  <r>
    <x v="1"/>
    <x v="6"/>
    <x v="6"/>
    <n v="320.67"/>
    <n v="119"/>
    <n v="22"/>
    <s v="ARSA"/>
    <s v="BİLAL AKTAŞ"/>
    <s v="İLAN BEKLİYOR"/>
    <s v="SATILDI/2. SATIŞTA"/>
    <x v="1"/>
  </r>
  <r>
    <x v="1"/>
    <x v="1"/>
    <x v="16"/>
    <n v="451.63"/>
    <n v="109"/>
    <n v="5"/>
    <s v="ARSA"/>
    <s v="MÜŞTERİ YERİ"/>
    <s v="SATIŞ KAPANDI"/>
    <s v="SATIŞ KAPANDI"/>
    <x v="4"/>
  </r>
  <r>
    <x v="1"/>
    <x v="7"/>
    <x v="8"/>
    <n v="321.12"/>
    <n v="14236"/>
    <n v="20"/>
    <s v="ARSA"/>
    <s v="BİLAL AKTAŞ"/>
    <s v="İLAN BEKLİYOR"/>
    <s v="STOKTA/İPOTEKLİ"/>
    <x v="5"/>
  </r>
  <r>
    <x v="1"/>
    <x v="6"/>
    <x v="6"/>
    <n v="322.83"/>
    <n v="121"/>
    <n v="8"/>
    <s v="ARSA"/>
    <s v="BİLAL AKTAŞ"/>
    <s v="İLAN BEKLİYOR"/>
    <s v="STOKTA"/>
    <x v="1"/>
  </r>
  <r>
    <x v="1"/>
    <x v="6"/>
    <x v="6"/>
    <n v="394.56"/>
    <n v="118"/>
    <n v="16"/>
    <s v="ARSA"/>
    <s v="BİLAL AKTAŞ"/>
    <s v="SATILDI"/>
    <s v="SATIŞ KAPANDI"/>
    <x v="1"/>
  </r>
  <r>
    <x v="1"/>
    <x v="7"/>
    <x v="8"/>
    <n v="324.92"/>
    <n v="12481"/>
    <n v="7"/>
    <s v="ARSA"/>
    <s v="BİLAL AKTAŞ"/>
    <s v="İLAN BEKLİYOR"/>
    <s v="STOKTA/İPOTEKLİ"/>
    <x v="5"/>
  </r>
  <r>
    <x v="1"/>
    <x v="7"/>
    <x v="8"/>
    <n v="325"/>
    <n v="14236"/>
    <n v="16"/>
    <s v="ARSA"/>
    <s v="BİLAL AKTAŞ"/>
    <s v="İLAN BEKLİYOR"/>
    <s v="STOKTA/İPOTEKLİ"/>
    <x v="5"/>
  </r>
  <r>
    <x v="1"/>
    <x v="1"/>
    <x v="1"/>
    <n v="368.2"/>
    <n v="158"/>
    <n v="13"/>
    <s v="ARSA"/>
    <s v="BİLAL AKTAŞ"/>
    <s v="İLANDA"/>
    <s v="STOKTA"/>
    <x v="1"/>
  </r>
  <r>
    <x v="0"/>
    <x v="8"/>
    <x v="12"/>
    <n v="329.95"/>
    <n v="104"/>
    <n v="1"/>
    <s v="ARSA"/>
    <s v="BİLAL AKTAŞ"/>
    <s v="İLAN BEKLİYOR"/>
    <s v="SATILDI/2. SATIŞTA"/>
    <x v="8"/>
  </r>
  <r>
    <x v="1"/>
    <x v="7"/>
    <x v="8"/>
    <n v="330"/>
    <n v="12490"/>
    <n v="13"/>
    <s v="ARSA"/>
    <s v="BİLAL AKTAŞ"/>
    <s v="İLAN BEKLİYOR"/>
    <s v="SATILDI/2. SATIŞTA"/>
    <x v="5"/>
  </r>
  <r>
    <x v="5"/>
    <x v="9"/>
    <x v="13"/>
    <n v="331.32"/>
    <n v="0"/>
    <n v="1711"/>
    <s v="ARSA"/>
    <s v="BİLAL AKTAŞ"/>
    <s v="İLAN BEKLİYOR"/>
    <s v="SATILDI/2. SATIŞTA"/>
    <x v="1"/>
  </r>
  <r>
    <x v="1"/>
    <x v="6"/>
    <x v="6"/>
    <n v="335.77"/>
    <n v="121"/>
    <n v="9"/>
    <s v="ARSA"/>
    <s v="BİLAL AKTAŞ"/>
    <s v="İLAN BEKLİYOR"/>
    <s v="STOKTA"/>
    <x v="1"/>
  </r>
  <r>
    <x v="1"/>
    <x v="6"/>
    <x v="6"/>
    <n v="396.74"/>
    <n v="122"/>
    <n v="19"/>
    <s v="ARSA"/>
    <s v="BİLAL AKTAŞ"/>
    <s v="SATIŞ KAPANDI"/>
    <s v="SATIŞ KAPANDI"/>
    <x v="1"/>
  </r>
  <r>
    <x v="1"/>
    <x v="6"/>
    <x v="6"/>
    <n v="396.78"/>
    <n v="122"/>
    <n v="20"/>
    <s v="ARSA"/>
    <s v="BİLAL AKTAŞ"/>
    <s v="SATIŞ KAPANDI"/>
    <s v="SATIŞ KAPANDI"/>
    <x v="1"/>
  </r>
  <r>
    <x v="1"/>
    <x v="1"/>
    <x v="1"/>
    <n v="412"/>
    <n v="157"/>
    <n v="2"/>
    <s v="ARSA"/>
    <s v="BEREKETLİ AŞ"/>
    <s v="SATIŞ KAPANDI"/>
    <s v="SATIŞ KAPANDI"/>
    <x v="1"/>
  </r>
  <r>
    <x v="3"/>
    <x v="4"/>
    <x v="4"/>
    <n v="314.76"/>
    <n v="314"/>
    <n v="16"/>
    <s v="ARSA"/>
    <s v="BEREKETLİ AŞ"/>
    <s v="SATIŞ KAPANDI"/>
    <s v="SATIŞ KAPANDI"/>
    <x v="0"/>
  </r>
  <r>
    <x v="1"/>
    <x v="1"/>
    <x v="1"/>
    <n v="800.67"/>
    <n v="159"/>
    <n v="2"/>
    <s v="ARSA"/>
    <s v="BİLAL AKTAŞ"/>
    <s v="SATIŞ KAPANDI"/>
    <s v="SATIŞ KAPANDI"/>
    <x v="1"/>
  </r>
  <r>
    <x v="1"/>
    <x v="1"/>
    <x v="1"/>
    <n v="326.64"/>
    <n v="158"/>
    <n v="14"/>
    <s v="ARSA"/>
    <s v="BİLAL AKTAŞ"/>
    <s v="İLANDA"/>
    <s v="SATILDI/2. SATIŞTA"/>
    <x v="1"/>
  </r>
  <r>
    <x v="1"/>
    <x v="1"/>
    <x v="1"/>
    <n v="339"/>
    <n v="170"/>
    <n v="13"/>
    <s v="ARSA"/>
    <s v="BEREKETLİ AŞ"/>
    <s v="SATIŞ KAPANDI"/>
    <s v="SATIŞ KAPANDI"/>
    <x v="1"/>
  </r>
  <r>
    <x v="1"/>
    <x v="1"/>
    <x v="1"/>
    <n v="377"/>
    <n v="171"/>
    <n v="14"/>
    <s v="ARSA"/>
    <s v="BT META"/>
    <s v="SATIŞ KAPANDI"/>
    <s v="SATIŞ KAPANDI"/>
    <x v="1"/>
  </r>
  <r>
    <x v="1"/>
    <x v="1"/>
    <x v="1"/>
    <n v="335.81"/>
    <n v="168"/>
    <n v="9"/>
    <s v="ARSA"/>
    <s v="BİLAL AKTAŞ"/>
    <s v="İLAN BEKLİYOR"/>
    <s v="SATILDI/2. SATIŞTA"/>
    <x v="1"/>
  </r>
  <r>
    <x v="1"/>
    <x v="1"/>
    <x v="1"/>
    <n v="335.81"/>
    <n v="168"/>
    <n v="10"/>
    <s v="ARSA"/>
    <s v="BİLAL AKTAŞ"/>
    <s v="İLAN BEKLİYOR"/>
    <s v="SATILDI/2. SATIŞTA"/>
    <x v="1"/>
  </r>
  <r>
    <x v="1"/>
    <x v="6"/>
    <x v="6"/>
    <n v="340.67"/>
    <n v="119"/>
    <n v="20"/>
    <s v="ARSA"/>
    <s v="BİLAL AKTAŞ"/>
    <s v="İLAN BEKLİYOR"/>
    <s v="SATILDI/2. SATIŞTA"/>
    <x v="1"/>
  </r>
  <r>
    <x v="1"/>
    <x v="1"/>
    <x v="1"/>
    <n v="337.9"/>
    <n v="167"/>
    <n v="9"/>
    <s v="ARSA"/>
    <s v="BİLAL AKTAŞ"/>
    <s v="İLANDA"/>
    <s v="SATILDI/2. SATIŞTA"/>
    <x v="1"/>
  </r>
  <r>
    <x v="1"/>
    <x v="1"/>
    <x v="1"/>
    <n v="337.9"/>
    <n v="167"/>
    <n v="10"/>
    <s v="ARSA"/>
    <s v="BİLAL AKTAŞ"/>
    <s v="İLAN BEKLİYOR"/>
    <s v="SATILDI/2. SATIŞTA"/>
    <x v="1"/>
  </r>
  <r>
    <x v="1"/>
    <x v="1"/>
    <x v="1"/>
    <n v="758.04"/>
    <n v="171"/>
    <n v="8"/>
    <s v="ARSA"/>
    <s v="BİLAL AKTAŞ"/>
    <s v="SATIŞ KAPANDI"/>
    <s v="SATIŞ KAPANDI"/>
    <x v="1"/>
  </r>
  <r>
    <x v="1"/>
    <x v="1"/>
    <x v="1"/>
    <n v="379.55"/>
    <n v="171"/>
    <n v="12"/>
    <s v="ARSA"/>
    <s v="BEREKETLİ AŞ"/>
    <s v="SATIŞ KAPANDI"/>
    <s v="SATIŞ KAPANDI"/>
    <x v="1"/>
  </r>
  <r>
    <x v="1"/>
    <x v="1"/>
    <x v="1"/>
    <n v="379.15"/>
    <n v="171"/>
    <n v="11"/>
    <s v="ARSA"/>
    <s v="BEREKETLİ AŞ"/>
    <s v="SATIŞ KAPANDI"/>
    <s v="SATIŞ KAPANDI"/>
    <x v="1"/>
  </r>
  <r>
    <x v="1"/>
    <x v="6"/>
    <x v="6"/>
    <n v="342.63"/>
    <n v="119"/>
    <n v="21"/>
    <s v="ARSA"/>
    <s v="BİLAL AKTAŞ"/>
    <s v="İLAN BEKLİYOR"/>
    <s v="SATILDI/2. SATIŞTA"/>
    <x v="1"/>
  </r>
  <r>
    <x v="1"/>
    <x v="6"/>
    <x v="6"/>
    <n v="343.72"/>
    <n v="111"/>
    <n v="12"/>
    <s v="ARSA"/>
    <s v="BİLAL AKTAŞ"/>
    <s v="İLAN BEKLİYOR"/>
    <s v="SATILDI/2. SATIŞTA"/>
    <x v="1"/>
  </r>
  <r>
    <x v="0"/>
    <x v="11"/>
    <x v="17"/>
    <n v="344.75"/>
    <n v="108"/>
    <n v="6"/>
    <s v="ARSA"/>
    <s v="BİLAL AKTAŞ"/>
    <s v="İLAN BEKLİYOR"/>
    <s v="SATILDI/2. SATIŞTA"/>
    <x v="8"/>
  </r>
  <r>
    <x v="1"/>
    <x v="6"/>
    <x v="6"/>
    <n v="345"/>
    <n v="118"/>
    <n v="23"/>
    <s v="ARSA"/>
    <s v="BİLAL AKTAŞ"/>
    <s v="İLAN BEKLİYOR"/>
    <s v="SATILDI/2. SATIŞTA"/>
    <x v="1"/>
  </r>
  <r>
    <x v="1"/>
    <x v="1"/>
    <x v="1"/>
    <n v="379.5"/>
    <n v="171"/>
    <n v="13"/>
    <s v="ARSA"/>
    <s v="BT META"/>
    <s v="SATILDI"/>
    <s v="SATIŞ KAPANDI"/>
    <x v="1"/>
  </r>
  <r>
    <x v="1"/>
    <x v="6"/>
    <x v="6"/>
    <n v="345"/>
    <n v="118"/>
    <n v="24"/>
    <s v="ARSA"/>
    <s v="BİLAL AKTAŞ"/>
    <s v="İLAN BEKLİYOR"/>
    <s v="SATILDI/2. SATIŞTA"/>
    <x v="1"/>
  </r>
  <r>
    <x v="1"/>
    <x v="1"/>
    <x v="1"/>
    <n v="341.92"/>
    <n v="166"/>
    <n v="9"/>
    <s v="ARSA"/>
    <s v="BİLAL AKTAŞ"/>
    <s v="İLAN BEKLİYOR"/>
    <s v="SATILDI/2. SATIŞTA"/>
    <x v="1"/>
  </r>
  <r>
    <x v="0"/>
    <x v="11"/>
    <x v="17"/>
    <n v="347.98"/>
    <n v="108"/>
    <n v="7"/>
    <s v="ARSA"/>
    <s v="BİLAL AKTAŞ"/>
    <s v="İLAN BEKLİYOR"/>
    <s v="SATILDI/2. SATIŞTA"/>
    <x v="8"/>
  </r>
  <r>
    <x v="1"/>
    <x v="1"/>
    <x v="16"/>
    <n v="315.61"/>
    <n v="109"/>
    <n v="6"/>
    <s v="ARSA"/>
    <s v="MÜŞTERİ YERİ"/>
    <s v="SATIŞ KAPANDI"/>
    <s v="SATIŞ KAPANDI"/>
    <x v="4"/>
  </r>
  <r>
    <x v="1"/>
    <x v="1"/>
    <x v="1"/>
    <n v="341.92"/>
    <n v="166"/>
    <n v="10"/>
    <s v="ARSA"/>
    <s v="BİLAL AKTAŞ"/>
    <s v="İLANDA"/>
    <s v="SATILDI/2. SATIŞTA"/>
    <x v="1"/>
  </r>
  <r>
    <x v="1"/>
    <x v="6"/>
    <x v="6"/>
    <n v="352.09"/>
    <n v="120"/>
    <n v="8"/>
    <s v="ARSA"/>
    <s v="BİLAL AKTAŞ"/>
    <s v="İLAN BEKLİYOR"/>
    <s v="SATILDI/2. SATIŞTA"/>
    <x v="1"/>
  </r>
  <r>
    <x v="1"/>
    <x v="6"/>
    <x v="6"/>
    <n v="352.09"/>
    <n v="120"/>
    <n v="9"/>
    <s v="ARSA"/>
    <s v="BİLAL AKTAŞ"/>
    <s v="İLAN BEKLİYOR"/>
    <s v="SATILDI/2. SATIŞTA"/>
    <x v="1"/>
  </r>
  <r>
    <x v="1"/>
    <x v="6"/>
    <x v="6"/>
    <n v="352.09"/>
    <n v="120"/>
    <n v="11"/>
    <s v="ARSA"/>
    <s v="BİLAL AKTAŞ"/>
    <s v="İLAN BEKLİYOR"/>
    <s v="SATILDI/2. SATIŞTA"/>
    <x v="1"/>
  </r>
  <r>
    <x v="1"/>
    <x v="6"/>
    <x v="18"/>
    <n v="851.74"/>
    <n v="103"/>
    <n v="3"/>
    <s v="ARSA"/>
    <s v="BEREKETLİ AŞ"/>
    <s v="SATIŞ KAPANDI"/>
    <s v="SATIŞ KAPANDI"/>
    <x v="8"/>
  </r>
  <r>
    <x v="1"/>
    <x v="6"/>
    <x v="6"/>
    <n v="468.89"/>
    <n v="119"/>
    <n v="12"/>
    <s v="ARSA"/>
    <s v="MÜŞTERİ YERİ"/>
    <s v="İLAN BEKLİYOR"/>
    <s v="SATILDI/2. SATIŞTA"/>
    <x v="1"/>
  </r>
  <r>
    <x v="1"/>
    <x v="6"/>
    <x v="6"/>
    <n v="352.1"/>
    <n v="120"/>
    <n v="10"/>
    <s v="ARSA"/>
    <s v="BİLAL AKTAŞ"/>
    <s v="İLAN BEKLİYOR"/>
    <s v="SATILDI/2. SATIŞTA"/>
    <x v="1"/>
  </r>
  <r>
    <x v="1"/>
    <x v="7"/>
    <x v="8"/>
    <n v="353.11"/>
    <n v="12480"/>
    <n v="7"/>
    <s v="ARSA"/>
    <s v="BİLAL AKTAŞ"/>
    <s v="İLAN BEKLİYOR"/>
    <s v="SATILDI/2. SATIŞTA"/>
    <x v="5"/>
  </r>
  <r>
    <x v="6"/>
    <x v="12"/>
    <x v="19"/>
    <n v="358"/>
    <n v="446"/>
    <n v="11"/>
    <s v="ARSA"/>
    <s v="BİLAL AKTAŞ"/>
    <s v="REZERVE"/>
    <s v="STOKTA/İPOTEKLİ"/>
    <x v="10"/>
  </r>
  <r>
    <x v="1"/>
    <x v="1"/>
    <x v="1"/>
    <n v="346.88"/>
    <n v="170"/>
    <n v="11"/>
    <s v="ARSA"/>
    <s v="BİLAL AKTAŞ"/>
    <s v="İLAN BEKLİYOR"/>
    <s v="SATILDI/2. SATIŞTA"/>
    <x v="1"/>
  </r>
  <r>
    <x v="1"/>
    <x v="1"/>
    <x v="16"/>
    <n v="363.46"/>
    <n v="103"/>
    <n v="40"/>
    <s v="ARSA"/>
    <s v="BEREKETLİ AŞ"/>
    <s v="SATIŞ KAPANDI"/>
    <s v="STOKTA/İPOTEKLİ"/>
    <x v="4"/>
  </r>
  <r>
    <x v="1"/>
    <x v="6"/>
    <x v="6"/>
    <n v="363.83"/>
    <n v="119"/>
    <n v="23"/>
    <s v="ARSA"/>
    <s v="BİLAL AKTAŞ"/>
    <s v="İLAN BEKLİYOR"/>
    <s v="SATILDI/2. SATIŞTA"/>
    <x v="1"/>
  </r>
  <r>
    <x v="1"/>
    <x v="1"/>
    <x v="1"/>
    <n v="348.76"/>
    <n v="170"/>
    <n v="12"/>
    <s v="ARSA"/>
    <s v="BİLAL AKTAŞ"/>
    <s v="İLAN BEKLİYOR"/>
    <s v="SATILDI/2. SATIŞTA"/>
    <x v="1"/>
  </r>
  <r>
    <x v="0"/>
    <x v="8"/>
    <x v="12"/>
    <n v="365.42"/>
    <n v="103"/>
    <n v="3"/>
    <s v="ARSA"/>
    <s v="BİLAL AKTAŞ"/>
    <s v="İLAN BEKLİYOR"/>
    <s v="SATILDI/2. SATIŞTA"/>
    <x v="8"/>
  </r>
  <r>
    <x v="1"/>
    <x v="6"/>
    <x v="6"/>
    <n v="492.15"/>
    <n v="117"/>
    <n v="22"/>
    <s v="ARSA"/>
    <s v="BİLAL AKTAŞ"/>
    <s v="SATILDI"/>
    <s v="SATILDI/2. SATIŞTA"/>
    <x v="1"/>
  </r>
  <r>
    <x v="1"/>
    <x v="1"/>
    <x v="1"/>
    <n v="364.5"/>
    <n v="165"/>
    <n v="11"/>
    <s v="ARSA"/>
    <s v="BİLAL AKTAŞ"/>
    <s v="İLAN BEKLİYOR"/>
    <s v="SATILDI/2. SATIŞTA"/>
    <x v="1"/>
  </r>
  <r>
    <x v="1"/>
    <x v="1"/>
    <x v="1"/>
    <n v="366.42"/>
    <n v="166"/>
    <n v="17"/>
    <s v="ARSA"/>
    <s v="BİLAL AKTAŞ"/>
    <s v="İLAN BEKLİYOR"/>
    <s v="SATILDI/2. SATIŞTA"/>
    <x v="1"/>
  </r>
  <r>
    <x v="1"/>
    <x v="1"/>
    <x v="1"/>
    <n v="366.43"/>
    <n v="165"/>
    <n v="12"/>
    <s v="ARSA"/>
    <s v="BİLAL AKTAŞ"/>
    <s v="İLANDA"/>
    <s v="SATILDI/2. SATIŞTA"/>
    <x v="1"/>
  </r>
  <r>
    <x v="1"/>
    <x v="6"/>
    <x v="18"/>
    <n v="549.34"/>
    <n v="104"/>
    <n v="11"/>
    <s v="ARSA"/>
    <s v="BEREKETLİ AŞ"/>
    <s v="İLANDA"/>
    <s v="SATILDI/2. SATIŞTA"/>
    <x v="8"/>
  </r>
  <r>
    <x v="1"/>
    <x v="1"/>
    <x v="16"/>
    <n v="256.29000000000002"/>
    <n v="109"/>
    <n v="7"/>
    <s v="ARSA"/>
    <s v="MÜŞTERİ YERİ"/>
    <s v="SATIŞ KAPANDI"/>
    <s v="SATIŞ KAPANDI"/>
    <x v="4"/>
  </r>
  <r>
    <x v="5"/>
    <x v="13"/>
    <x v="20"/>
    <n v="481"/>
    <n v="0"/>
    <n v="823"/>
    <s v="ARSA"/>
    <s v="BEREKETLİ AŞ"/>
    <s v="SATIŞ KAPANDI"/>
    <s v="SATIŞ KAPANDI"/>
    <x v="11"/>
  </r>
  <r>
    <x v="1"/>
    <x v="6"/>
    <x v="18"/>
    <n v="549.34"/>
    <n v="104"/>
    <n v="11"/>
    <s v="ARSA"/>
    <s v="BEREKETLİ AŞ"/>
    <s v="İLAN BEKLİYOR"/>
    <s v="SATILDI/2. SATIŞTA"/>
    <x v="8"/>
  </r>
  <r>
    <x v="1"/>
    <x v="6"/>
    <x v="18"/>
    <n v="554.96"/>
    <n v="105"/>
    <n v="16"/>
    <s v="ARSA"/>
    <s v="BEREKETLİ AŞ"/>
    <s v="İLAN BEKLİYOR"/>
    <s v="SATILDI/2. SATIŞTA"/>
    <x v="8"/>
  </r>
  <r>
    <x v="1"/>
    <x v="6"/>
    <x v="18"/>
    <n v="557.13"/>
    <n v="106"/>
    <n v="8"/>
    <s v="ARSA"/>
    <s v="BT META"/>
    <s v="İLAN BEKLİYOR"/>
    <s v="SATILDI/2. SATIŞTA"/>
    <x v="8"/>
  </r>
  <r>
    <x v="1"/>
    <x v="1"/>
    <x v="1"/>
    <n v="367.56"/>
    <n v="162"/>
    <n v="21"/>
    <s v="ARSA"/>
    <s v="BİLAL AKTAŞ"/>
    <s v="İLANDA"/>
    <s v="SATILDI/2. SATIŞTA"/>
    <x v="1"/>
  </r>
  <r>
    <x v="1"/>
    <x v="6"/>
    <x v="18"/>
    <n v="559.84"/>
    <n v="104"/>
    <n v="2"/>
    <s v="ARSA"/>
    <s v="BEREKETLİ AŞ"/>
    <s v="İLAN BEKLİYOR"/>
    <s v="SATILDI/2. SATIŞTA"/>
    <x v="8"/>
  </r>
  <r>
    <x v="1"/>
    <x v="1"/>
    <x v="1"/>
    <n v="368.69"/>
    <n v="162"/>
    <n v="22"/>
    <s v="ARSA"/>
    <s v="BİLAL AKTAŞ"/>
    <s v="İLAN BEKLİYOR"/>
    <s v="SATILDI/2. SATIŞTA"/>
    <x v="1"/>
  </r>
  <r>
    <x v="1"/>
    <x v="6"/>
    <x v="18"/>
    <n v="559.95000000000005"/>
    <n v="104"/>
    <n v="8"/>
    <s v="ARSA"/>
    <s v="BEREKETLİ AŞ"/>
    <s v="İLANDA"/>
    <s v="SATILDI/2. SATIŞTA"/>
    <x v="8"/>
  </r>
  <r>
    <x v="1"/>
    <x v="6"/>
    <x v="18"/>
    <n v="559.51"/>
    <n v="106"/>
    <n v="7"/>
    <s v="ARSA"/>
    <s v="BT META"/>
    <s v="İLAN BEKLİYOR"/>
    <s v="SATILDI/2. SATIŞTA"/>
    <x v="8"/>
  </r>
  <r>
    <x v="1"/>
    <x v="6"/>
    <x v="18"/>
    <n v="561.91"/>
    <n v="106"/>
    <n v="6"/>
    <s v="ARSA"/>
    <s v="BT META"/>
    <s v="İLAN BEKLİYOR"/>
    <s v="SATILDI/2. SATIŞTA"/>
    <x v="8"/>
  </r>
  <r>
    <x v="1"/>
    <x v="1"/>
    <x v="1"/>
    <n v="370.34"/>
    <n v="167"/>
    <n v="15"/>
    <s v="ARSA"/>
    <s v="BİLAL AKTAŞ"/>
    <s v="İLAN BEKLİYOR"/>
    <s v="SATILDI/2. SATIŞTA"/>
    <x v="1"/>
  </r>
  <r>
    <x v="1"/>
    <x v="1"/>
    <x v="16"/>
    <n v="261.07"/>
    <n v="109"/>
    <n v="8"/>
    <s v="ARSA"/>
    <s v="MÜŞTERİ YERİ"/>
    <s v="SATIŞ KAPANDI"/>
    <s v="SATIŞ KAPANDI"/>
    <x v="4"/>
  </r>
  <r>
    <x v="1"/>
    <x v="6"/>
    <x v="18"/>
    <n v="564.29999999999995"/>
    <n v="106"/>
    <n v="5"/>
    <s v="ARSA"/>
    <s v="BT META"/>
    <s v="SATILDI"/>
    <s v="SATILDI/2. SATIŞTA"/>
    <x v="8"/>
  </r>
  <r>
    <x v="1"/>
    <x v="1"/>
    <x v="1"/>
    <n v="370.95"/>
    <n v="162"/>
    <n v="19"/>
    <s v="ARSA"/>
    <s v="BİLAL AKTAŞ"/>
    <s v="İLAN BEKLİYOR"/>
    <s v="SATILDI/2. SATIŞTA"/>
    <x v="1"/>
  </r>
  <r>
    <x v="1"/>
    <x v="7"/>
    <x v="21"/>
    <n v="433.54"/>
    <n v="180"/>
    <n v="13"/>
    <s v="ARSA"/>
    <s v="BİLAL AKTAŞ"/>
    <s v="SATIŞ KAPANDI"/>
    <s v="SATIŞ KAPANDI"/>
    <x v="12"/>
  </r>
  <r>
    <x v="1"/>
    <x v="1"/>
    <x v="1"/>
    <n v="371.52"/>
    <n v="162"/>
    <n v="20"/>
    <s v="ARSA"/>
    <s v="BİLAL AKTAŞ"/>
    <s v="İLAN BEKLİYOR"/>
    <s v="SATILDI/2. SATIŞTA"/>
    <x v="1"/>
  </r>
  <r>
    <x v="1"/>
    <x v="1"/>
    <x v="16"/>
    <n v="716.39"/>
    <n v="105"/>
    <n v="9"/>
    <s v="ARSA"/>
    <s v="BEREKETLİ AŞ"/>
    <s v="SATIŞ KAPANDI"/>
    <s v="SATIŞ KAPANDI"/>
    <x v="4"/>
  </r>
  <r>
    <x v="1"/>
    <x v="1"/>
    <x v="1"/>
    <n v="510.06"/>
    <n v="178"/>
    <n v="11"/>
    <s v="ARSA"/>
    <s v="BİLAL AKTAŞ"/>
    <s v="SATIŞ KAPANDI"/>
    <s v="SATIŞ KAPANDI"/>
    <x v="1"/>
  </r>
  <r>
    <x v="1"/>
    <x v="1"/>
    <x v="1"/>
    <n v="371.96"/>
    <n v="168"/>
    <n v="12"/>
    <s v="ARSA"/>
    <s v="BİLAL AKTAŞ"/>
    <s v="İLAN BEKLİYOR"/>
    <s v="SATILDI/2. SATIŞTA"/>
    <x v="1"/>
  </r>
  <r>
    <x v="1"/>
    <x v="6"/>
    <x v="18"/>
    <n v="581.29999999999995"/>
    <n v="104"/>
    <n v="10"/>
    <s v="ARSA"/>
    <s v="BEREKETLİ AŞ"/>
    <s v="İLANDA"/>
    <s v="SATILDI/2. SATIŞTA"/>
    <x v="8"/>
  </r>
  <r>
    <x v="1"/>
    <x v="14"/>
    <x v="22"/>
    <n v="528.46"/>
    <n v="165"/>
    <n v="60"/>
    <s v="ARSA"/>
    <s v="BİLAL AKTAŞ"/>
    <s v="İLAN BEKLİYOR"/>
    <s v="SATIŞ KAPANDI"/>
    <x v="1"/>
  </r>
  <r>
    <x v="1"/>
    <x v="1"/>
    <x v="1"/>
    <n v="377.41"/>
    <n v="165"/>
    <n v="14"/>
    <s v="ARSA"/>
    <s v="BİLAL AKTAŞ"/>
    <s v="İLANDA"/>
    <s v="SATILDI/2. SATIŞTA"/>
    <x v="1"/>
  </r>
  <r>
    <x v="1"/>
    <x v="6"/>
    <x v="18"/>
    <n v="596.08000000000004"/>
    <n v="106"/>
    <n v="3"/>
    <s v="ARSA"/>
    <s v="BT META"/>
    <s v="SATILDI"/>
    <s v="SATILDI/2. SATIŞTA"/>
    <x v="8"/>
  </r>
  <r>
    <x v="1"/>
    <x v="6"/>
    <x v="18"/>
    <n v="598.41"/>
    <n v="104"/>
    <n v="1"/>
    <s v="ARSA"/>
    <s v="BEREKETLİ AŞ"/>
    <s v="İLANDA"/>
    <s v="SATILDI/2. SATIŞTA"/>
    <x v="8"/>
  </r>
  <r>
    <x v="1"/>
    <x v="6"/>
    <x v="18"/>
    <n v="598.77"/>
    <n v="104"/>
    <n v="9"/>
    <s v="ARSA"/>
    <s v="BEREKETLİ AŞ"/>
    <s v="İLANDA"/>
    <s v="SATILDI/2. SATIŞTA"/>
    <x v="8"/>
  </r>
  <r>
    <x v="1"/>
    <x v="6"/>
    <x v="6"/>
    <n v="372.68"/>
    <n v="117"/>
    <n v="24"/>
    <s v="ARSA"/>
    <s v="BİLAL AKTAŞ"/>
    <s v="İLAN BEKLİYOR"/>
    <s v="SATILDI/2. SATIŞTA"/>
    <x v="1"/>
  </r>
  <r>
    <x v="1"/>
    <x v="6"/>
    <x v="18"/>
    <n v="606.94000000000005"/>
    <n v="104"/>
    <n v="18"/>
    <s v="ARSA"/>
    <s v="BEREKETLİ AŞ"/>
    <s v="İLANDA"/>
    <s v="SATILDI/2. SATIŞTA"/>
    <x v="8"/>
  </r>
  <r>
    <x v="1"/>
    <x v="7"/>
    <x v="8"/>
    <n v="375.52"/>
    <n v="12450"/>
    <n v="6"/>
    <s v="ARSA"/>
    <s v="BİLAL AKTAŞ"/>
    <s v="İLAN BEKLİYOR"/>
    <s v="SATILDI/2. SATIŞTA"/>
    <x v="7"/>
  </r>
  <r>
    <x v="1"/>
    <x v="1"/>
    <x v="1"/>
    <n v="380.83"/>
    <n v="165"/>
    <n v="13"/>
    <s v="ARSA"/>
    <s v="BİLAL AKTAŞ"/>
    <s v="İLAN BEKLİYOR"/>
    <s v="SATILDI/2. SATIŞTA"/>
    <x v="1"/>
  </r>
  <r>
    <x v="1"/>
    <x v="1"/>
    <x v="1"/>
    <n v="423.01"/>
    <n v="178"/>
    <n v="12"/>
    <s v="ARSA"/>
    <s v="BİLAL AKTAŞ"/>
    <s v="SATIŞ KAPANDI"/>
    <s v="SATIŞ KAPANDI"/>
    <x v="1"/>
  </r>
  <r>
    <x v="1"/>
    <x v="1"/>
    <x v="23"/>
    <n v="1559.79"/>
    <n v="0"/>
    <n v="2459"/>
    <s v="ARSA"/>
    <s v="DORTAGE AŞ"/>
    <s v="SATIŞ KAPANDI"/>
    <s v="SATIŞ KAPANDI"/>
    <x v="12"/>
  </r>
  <r>
    <x v="1"/>
    <x v="7"/>
    <x v="8"/>
    <n v="379.04"/>
    <n v="12450"/>
    <n v="7"/>
    <s v="ARSA"/>
    <s v="BİLAL AKTAŞ"/>
    <s v="İLAN BEKLİYOR"/>
    <s v="SATILDI/2. SATIŞTA"/>
    <x v="7"/>
  </r>
  <r>
    <x v="1"/>
    <x v="1"/>
    <x v="1"/>
    <n v="382.07"/>
    <n v="166"/>
    <n v="15"/>
    <s v="ARSA"/>
    <s v="BİLAL AKTAŞ"/>
    <s v="İLAN BEKLİYOR"/>
    <s v="SATILDI/2. SATIŞTA"/>
    <x v="1"/>
  </r>
  <r>
    <x v="1"/>
    <x v="1"/>
    <x v="1"/>
    <n v="385.97"/>
    <n v="181"/>
    <n v="16"/>
    <s v="ARSA"/>
    <s v="BİLAL AKTAŞ"/>
    <s v="İLAN BEKLİYOR"/>
    <s v="SATILDI/2. SATIŞTA"/>
    <x v="1"/>
  </r>
  <r>
    <x v="1"/>
    <x v="6"/>
    <x v="6"/>
    <n v="384.49"/>
    <n v="120"/>
    <n v="7"/>
    <s v="ARSA"/>
    <s v="BİLAL AKTAŞ"/>
    <s v="İLAN BEKLİYOR"/>
    <s v="STOKTA"/>
    <x v="1"/>
  </r>
  <r>
    <x v="1"/>
    <x v="1"/>
    <x v="1"/>
    <n v="385.97"/>
    <n v="181"/>
    <n v="17"/>
    <s v="ARSA"/>
    <s v="BİLAL AKTAŞ"/>
    <s v="İLAN BEKLİYOR"/>
    <s v="SATILDI/2. SATIŞTA"/>
    <x v="1"/>
  </r>
  <r>
    <x v="1"/>
    <x v="1"/>
    <x v="1"/>
    <n v="395.29"/>
    <n v="166"/>
    <n v="12"/>
    <s v="ARSA"/>
    <s v="BİLAL AKTAŞ"/>
    <s v="İLAN BEKLİYOR"/>
    <s v="SATILDI/2. SATIŞTA"/>
    <x v="1"/>
  </r>
  <r>
    <x v="1"/>
    <x v="6"/>
    <x v="6"/>
    <n v="390.18"/>
    <n v="122"/>
    <n v="37"/>
    <s v="ARSA"/>
    <s v="BİLAL AKTAŞ"/>
    <s v="İLANDA"/>
    <s v="STOKTA"/>
    <x v="1"/>
  </r>
  <r>
    <x v="1"/>
    <x v="6"/>
    <x v="6"/>
    <n v="390.26"/>
    <n v="122"/>
    <n v="38"/>
    <s v="ARSA"/>
    <s v="BİLAL AKTAŞ"/>
    <s v="İLANDA"/>
    <s v="STOKTA"/>
    <x v="1"/>
  </r>
  <r>
    <x v="3"/>
    <x v="4"/>
    <x v="4"/>
    <n v="393.84"/>
    <n v="314"/>
    <n v="1"/>
    <s v="ARSA"/>
    <s v="BEREKETLİ AŞ"/>
    <s v="İLAN BEKLİYOR"/>
    <s v="SATILDI/2. SATIŞTA"/>
    <x v="0"/>
  </r>
  <r>
    <x v="1"/>
    <x v="1"/>
    <x v="1"/>
    <n v="395.3"/>
    <n v="166"/>
    <n v="11"/>
    <s v="ARSA"/>
    <s v="BİLAL AKTAŞ"/>
    <s v="İLANDA"/>
    <s v="SATILDI/2. SATIŞTA"/>
    <x v="1"/>
  </r>
  <r>
    <x v="1"/>
    <x v="6"/>
    <x v="6"/>
    <n v="394.23"/>
    <n v="118"/>
    <n v="14"/>
    <s v="ARSA"/>
    <s v="BİLAL AKTAŞ"/>
    <s v="İLAN BEKLİYOR"/>
    <s v="KONSİNYE"/>
    <x v="1"/>
  </r>
  <r>
    <x v="1"/>
    <x v="6"/>
    <x v="6"/>
    <n v="394.44"/>
    <n v="118"/>
    <n v="15"/>
    <s v="ARSA"/>
    <s v="BİLAL AKTAŞ"/>
    <s v="İLAN BEKLİYOR"/>
    <s v="KONSİNYE"/>
    <x v="1"/>
  </r>
  <r>
    <x v="1"/>
    <x v="6"/>
    <x v="6"/>
    <n v="394.77"/>
    <n v="117"/>
    <n v="23"/>
    <s v="ARSA"/>
    <s v="BİLAL AKTAŞ"/>
    <s v="İLAN BEKLİYOR"/>
    <s v="SATILDI/2. SATIŞTA"/>
    <x v="1"/>
  </r>
  <r>
    <x v="1"/>
    <x v="6"/>
    <x v="6"/>
    <n v="394.87"/>
    <n v="118"/>
    <n v="17"/>
    <s v="ARSA"/>
    <s v="BİLAL AKTAŞ"/>
    <s v="İLAN BEKLİYOR"/>
    <s v="STOKTA"/>
    <x v="1"/>
  </r>
  <r>
    <x v="1"/>
    <x v="1"/>
    <x v="1"/>
    <n v="415.41"/>
    <n v="157"/>
    <n v="1"/>
    <s v="ARSA"/>
    <s v="BİLAL AKTAŞ"/>
    <s v="İLAN BEKLİYOR"/>
    <s v="SATILDI/2. SATIŞTA"/>
    <x v="1"/>
  </r>
  <r>
    <x v="1"/>
    <x v="1"/>
    <x v="1"/>
    <n v="421.96"/>
    <n v="178"/>
    <n v="9"/>
    <s v="ARSA"/>
    <s v="BİLAL AKTAŞ"/>
    <s v="SATILDI"/>
    <s v="SATILDI/2. SATIŞTA"/>
    <x v="1"/>
  </r>
  <r>
    <x v="1"/>
    <x v="6"/>
    <x v="6"/>
    <n v="396.54"/>
    <n v="122"/>
    <n v="17"/>
    <s v="ARSA"/>
    <s v="BİLAL AKTAŞ"/>
    <s v="İLANDA"/>
    <s v="STOKTA"/>
    <x v="1"/>
  </r>
  <r>
    <x v="1"/>
    <x v="6"/>
    <x v="6"/>
    <n v="396.65"/>
    <n v="122"/>
    <n v="18"/>
    <s v="ARSA"/>
    <s v="BİLAL AKTAŞ"/>
    <s v="İLANDA"/>
    <s v="STOKTA"/>
    <x v="1"/>
  </r>
  <r>
    <x v="1"/>
    <x v="6"/>
    <x v="18"/>
    <n v="693.25"/>
    <n v="105"/>
    <n v="1"/>
    <s v="ARSA"/>
    <s v="BEREKETLİ AŞ"/>
    <s v="İLAN BEKLİYOR"/>
    <s v="SATILDI/2. SATIŞTA"/>
    <x v="8"/>
  </r>
  <r>
    <x v="1"/>
    <x v="3"/>
    <x v="9"/>
    <n v="397.59"/>
    <n v="256"/>
    <n v="10"/>
    <s v="ARSA"/>
    <s v="BEREKETLİ AŞ"/>
    <s v="İLANDA"/>
    <s v="STOKTA"/>
    <x v="1"/>
  </r>
  <r>
    <x v="1"/>
    <x v="6"/>
    <x v="6"/>
    <n v="399.23"/>
    <n v="116"/>
    <n v="20"/>
    <s v="ARSA"/>
    <s v="BİLAL AKTAŞ"/>
    <s v="İLAN BEKLİYOR"/>
    <s v="SATILDI/2. SATIŞTA"/>
    <x v="1"/>
  </r>
  <r>
    <x v="4"/>
    <x v="5"/>
    <x v="5"/>
    <n v="400"/>
    <n v="911"/>
    <n v="3"/>
    <s v="ARSA"/>
    <s v="BİLAL AKTAŞ"/>
    <s v="İLAN BEKLİYOR"/>
    <s v="STOKTA"/>
    <x v="3"/>
  </r>
  <r>
    <x v="4"/>
    <x v="5"/>
    <x v="5"/>
    <n v="400"/>
    <n v="911"/>
    <n v="4"/>
    <s v="ARSA"/>
    <s v="BİLAL AKTAŞ"/>
    <s v="İLANDA"/>
    <s v="STOKTA"/>
    <x v="3"/>
  </r>
  <r>
    <x v="4"/>
    <x v="5"/>
    <x v="5"/>
    <n v="400"/>
    <n v="911"/>
    <n v="16"/>
    <s v="ARSA"/>
    <s v="BİLAL AKTAŞ"/>
    <s v="İLAN BEKLİYOR"/>
    <s v="STOKTA"/>
    <x v="3"/>
  </r>
  <r>
    <x v="4"/>
    <x v="5"/>
    <x v="5"/>
    <n v="400"/>
    <n v="911"/>
    <n v="17"/>
    <s v="ARSA"/>
    <s v="BİLAL AKTAŞ"/>
    <s v="İLAN BEKLİYOR"/>
    <s v="STOKTA"/>
    <x v="3"/>
  </r>
  <r>
    <x v="4"/>
    <x v="5"/>
    <x v="5"/>
    <n v="400"/>
    <n v="911"/>
    <n v="18"/>
    <s v="ARSA"/>
    <s v="BİLAL AKTAŞ"/>
    <s v="İLANDA"/>
    <s v="STOKTA"/>
    <x v="3"/>
  </r>
  <r>
    <x v="4"/>
    <x v="5"/>
    <x v="5"/>
    <n v="400"/>
    <n v="911"/>
    <n v="19"/>
    <s v="ARSA"/>
    <s v="BİLAL AKTAŞ"/>
    <s v="İLAN BEKLİYOR"/>
    <s v="STOKTA"/>
    <x v="3"/>
  </r>
  <r>
    <x v="4"/>
    <x v="5"/>
    <x v="5"/>
    <n v="400"/>
    <n v="911"/>
    <n v="26"/>
    <s v="ARSA"/>
    <s v="BİLAL AKTAŞ"/>
    <s v="İLAN BEKLİYOR"/>
    <s v="STOKTA"/>
    <x v="3"/>
  </r>
  <r>
    <x v="4"/>
    <x v="5"/>
    <x v="5"/>
    <n v="400"/>
    <n v="911"/>
    <n v="27"/>
    <s v="ARSA"/>
    <s v="BİLAL AKTAŞ"/>
    <s v="İLAN BEKLİYOR"/>
    <s v="STOKTA"/>
    <x v="3"/>
  </r>
  <r>
    <x v="4"/>
    <x v="5"/>
    <x v="5"/>
    <n v="400"/>
    <n v="911"/>
    <n v="28"/>
    <s v="ARSA"/>
    <s v="BİLAL AKTAŞ"/>
    <s v="İLAN BEKLİYOR"/>
    <s v="STOKTA"/>
    <x v="3"/>
  </r>
  <r>
    <x v="4"/>
    <x v="5"/>
    <x v="5"/>
    <n v="400"/>
    <n v="911"/>
    <n v="29"/>
    <s v="ARSA"/>
    <s v="BİLAL AKTAŞ"/>
    <s v="İLAN BEKLİYOR"/>
    <s v="STOKTA"/>
    <x v="3"/>
  </r>
  <r>
    <x v="4"/>
    <x v="5"/>
    <x v="5"/>
    <n v="400"/>
    <n v="911"/>
    <n v="30"/>
    <s v="ARSA"/>
    <s v="BİLAL AKTAŞ"/>
    <s v="İLAN BEKLİYOR"/>
    <s v="STOKTA"/>
    <x v="3"/>
  </r>
  <r>
    <x v="4"/>
    <x v="5"/>
    <x v="5"/>
    <n v="400"/>
    <n v="911"/>
    <n v="42"/>
    <s v="ARSA"/>
    <s v="BİLAL AKTAŞ"/>
    <s v="İLAN BEKLİYOR"/>
    <s v="STOKTA"/>
    <x v="3"/>
  </r>
  <r>
    <x v="1"/>
    <x v="6"/>
    <x v="18"/>
    <n v="808.42"/>
    <n v="102"/>
    <n v="2"/>
    <s v="ARSA"/>
    <s v="BEREKETLİ AŞ"/>
    <s v="İLANDA"/>
    <s v="SATILDI/2. SATIŞTA"/>
    <x v="8"/>
  </r>
  <r>
    <x v="1"/>
    <x v="6"/>
    <x v="6"/>
    <n v="400.05"/>
    <n v="116"/>
    <n v="19"/>
    <s v="ARSA"/>
    <s v="BİLAL AKTAŞ"/>
    <s v="İLAN BEKLİYOR"/>
    <s v="SATILDI/2. SATIŞTA"/>
    <x v="1"/>
  </r>
  <r>
    <x v="0"/>
    <x v="0"/>
    <x v="24"/>
    <n v="403"/>
    <n v="132"/>
    <n v="2"/>
    <s v="ARSA"/>
    <s v="BİLAL AKTAŞ"/>
    <s v="İLANDA"/>
    <s v="SATILDI/2. SATIŞTA"/>
    <x v="12"/>
  </r>
  <r>
    <x v="3"/>
    <x v="4"/>
    <x v="4"/>
    <n v="405.68"/>
    <n v="316"/>
    <n v="1"/>
    <s v="ARSA"/>
    <s v="BEREKETLİ AŞ"/>
    <s v="SATIŞ KAPANDI"/>
    <s v="SATIŞ KAPANDI"/>
    <x v="0"/>
  </r>
  <r>
    <x v="1"/>
    <x v="6"/>
    <x v="18"/>
    <n v="816"/>
    <n v="102"/>
    <n v="3"/>
    <s v="ARSA"/>
    <s v="BEREKETLİ AŞ"/>
    <s v="İLANDA"/>
    <s v="SATILDI/2. SATIŞTA"/>
    <x v="8"/>
  </r>
  <r>
    <x v="1"/>
    <x v="6"/>
    <x v="18"/>
    <n v="816"/>
    <n v="102"/>
    <n v="4"/>
    <s v="ARSA"/>
    <s v="BEREKETLİ AŞ"/>
    <s v="İLANDA"/>
    <s v="SATILDI/2. SATIŞTA"/>
    <x v="8"/>
  </r>
  <r>
    <x v="1"/>
    <x v="6"/>
    <x v="6"/>
    <n v="406.56"/>
    <n v="111"/>
    <n v="23"/>
    <s v="ARSA"/>
    <s v="BİLAL AKTAŞ"/>
    <s v="İLAN BEKLİYOR"/>
    <s v="SATILDI/2. SATIŞTA"/>
    <x v="1"/>
  </r>
  <r>
    <x v="1"/>
    <x v="6"/>
    <x v="6"/>
    <n v="406.56"/>
    <n v="111"/>
    <n v="18"/>
    <s v="ARSA"/>
    <s v="BİLAL AKTAŞ"/>
    <s v="İLAN BEKLİYOR"/>
    <s v="SATILDI/2. SATIŞTA"/>
    <x v="1"/>
  </r>
  <r>
    <x v="1"/>
    <x v="6"/>
    <x v="6"/>
    <n v="406.58"/>
    <n v="111"/>
    <n v="22"/>
    <s v="ARSA"/>
    <s v="BİLAL AKTAŞ"/>
    <s v="İLAN BEKLİYOR"/>
    <s v="SATILDI/2. SATIŞTA"/>
    <x v="1"/>
  </r>
  <r>
    <x v="1"/>
    <x v="6"/>
    <x v="6"/>
    <n v="406.58"/>
    <n v="111"/>
    <n v="19"/>
    <s v="ARSA"/>
    <s v="BİLAL AKTAŞ"/>
    <s v="İLAN BEKLİYOR"/>
    <s v="SATILDI/2. SATIŞTA"/>
    <x v="1"/>
  </r>
  <r>
    <x v="1"/>
    <x v="6"/>
    <x v="18"/>
    <n v="841.63"/>
    <n v="103"/>
    <n v="2"/>
    <s v="ARSA"/>
    <s v="BEREKETLİ AŞ"/>
    <s v="İLANDA"/>
    <s v="SATILDI/2. SATIŞTA"/>
    <x v="8"/>
  </r>
  <r>
    <x v="1"/>
    <x v="6"/>
    <x v="6"/>
    <n v="406.86"/>
    <n v="111"/>
    <n v="21"/>
    <s v="ARSA"/>
    <s v="BİLAL AKTAŞ"/>
    <s v="İLAN BEKLİYOR"/>
    <s v="SATILDI/2. SATIŞTA"/>
    <x v="1"/>
  </r>
  <r>
    <x v="1"/>
    <x v="1"/>
    <x v="1"/>
    <n v="771.66"/>
    <n v="181"/>
    <n v="14"/>
    <s v="ARSA"/>
    <s v="BİLAL AKTAŞ"/>
    <s v="İLAN BEKLİYOR"/>
    <s v="SATILDI/2. SATIŞTA"/>
    <x v="1"/>
  </r>
  <r>
    <x v="1"/>
    <x v="6"/>
    <x v="18"/>
    <n v="559.86"/>
    <n v="104"/>
    <n v="3"/>
    <s v="ARSA"/>
    <s v="BEREKETLİ AŞ"/>
    <s v="SATILDI"/>
    <s v="SATIŞ KAPANDI"/>
    <x v="8"/>
  </r>
  <r>
    <x v="1"/>
    <x v="6"/>
    <x v="6"/>
    <n v="406.86"/>
    <n v="111"/>
    <n v="17"/>
    <s v="ARSA"/>
    <s v="BİLAL AKTAŞ"/>
    <s v="İLAN BEKLİYOR"/>
    <s v="SATILDI/2. SATIŞTA"/>
    <x v="1"/>
  </r>
  <r>
    <x v="1"/>
    <x v="6"/>
    <x v="6"/>
    <n v="407.09"/>
    <n v="119"/>
    <n v="19"/>
    <s v="ARSA"/>
    <s v="BİLAL AKTAŞ"/>
    <s v="İLAN BEKLİYOR"/>
    <s v="SATILDI/2. SATIŞTA"/>
    <x v="1"/>
  </r>
  <r>
    <x v="3"/>
    <x v="15"/>
    <x v="25"/>
    <n v="407.09"/>
    <n v="104"/>
    <n v="3"/>
    <s v="ARSA"/>
    <s v="BEREKETLİ AŞ"/>
    <s v="SATIŞ KAPANDI"/>
    <s v="SATIŞ KAPANDI"/>
    <x v="12"/>
  </r>
  <r>
    <x v="1"/>
    <x v="1"/>
    <x v="16"/>
    <n v="507.05"/>
    <n v="105"/>
    <n v="27"/>
    <s v="ARSA"/>
    <s v="BEREKETLİ AŞ"/>
    <s v="SATILDI"/>
    <s v="SATIŞ KAPANDI"/>
    <x v="4"/>
  </r>
  <r>
    <x v="1"/>
    <x v="6"/>
    <x v="6"/>
    <n v="407.52"/>
    <n v="119"/>
    <n v="18"/>
    <s v="ARSA"/>
    <s v="BİLAL AKTAŞ"/>
    <s v="İLAN BEKLİYOR"/>
    <s v="SATILDI/2. SATIŞTA"/>
    <x v="1"/>
  </r>
  <r>
    <x v="1"/>
    <x v="6"/>
    <x v="6"/>
    <n v="407.79"/>
    <n v="119"/>
    <n v="17"/>
    <s v="ARSA"/>
    <s v="BİLAL AKTAŞ"/>
    <s v="İLAN BEKLİYOR"/>
    <s v="SATILDI/2. SATIŞTA"/>
    <x v="1"/>
  </r>
  <r>
    <x v="1"/>
    <x v="1"/>
    <x v="1"/>
    <n v="448.89"/>
    <n v="178"/>
    <n v="13"/>
    <s v="ARSA"/>
    <s v="BİLAL AKTAŞ"/>
    <s v="SATIŞ KAPANDI"/>
    <s v="SATIŞ KAPANDI"/>
    <x v="1"/>
  </r>
  <r>
    <x v="1"/>
    <x v="1"/>
    <x v="1"/>
    <n v="439.45"/>
    <n v="178"/>
    <n v="10"/>
    <s v="ARSA"/>
    <s v="BİLAL AKTAŞ"/>
    <s v="SATILDI"/>
    <s v="SATILDI/2. SATIŞTA"/>
    <x v="1"/>
  </r>
  <r>
    <x v="1"/>
    <x v="1"/>
    <x v="16"/>
    <n v="507.05"/>
    <n v="105"/>
    <n v="28"/>
    <s v="ARSA"/>
    <s v="BEREKETLİ AŞ"/>
    <s v="İLAN BEKLİYOR"/>
    <s v="SATILDI/2. SATIŞTA"/>
    <x v="4"/>
  </r>
  <r>
    <x v="1"/>
    <x v="6"/>
    <x v="6"/>
    <n v="413.58"/>
    <n v="122"/>
    <n v="28"/>
    <s v="ARSA"/>
    <s v="BİLAL AKTAŞ"/>
    <s v="İLANDA"/>
    <s v="STOKTA"/>
    <x v="1"/>
  </r>
  <r>
    <x v="1"/>
    <x v="6"/>
    <x v="6"/>
    <n v="413.6"/>
    <n v="122"/>
    <n v="27"/>
    <s v="ARSA"/>
    <s v="BİLAL AKTAŞ"/>
    <s v="İLANDA"/>
    <s v="KONSİNYE"/>
    <x v="1"/>
  </r>
  <r>
    <x v="0"/>
    <x v="0"/>
    <x v="24"/>
    <n v="415"/>
    <n v="132"/>
    <n v="4"/>
    <s v="ARSA"/>
    <s v="BİLAL AKTAŞ"/>
    <s v="SATIŞ KAPANDI"/>
    <s v="SATIŞ KAPANDI"/>
    <x v="12"/>
  </r>
  <r>
    <x v="1"/>
    <x v="1"/>
    <x v="1"/>
    <n v="465.56"/>
    <n v="178"/>
    <n v="14"/>
    <s v="ARSA"/>
    <s v="BİLAL AKTAŞ"/>
    <s v="İLANDA"/>
    <s v="SATILDI/2. SATIŞTA"/>
    <x v="1"/>
  </r>
  <r>
    <x v="1"/>
    <x v="6"/>
    <x v="6"/>
    <n v="415.65"/>
    <n v="116"/>
    <n v="23"/>
    <s v="ARSA"/>
    <s v="BİLAL AKTAŞ"/>
    <s v="İLAN BEKLİYOR"/>
    <s v="SATILDI/2. SATIŞTA"/>
    <x v="1"/>
  </r>
  <r>
    <x v="1"/>
    <x v="6"/>
    <x v="6"/>
    <n v="417.69"/>
    <n v="122"/>
    <n v="16"/>
    <s v="ARSA"/>
    <s v="BİLAL AKTAŞ"/>
    <s v="İLANDA"/>
    <s v="STOKTA"/>
    <x v="1"/>
  </r>
  <r>
    <x v="1"/>
    <x v="1"/>
    <x v="1"/>
    <n v="630.29999999999995"/>
    <n v="179"/>
    <n v="3"/>
    <s v="ARSA"/>
    <s v="BİLAL AKTAŞ"/>
    <s v="SATIŞ KAPANDI"/>
    <s v="SATIŞ KAPANDI"/>
    <x v="1"/>
  </r>
  <r>
    <x v="1"/>
    <x v="6"/>
    <x v="6"/>
    <n v="421.63"/>
    <n v="122"/>
    <n v="25"/>
    <s v="ARSA"/>
    <s v="BİLAL AKTAŞ"/>
    <s v="İLANDA"/>
    <s v="KONSİNYE"/>
    <x v="1"/>
  </r>
  <r>
    <x v="1"/>
    <x v="6"/>
    <x v="18"/>
    <n v="559.9"/>
    <n v="104"/>
    <n v="5"/>
    <s v="ARSA"/>
    <s v="BEREKETLİ AŞ"/>
    <s v="SATIŞ KAPANDI"/>
    <s v="SATIŞ KAPANDI"/>
    <x v="8"/>
  </r>
  <r>
    <x v="1"/>
    <x v="6"/>
    <x v="18"/>
    <n v="559.91999999999996"/>
    <n v="104"/>
    <n v="6"/>
    <s v="ARSA"/>
    <s v="BEREKETLİ AŞ"/>
    <s v="SATIŞ KAPANDI"/>
    <s v="SATIŞ KAPANDI"/>
    <x v="8"/>
  </r>
  <r>
    <x v="1"/>
    <x v="6"/>
    <x v="6"/>
    <n v="421.64"/>
    <n v="122"/>
    <n v="24"/>
    <s v="ARSA"/>
    <s v="BİLAL AKTAŞ"/>
    <s v="İLANDA"/>
    <s v="KONSİNYE"/>
    <x v="1"/>
  </r>
  <r>
    <x v="1"/>
    <x v="6"/>
    <x v="18"/>
    <n v="548.89"/>
    <n v="104"/>
    <n v="15"/>
    <s v="ARSA"/>
    <s v="BEREKETLİ AŞ"/>
    <s v="SATIŞ KAPANDI"/>
    <s v="SATIŞ KAPANDI"/>
    <x v="8"/>
  </r>
  <r>
    <x v="1"/>
    <x v="1"/>
    <x v="16"/>
    <n v="521.04"/>
    <n v="105"/>
    <n v="32"/>
    <s v="ARSA"/>
    <s v="MÜŞTERİ YERİ"/>
    <s v="SATIŞ KAPANDI"/>
    <s v="SATIŞ KAPANDI"/>
    <x v="4"/>
  </r>
  <r>
    <x v="1"/>
    <x v="6"/>
    <x v="18"/>
    <n v="548.78"/>
    <n v="104"/>
    <n v="16"/>
    <s v="ARSA"/>
    <s v="BEREKETLİ AŞ"/>
    <s v="SATIŞ KAPANDI"/>
    <s v="SATIŞ KAPANDI"/>
    <x v="8"/>
  </r>
  <r>
    <x v="1"/>
    <x v="1"/>
    <x v="16"/>
    <n v="317.75"/>
    <n v="105"/>
    <n v="33"/>
    <s v="ARSA"/>
    <s v="MÜŞTERİ YERİ"/>
    <s v="SATIŞ KAPANDI"/>
    <s v="SATIŞ KAPANDI"/>
    <x v="4"/>
  </r>
  <r>
    <x v="1"/>
    <x v="1"/>
    <x v="1"/>
    <n v="465.71"/>
    <n v="157"/>
    <n v="6"/>
    <s v="ARSA"/>
    <s v="BİLAL AKTAŞ"/>
    <s v="İLAN BEKLİYOR"/>
    <s v="SATILDI/2. SATIŞTA"/>
    <x v="1"/>
  </r>
  <r>
    <x v="1"/>
    <x v="6"/>
    <x v="6"/>
    <n v="423.76"/>
    <n v="121"/>
    <n v="12"/>
    <s v="ARSA"/>
    <s v="BİLAL AKTAŞ"/>
    <s v="İLAN BEKLİYOR"/>
    <s v="STOKTA"/>
    <x v="1"/>
  </r>
  <r>
    <x v="1"/>
    <x v="6"/>
    <x v="6"/>
    <n v="423.79"/>
    <n v="121"/>
    <n v="11"/>
    <s v="ARSA"/>
    <s v="BİLAL AKTAŞ"/>
    <s v="İLAN BEKLİYOR"/>
    <s v="STOKTA"/>
    <x v="1"/>
  </r>
  <r>
    <x v="0"/>
    <x v="0"/>
    <x v="24"/>
    <n v="425"/>
    <n v="102"/>
    <n v="3"/>
    <s v="ARSA"/>
    <s v="BİLAL AKTAŞ"/>
    <s v="İLAN BEKLİYOR"/>
    <s v="SATILDI/2. SATIŞTA"/>
    <x v="12"/>
  </r>
  <r>
    <x v="1"/>
    <x v="1"/>
    <x v="16"/>
    <n v="429.83"/>
    <n v="105"/>
    <n v="38"/>
    <s v="ARSA"/>
    <s v="MÜŞTERİ YERİ"/>
    <s v="SATIŞ KAPANDI"/>
    <s v="SATIŞ KAPANDI"/>
    <x v="4"/>
  </r>
  <r>
    <x v="1"/>
    <x v="7"/>
    <x v="10"/>
    <n v="244.43"/>
    <n v="11633"/>
    <n v="11"/>
    <s v="ARSA"/>
    <s v="BİLAL AKTAŞ"/>
    <s v="SATIŞ KAPANDI"/>
    <s v="SATIŞ KAPANDI"/>
    <x v="5"/>
  </r>
  <r>
    <x v="1"/>
    <x v="1"/>
    <x v="16"/>
    <n v="429.83"/>
    <n v="105"/>
    <n v="39"/>
    <s v="ARSA"/>
    <s v="MÜŞTERİ YERİ"/>
    <s v="SATIŞ KAPANDI"/>
    <s v="SATIŞ KAPANDI"/>
    <x v="4"/>
  </r>
  <r>
    <x v="0"/>
    <x v="0"/>
    <x v="0"/>
    <n v="430"/>
    <n v="236"/>
    <n v="5"/>
    <s v="ARSA"/>
    <s v="BİLAL AKTAŞ"/>
    <s v="İLAN BEKLİYOR"/>
    <s v="SATILDI/2. SATIŞTA"/>
    <x v="12"/>
  </r>
  <r>
    <x v="7"/>
    <x v="16"/>
    <x v="26"/>
    <n v="437.6"/>
    <n v="155"/>
    <n v="8"/>
    <s v="ARSA"/>
    <s v="BİLAL AKTAŞ"/>
    <s v="İLANDA"/>
    <s v="SATILDI/2. SATIŞTA"/>
    <x v="13"/>
  </r>
  <r>
    <x v="7"/>
    <x v="16"/>
    <x v="27"/>
    <n v="438.12"/>
    <n v="101"/>
    <n v="2"/>
    <s v="ARSA"/>
    <s v="BEREKETLİ AŞ"/>
    <s v="İLANDA"/>
    <s v="STOKTA/İPOTEKLİ"/>
    <x v="2"/>
  </r>
  <r>
    <x v="1"/>
    <x v="1"/>
    <x v="1"/>
    <n v="480"/>
    <n v="157"/>
    <n v="4"/>
    <s v="ARSA"/>
    <s v="BİLAL AKTAŞ"/>
    <s v="İLANDA"/>
    <s v="SATILDI/2. SATIŞTA"/>
    <x v="1"/>
  </r>
  <r>
    <x v="7"/>
    <x v="16"/>
    <x v="26"/>
    <n v="444.86"/>
    <n v="150"/>
    <n v="10"/>
    <s v="ARSA"/>
    <s v="BİLAL AKTAŞ"/>
    <s v="İLAN BEKLİYOR"/>
    <s v="SATILDI/2. SATIŞTA"/>
    <x v="13"/>
  </r>
  <r>
    <x v="0"/>
    <x v="17"/>
    <x v="28"/>
    <n v="448"/>
    <n v="0"/>
    <n v="972"/>
    <s v="ARSA"/>
    <s v="BİLAL AKTAŞ"/>
    <s v="İLAN BEKLİYOR"/>
    <s v="SATILDI/2. SATIŞTA"/>
    <x v="1"/>
  </r>
  <r>
    <x v="0"/>
    <x v="0"/>
    <x v="24"/>
    <n v="453"/>
    <n v="102"/>
    <n v="2"/>
    <s v="ARSA"/>
    <s v="BİLAL AKTAŞ"/>
    <s v="İLANDA"/>
    <s v="SATILDI/2. SATIŞTA"/>
    <x v="12"/>
  </r>
  <r>
    <x v="1"/>
    <x v="1"/>
    <x v="16"/>
    <n v="257.87"/>
    <n v="104"/>
    <n v="11"/>
    <s v="ARSA"/>
    <s v="MÜŞTERİ YERİ"/>
    <s v="İLAN BEKLİYOR"/>
    <s v="SATILDI/2. SATIŞTA"/>
    <x v="4"/>
  </r>
  <r>
    <x v="1"/>
    <x v="1"/>
    <x v="16"/>
    <n v="289.69"/>
    <n v="104"/>
    <n v="9"/>
    <s v="ARSA"/>
    <s v="MÜŞTERİ YERİ"/>
    <s v="İLAN BEKLİYOR"/>
    <s v="SATILDI/2. SATIŞTA"/>
    <x v="4"/>
  </r>
  <r>
    <x v="1"/>
    <x v="3"/>
    <x v="3"/>
    <n v="337.93"/>
    <n v="110"/>
    <n v="7"/>
    <s v="ARSA"/>
    <s v="BEREKETLİ AŞ"/>
    <s v="SATIŞ KAPANDI"/>
    <s v="SATIŞ KAPANDI"/>
    <x v="3"/>
  </r>
  <r>
    <x v="1"/>
    <x v="3"/>
    <x v="3"/>
    <n v="362.33"/>
    <n v="110"/>
    <n v="18"/>
    <s v="ARSA"/>
    <s v="BEREKETLİ AŞ"/>
    <s v="SATIŞ KAPANDI"/>
    <s v="SATIŞ KAPANDI"/>
    <x v="3"/>
  </r>
  <r>
    <x v="1"/>
    <x v="3"/>
    <x v="3"/>
    <n v="364"/>
    <n v="110"/>
    <n v="17"/>
    <s v="ARSA"/>
    <s v="BEREKETLİ AŞ"/>
    <s v="SATIŞ KAPANDI"/>
    <s v="SATIŞ KAPANDI"/>
    <x v="3"/>
  </r>
  <r>
    <x v="1"/>
    <x v="3"/>
    <x v="3"/>
    <n v="368"/>
    <n v="110"/>
    <n v="15"/>
    <s v="ARSA"/>
    <s v="BEREKETLİ AŞ"/>
    <s v="SATIŞ KAPANDI"/>
    <s v="SATIŞ KAPANDI"/>
    <x v="3"/>
  </r>
  <r>
    <x v="1"/>
    <x v="1"/>
    <x v="1"/>
    <n v="749.19"/>
    <n v="180"/>
    <n v="2"/>
    <s v="ARSA"/>
    <s v="BİLAL AKTAŞ"/>
    <s v="SATIŞ KAPANDI"/>
    <s v="SATIŞ KAPANDI"/>
    <x v="1"/>
  </r>
  <r>
    <x v="1"/>
    <x v="1"/>
    <x v="16"/>
    <n v="365.44"/>
    <n v="104"/>
    <n v="8"/>
    <s v="ARSA"/>
    <s v="MÜŞTERİ YERİ"/>
    <s v="İLAN BEKLİYOR"/>
    <s v="SATILDI/2. SATIŞTA"/>
    <x v="4"/>
  </r>
  <r>
    <x v="1"/>
    <x v="6"/>
    <x v="6"/>
    <n v="453.39"/>
    <n v="117"/>
    <n v="26"/>
    <s v="ARSA"/>
    <s v="BİLAL AKTAŞ"/>
    <s v="İLAN BEKLİYOR"/>
    <s v="SATILDI/2. SATIŞTA"/>
    <x v="1"/>
  </r>
  <r>
    <x v="1"/>
    <x v="1"/>
    <x v="16"/>
    <n v="294.54000000000002"/>
    <n v="104"/>
    <n v="7"/>
    <s v="ARSA"/>
    <s v="MÜŞTERİ YERİ"/>
    <s v="SATIŞ KAPANDI"/>
    <s v="SATIŞ KAPANDI"/>
    <x v="4"/>
  </r>
  <r>
    <x v="1"/>
    <x v="1"/>
    <x v="16"/>
    <n v="491.32"/>
    <n v="104"/>
    <n v="1"/>
    <s v="ARSA"/>
    <s v="BT META"/>
    <s v="SATIŞ KAPANDI"/>
    <s v="SATIŞ KAPANDI"/>
    <x v="4"/>
  </r>
  <r>
    <x v="1"/>
    <x v="1"/>
    <x v="16"/>
    <n v="289.7"/>
    <n v="104"/>
    <n v="10"/>
    <s v="ARSA"/>
    <s v="MÜŞTERİ YERİ"/>
    <s v="SATIŞ KAPANDI"/>
    <s v="SATIŞ KAPANDI"/>
    <x v="4"/>
  </r>
  <r>
    <x v="1"/>
    <x v="1"/>
    <x v="16"/>
    <n v="659.98"/>
    <n v="104"/>
    <n v="3"/>
    <s v="ARSA"/>
    <s v="BT META"/>
    <s v="SATIŞ KAPANDI"/>
    <s v="SATIŞ KAPANDI"/>
    <x v="4"/>
  </r>
  <r>
    <x v="1"/>
    <x v="1"/>
    <x v="23"/>
    <n v="1559.97"/>
    <n v="0"/>
    <n v="2460"/>
    <s v="ARSA"/>
    <s v="DORTAGE AŞ"/>
    <s v="SATIŞ KAPANDI"/>
    <s v="SATIŞ KAPANDI"/>
    <x v="12"/>
  </r>
  <r>
    <x v="1"/>
    <x v="1"/>
    <x v="16"/>
    <n v="655.34"/>
    <n v="104"/>
    <n v="2"/>
    <s v="ARSA"/>
    <s v="BT META"/>
    <s v="SATIŞ KAPANDI"/>
    <s v="SATIŞ KAPANDI"/>
    <x v="4"/>
  </r>
  <r>
    <x v="1"/>
    <x v="1"/>
    <x v="16"/>
    <n v="486.59"/>
    <n v="104"/>
    <n v="12"/>
    <s v="ARSA"/>
    <s v="MÜŞTERİ YERİ"/>
    <s v="SATIŞ KAPANDI"/>
    <s v="SATIŞ KAPANDI"/>
    <x v="4"/>
  </r>
  <r>
    <x v="1"/>
    <x v="1"/>
    <x v="16"/>
    <n v="579.39"/>
    <n v="104"/>
    <n v="6"/>
    <s v="ARSA"/>
    <s v="BT META"/>
    <s v="SATIŞ KAPANDI"/>
    <s v="SATIŞ KAPANDI"/>
    <x v="4"/>
  </r>
  <r>
    <x v="1"/>
    <x v="1"/>
    <x v="16"/>
    <n v="845.16"/>
    <n v="103"/>
    <n v="15"/>
    <s v="ARSA"/>
    <s v="BEREKETLİ AŞ"/>
    <s v="SATIŞ KAPANDI"/>
    <s v="SATIŞ KAPANDI"/>
    <x v="4"/>
  </r>
  <r>
    <x v="1"/>
    <x v="6"/>
    <x v="6"/>
    <n v="391.1"/>
    <n v="122"/>
    <n v="39"/>
    <s v="ARSA"/>
    <s v="BİLAL AKTAŞ"/>
    <s v="SATIŞ KAPANDI"/>
    <s v="SATIŞ KAPANDI"/>
    <x v="1"/>
  </r>
  <r>
    <x v="1"/>
    <x v="6"/>
    <x v="6"/>
    <n v="453.53"/>
    <n v="119"/>
    <n v="16"/>
    <s v="ARSA"/>
    <s v="BİLAL AKTAŞ"/>
    <s v="İLAN BEKLİYOR"/>
    <s v="SATILDI/2. SATIŞTA"/>
    <x v="1"/>
  </r>
  <r>
    <x v="1"/>
    <x v="6"/>
    <x v="6"/>
    <n v="453.53"/>
    <n v="117"/>
    <n v="27"/>
    <s v="ARSA"/>
    <s v="BİLAL AKTAŞ"/>
    <s v="İLAN BEKLİYOR"/>
    <s v="SATILDI/2. SATIŞTA"/>
    <x v="1"/>
  </r>
  <r>
    <x v="1"/>
    <x v="6"/>
    <x v="6"/>
    <n v="453.74"/>
    <n v="117"/>
    <n v="28"/>
    <s v="ARSA"/>
    <s v="BİLAL AKTAŞ"/>
    <s v="İLAN BEKLİYOR"/>
    <s v="SATILDI/2. SATIŞTA"/>
    <x v="1"/>
  </r>
  <r>
    <x v="1"/>
    <x v="6"/>
    <x v="6"/>
    <n v="453.88"/>
    <n v="117"/>
    <n v="29"/>
    <s v="ARSA"/>
    <s v="BİLAL AKTAŞ"/>
    <s v="İLAN BEKLİYOR"/>
    <s v="SATILDI/2. SATIŞTA"/>
    <x v="1"/>
  </r>
  <r>
    <x v="1"/>
    <x v="6"/>
    <x v="6"/>
    <n v="454.13"/>
    <n v="117"/>
    <n v="20"/>
    <s v="ARSA"/>
    <s v="BİLAL AKTAŞ"/>
    <s v="İLAN BEKLİYOR"/>
    <s v="STOKTA"/>
    <x v="1"/>
  </r>
  <r>
    <x v="1"/>
    <x v="6"/>
    <x v="6"/>
    <n v="454.14"/>
    <n v="117"/>
    <n v="19"/>
    <s v="ARSA"/>
    <s v="BİLAL AKTAŞ"/>
    <s v="İLAN BEKLİYOR"/>
    <s v="STOKTA"/>
    <x v="1"/>
  </r>
  <r>
    <x v="1"/>
    <x v="3"/>
    <x v="9"/>
    <n v="454.94"/>
    <n v="251"/>
    <n v="19"/>
    <s v="ARSA"/>
    <s v="BEREKETLİ AŞ"/>
    <s v="İLAN BEKLİYOR"/>
    <s v="SATILDI/2. SATIŞTA"/>
    <x v="1"/>
  </r>
  <r>
    <x v="2"/>
    <x v="2"/>
    <x v="29"/>
    <n v="455.29"/>
    <n v="169"/>
    <n v="2"/>
    <s v="ARSA"/>
    <s v="DORTAGE AŞ"/>
    <s v="REZERVE"/>
    <s v="REZERVE"/>
    <x v="14"/>
  </r>
  <r>
    <x v="1"/>
    <x v="6"/>
    <x v="6"/>
    <n v="390.07"/>
    <n v="122"/>
    <n v="36"/>
    <s v="ARSA"/>
    <s v="BİLAL AKTAŞ"/>
    <s v="SATILDI"/>
    <s v="SATIŞ KAPANDI"/>
    <x v="1"/>
  </r>
  <r>
    <x v="1"/>
    <x v="6"/>
    <x v="6"/>
    <n v="458.32"/>
    <n v="122"/>
    <n v="29"/>
    <s v="ARSA"/>
    <s v="BİLAL AKTAŞ"/>
    <s v="REZERVE"/>
    <s v="REZERVE"/>
    <x v="1"/>
  </r>
  <r>
    <x v="1"/>
    <x v="6"/>
    <x v="6"/>
    <n v="460"/>
    <n v="118"/>
    <n v="20"/>
    <s v="ARSA"/>
    <s v="BİLAL AKTAŞ"/>
    <s v="İLAN BEKLİYOR"/>
    <s v="KONSİNYE"/>
    <x v="1"/>
  </r>
  <r>
    <x v="1"/>
    <x v="6"/>
    <x v="6"/>
    <n v="460"/>
    <n v="118"/>
    <n v="21"/>
    <s v="ARSA"/>
    <s v="BİLAL AKTAŞ"/>
    <s v="İLAN BEKLİYOR"/>
    <s v="STOKTA"/>
    <x v="1"/>
  </r>
  <r>
    <x v="1"/>
    <x v="6"/>
    <x v="6"/>
    <n v="460"/>
    <n v="118"/>
    <n v="22"/>
    <s v="ARSA"/>
    <s v="BİLAL AKTAŞ"/>
    <s v="İLAN BEKLİYOR"/>
    <s v="STOKTA"/>
    <x v="1"/>
  </r>
  <r>
    <x v="1"/>
    <x v="14"/>
    <x v="30"/>
    <n v="461.58"/>
    <n v="266"/>
    <n v="9"/>
    <s v="ARSA"/>
    <s v="BİLAL AKTAŞ"/>
    <s v="İLAN BEKLİYOR"/>
    <s v="SATILDI/2. SATIŞTA"/>
    <x v="3"/>
  </r>
  <r>
    <x v="7"/>
    <x v="16"/>
    <x v="26"/>
    <n v="429.23"/>
    <n v="149"/>
    <n v="9"/>
    <s v="ARSA"/>
    <s v="BİLAL AKTAŞ"/>
    <s v="SATIŞ KAPANDI"/>
    <s v="SATIŞ KAPANDI"/>
    <x v="13"/>
  </r>
  <r>
    <x v="1"/>
    <x v="6"/>
    <x v="6"/>
    <n v="454.23"/>
    <n v="117"/>
    <n v="21"/>
    <s v="ARSA"/>
    <s v="BİLAL AKTAŞ"/>
    <s v="SATIŞ KAPANDI"/>
    <s v="SATIŞ KAPANDI"/>
    <x v="1"/>
  </r>
  <r>
    <x v="5"/>
    <x v="13"/>
    <x v="20"/>
    <n v="464"/>
    <n v="0"/>
    <n v="829"/>
    <s v="ARSA"/>
    <s v="BEREKETLİ AŞ"/>
    <s v="İLANDA"/>
    <s v="SATILDI/2. SATIŞTA"/>
    <x v="11"/>
  </r>
  <r>
    <x v="1"/>
    <x v="6"/>
    <x v="6"/>
    <n v="421.64"/>
    <n v="122"/>
    <n v="23"/>
    <s v="ARSA"/>
    <s v="BİLAL AKTAŞ"/>
    <s v="SATIŞ KAPANDI"/>
    <s v="SATIŞ KAPANDI"/>
    <x v="1"/>
  </r>
  <r>
    <x v="1"/>
    <x v="7"/>
    <x v="8"/>
    <n v="462.45"/>
    <n v="12481"/>
    <n v="9"/>
    <s v="ARSA"/>
    <s v="BİLAL AKTAŞ"/>
    <s v="SATILDI"/>
    <s v="SATIŞ KAPANDI"/>
    <x v="6"/>
  </r>
  <r>
    <x v="1"/>
    <x v="1"/>
    <x v="31"/>
    <n v="752"/>
    <n v="170"/>
    <n v="17"/>
    <m/>
    <s v="BEREKETLİ AŞ"/>
    <s v="SATIŞ KAPANDI"/>
    <s v="SATIŞ KAPANDI"/>
    <x v="6"/>
  </r>
  <r>
    <x v="1"/>
    <x v="6"/>
    <x v="6"/>
    <n v="464.95"/>
    <n v="116"/>
    <n v="17"/>
    <s v="ARSA"/>
    <s v="BİLAL AKTAŞ"/>
    <s v="İLAN BEKLİYOR"/>
    <s v="SATILDI/2. SATIŞTA"/>
    <x v="1"/>
  </r>
  <r>
    <x v="5"/>
    <x v="13"/>
    <x v="20"/>
    <n v="490"/>
    <n v="0"/>
    <n v="838"/>
    <s v="ARSA"/>
    <s v="BEREKETLİ AŞ"/>
    <s v="SATIŞ KAPANDI"/>
    <s v="SATIŞ KAPANDI"/>
    <x v="11"/>
  </r>
  <r>
    <x v="1"/>
    <x v="7"/>
    <x v="8"/>
    <n v="290"/>
    <n v="14236"/>
    <n v="8"/>
    <s v="ARSA"/>
    <s v="BİLAL AKTAŞ"/>
    <s v="SATILDI"/>
    <s v="SATILDI/2. SATIŞTA"/>
    <x v="5"/>
  </r>
  <r>
    <x v="1"/>
    <x v="6"/>
    <x v="6"/>
    <n v="464.99"/>
    <n v="116"/>
    <n v="15"/>
    <s v="ARSA"/>
    <s v="BİLAL AKTAŞ"/>
    <s v="İLAN BEKLİYOR"/>
    <s v="SATILDI/2. SATIŞTA"/>
    <x v="1"/>
  </r>
  <r>
    <x v="1"/>
    <x v="6"/>
    <x v="6"/>
    <n v="465.01"/>
    <n v="116"/>
    <n v="16"/>
    <s v="ARSA"/>
    <s v="BİLAL AKTAŞ"/>
    <s v="İLAN BEKLİYOR"/>
    <s v="SATILDI/2. SATIŞTA"/>
    <x v="1"/>
  </r>
  <r>
    <x v="1"/>
    <x v="1"/>
    <x v="1"/>
    <n v="484"/>
    <n v="157"/>
    <n v="5"/>
    <s v="ARSA"/>
    <s v="BİLAL AKTAŞ"/>
    <s v="İLAN BEKLİYOR"/>
    <s v="SATILDI/2. SATIŞTA"/>
    <x v="1"/>
  </r>
  <r>
    <x v="1"/>
    <x v="1"/>
    <x v="16"/>
    <s v=" "/>
    <n v="103"/>
    <n v="30"/>
    <s v="ARSA"/>
    <s v="BEREKETLİ AŞ"/>
    <s v="SATIŞ KAPANDI"/>
    <s v="SATIŞ KAPANDI"/>
    <x v="6"/>
  </r>
  <r>
    <x v="1"/>
    <x v="1"/>
    <x v="1"/>
    <n v="613.58000000000004"/>
    <n v="179"/>
    <n v="2"/>
    <s v="ARSA"/>
    <s v="BİLAL AKTAŞ"/>
    <s v="İLAN BEKLİYOR"/>
    <s v="SATILDI/2. SATIŞTA"/>
    <x v="1"/>
  </r>
  <r>
    <x v="1"/>
    <x v="1"/>
    <x v="16"/>
    <n v="511.2"/>
    <n v="103"/>
    <n v="31"/>
    <s v="ARSA"/>
    <s v="BEREKETLİ AŞ"/>
    <s v="SATILDI"/>
    <s v="SATILDI/2. SATIŞTA"/>
    <x v="4"/>
  </r>
  <r>
    <x v="2"/>
    <x v="2"/>
    <x v="29"/>
    <n v="473.93"/>
    <n v="172"/>
    <n v="10"/>
    <s v="ARSA"/>
    <s v="DORTAGE AŞ"/>
    <s v="İLAN BEKLİYOR"/>
    <s v="STOKTA"/>
    <x v="15"/>
  </r>
  <r>
    <x v="1"/>
    <x v="1"/>
    <x v="32"/>
    <n v="599"/>
    <n v="0"/>
    <n v="2615"/>
    <s v="ARSA"/>
    <s v="BEREKETLİ"/>
    <s v="SATIŞ KAPANDI"/>
    <s v="SATIŞ KAPANDI"/>
    <x v="6"/>
  </r>
  <r>
    <x v="1"/>
    <x v="6"/>
    <x v="6"/>
    <n v="474.48"/>
    <n v="116"/>
    <n v="27"/>
    <s v="ARSA"/>
    <s v="BİLAL AKTAŞ"/>
    <s v="İLAN BEKLİYOR"/>
    <s v="SATILDI/2. SATIŞTA"/>
    <x v="1"/>
  </r>
  <r>
    <x v="0"/>
    <x v="0"/>
    <x v="24"/>
    <n v="475"/>
    <n v="102"/>
    <n v="1"/>
    <s v="ARSA"/>
    <s v="BİLAL AKTAŞ"/>
    <s v="SATIŞ KAPANDI"/>
    <s v="SATIŞ KAPANDI"/>
    <x v="12"/>
  </r>
  <r>
    <x v="2"/>
    <x v="2"/>
    <x v="29"/>
    <n v="475.88"/>
    <n v="172"/>
    <n v="1"/>
    <s v="ARSA"/>
    <s v="DORTAGE AŞ"/>
    <s v="REZERVE"/>
    <s v="REZERVE"/>
    <x v="15"/>
  </r>
  <r>
    <x v="8"/>
    <x v="18"/>
    <x v="13"/>
    <n v="810.6"/>
    <n v="102"/>
    <n v="4"/>
    <s v="ARSA"/>
    <s v="BEREKETLİ AŞ"/>
    <s v="SATILDI"/>
    <s v="SATIŞ KAPANDI"/>
    <x v="16"/>
  </r>
  <r>
    <x v="8"/>
    <x v="18"/>
    <x v="13"/>
    <n v="870.54"/>
    <n v="103"/>
    <n v="1"/>
    <s v="ARSA"/>
    <s v="BEREKETLİ AŞ"/>
    <s v="SATILDI"/>
    <s v="SATIŞ KAPANDI"/>
    <x v="16"/>
  </r>
  <r>
    <x v="1"/>
    <x v="1"/>
    <x v="16"/>
    <n v="511.2"/>
    <n v="103"/>
    <n v="32"/>
    <s v="ARSA"/>
    <s v="BEREKETLİ AŞ"/>
    <s v="SATILDI"/>
    <s v="SATILDI/2. SATIŞTA"/>
    <x v="4"/>
  </r>
  <r>
    <x v="2"/>
    <x v="2"/>
    <x v="29"/>
    <n v="475.9"/>
    <n v="172"/>
    <n v="8"/>
    <s v="ARSA"/>
    <s v="DORTAGE AŞ"/>
    <s v="İLAN BEKLİYOR"/>
    <s v="STOKTA"/>
    <x v="15"/>
  </r>
  <r>
    <x v="2"/>
    <x v="2"/>
    <x v="29"/>
    <n v="476.08"/>
    <n v="172"/>
    <n v="9"/>
    <s v="ARSA"/>
    <s v="DORTAGE AŞ"/>
    <s v="İLAN BEKLİYOR"/>
    <s v="STOKTA"/>
    <x v="15"/>
  </r>
  <r>
    <x v="2"/>
    <x v="2"/>
    <x v="29"/>
    <n v="476.46"/>
    <n v="172"/>
    <n v="7"/>
    <s v="ARSA"/>
    <s v="DORTAGE AŞ"/>
    <s v="REZERVE"/>
    <s v="REZERVE"/>
    <x v="15"/>
  </r>
  <r>
    <x v="1"/>
    <x v="6"/>
    <x v="6"/>
    <n v="476.68"/>
    <n v="116"/>
    <n v="26"/>
    <s v="ARSA"/>
    <s v="BİLAL AKTAŞ"/>
    <s v="İLAN BEKLİYOR"/>
    <s v="SATILDI/2. SATIŞTA"/>
    <x v="1"/>
  </r>
  <r>
    <x v="1"/>
    <x v="1"/>
    <x v="16"/>
    <n v="505.18"/>
    <n v="103"/>
    <n v="36"/>
    <s v="ARSA"/>
    <s v="BEREKETLİ AŞ"/>
    <s v="İLAN BEKLİYOR"/>
    <s v="SATILDI/2. SATIŞTA"/>
    <x v="4"/>
  </r>
  <r>
    <x v="1"/>
    <x v="1"/>
    <x v="16"/>
    <n v="505.18"/>
    <n v="103"/>
    <n v="37"/>
    <s v="ARSA"/>
    <s v="BEREKETLİ AŞ"/>
    <s v="İLAN BEKLİYOR"/>
    <s v="SATILDI/2. SATIŞTA"/>
    <x v="4"/>
  </r>
  <r>
    <x v="2"/>
    <x v="2"/>
    <x v="29"/>
    <n v="477.21"/>
    <n v="172"/>
    <n v="4"/>
    <s v="ARSA"/>
    <s v="DORTAGE AŞ"/>
    <s v="İLAN BEKLİYOR"/>
    <s v="STOKTA"/>
    <x v="15"/>
  </r>
  <r>
    <x v="1"/>
    <x v="1"/>
    <x v="1"/>
    <n v="754.4"/>
    <n v="181"/>
    <n v="3"/>
    <s v="ARSA"/>
    <s v="BİLAL AKTAŞ"/>
    <s v="SATIŞ KAPANDI"/>
    <s v="SATIŞ KAPANDI"/>
    <x v="1"/>
  </r>
  <r>
    <x v="1"/>
    <x v="7"/>
    <x v="8"/>
    <n v="439.86"/>
    <n v="12481"/>
    <n v="8"/>
    <s v="ARSA"/>
    <s v="BİLAL AKTAŞ"/>
    <s v="SATILDI"/>
    <s v="SATIŞ KAPANDI"/>
    <x v="6"/>
  </r>
  <r>
    <x v="2"/>
    <x v="2"/>
    <x v="29"/>
    <n v="477.7"/>
    <n v="172"/>
    <n v="3"/>
    <s v="ARSA"/>
    <s v="DORTAGE AŞ"/>
    <s v="İLAN BEKLİYOR"/>
    <s v="STOKTA"/>
    <x v="15"/>
  </r>
  <r>
    <x v="1"/>
    <x v="7"/>
    <x v="8"/>
    <n v="320"/>
    <n v="14236"/>
    <n v="21"/>
    <s v="ARSA"/>
    <s v="BİLAL AKTAŞ"/>
    <s v="SATIŞ KAPANDI"/>
    <s v="SATIŞ KAPANDI"/>
    <x v="6"/>
  </r>
  <r>
    <x v="1"/>
    <x v="1"/>
    <x v="16"/>
    <n v="505.18"/>
    <n v="103"/>
    <n v="38"/>
    <s v="ARSA"/>
    <s v="BEREKETLİ AŞ"/>
    <s v="SATIŞ KAPANDI"/>
    <s v="SATIŞ KAPANDI"/>
    <x v="4"/>
  </r>
  <r>
    <x v="7"/>
    <x v="16"/>
    <x v="26"/>
    <n v="477.95"/>
    <n v="149"/>
    <n v="10"/>
    <s v="ARSA"/>
    <s v="BİLAL AKTAŞ"/>
    <s v="İLANDA"/>
    <s v="SATILDI/2. SATIŞTA"/>
    <x v="13"/>
  </r>
  <r>
    <x v="2"/>
    <x v="2"/>
    <x v="29"/>
    <n v="478.32"/>
    <n v="172"/>
    <n v="2"/>
    <s v="ARSA"/>
    <s v="DORTAGE AŞ"/>
    <s v="REZERVE"/>
    <s v="REZERVE"/>
    <x v="15"/>
  </r>
  <r>
    <x v="0"/>
    <x v="8"/>
    <x v="12"/>
    <n v="374.32"/>
    <n v="104"/>
    <n v="3"/>
    <s v="ARSA"/>
    <s v="BİLAL AKTAŞ"/>
    <s v="SATILDI"/>
    <s v="SATIŞ KAPANDI"/>
    <x v="8"/>
  </r>
  <r>
    <x v="1"/>
    <x v="6"/>
    <x v="6"/>
    <n v="478.86"/>
    <n v="116"/>
    <n v="25"/>
    <s v="ARSA"/>
    <s v="BİLAL AKTAŞ"/>
    <s v="İLAN BEKLİYOR"/>
    <s v="SATILDI/2. SATIŞTA"/>
    <x v="1"/>
  </r>
  <r>
    <x v="1"/>
    <x v="1"/>
    <x v="16"/>
    <n v="479.2"/>
    <n v="103"/>
    <n v="39"/>
    <s v="ARSA"/>
    <s v="BEREKETLİ AŞ"/>
    <s v="SATIŞ KAPANDI"/>
    <s v="STOKTA/İPOTEKLİ"/>
    <x v="4"/>
  </r>
  <r>
    <x v="2"/>
    <x v="2"/>
    <x v="29"/>
    <n v="479.21"/>
    <n v="172"/>
    <n v="6"/>
    <s v="ARSA"/>
    <s v="DORTAGE AŞ"/>
    <s v="REZERVE"/>
    <s v="REZERVE"/>
    <x v="15"/>
  </r>
  <r>
    <x v="1"/>
    <x v="1"/>
    <x v="1"/>
    <n v="755.88"/>
    <n v="168"/>
    <n v="4"/>
    <s v="ARSA"/>
    <s v="BİLAL AKTAŞ"/>
    <s v="İLAN BEKLİYOR"/>
    <s v="SATILDI/2. SATIŞTA"/>
    <x v="1"/>
  </r>
  <r>
    <x v="3"/>
    <x v="4"/>
    <x v="4"/>
    <n v="266.89999999999998"/>
    <n v="316"/>
    <n v="35"/>
    <s v="ARSA"/>
    <s v="BEREKETLİ AŞ"/>
    <s v="SATIŞ KAPANDI"/>
    <s v="SATIŞ KAPANDI"/>
    <x v="0"/>
  </r>
  <r>
    <x v="3"/>
    <x v="4"/>
    <x v="4"/>
    <n v="338.96"/>
    <n v="314"/>
    <n v="8"/>
    <s v="ARSA"/>
    <s v="BEREKETLİ AŞ"/>
    <s v="SATIŞ KAPANDI"/>
    <s v="SATIŞ KAPANDI"/>
    <x v="0"/>
  </r>
  <r>
    <x v="3"/>
    <x v="4"/>
    <x v="4"/>
    <n v="271.23"/>
    <n v="316"/>
    <n v="12"/>
    <s v="ARSA"/>
    <s v="BEREKETLİ AŞ"/>
    <s v="SATIŞ KAPANDI"/>
    <s v="SATIŞ KAPANDI"/>
    <x v="0"/>
  </r>
  <r>
    <x v="1"/>
    <x v="1"/>
    <x v="1"/>
    <n v="776.77"/>
    <n v="181"/>
    <n v="11"/>
    <s v="ARSA"/>
    <s v="BİLAL AKTAŞ"/>
    <s v="SATIŞ KAPANDI"/>
    <s v="SATIŞ KAPANDI"/>
    <x v="1"/>
  </r>
  <r>
    <x v="1"/>
    <x v="6"/>
    <x v="6"/>
    <n v="481.05"/>
    <n v="116"/>
    <n v="24"/>
    <s v="ARSA"/>
    <s v="BİLAL AKTAŞ"/>
    <s v="İLAN BEKLİYOR"/>
    <s v="SATILDI/2. SATIŞTA"/>
    <x v="1"/>
  </r>
  <r>
    <x v="1"/>
    <x v="1"/>
    <x v="1"/>
    <n v="371.44"/>
    <n v="167"/>
    <n v="16"/>
    <s v="ARSA"/>
    <s v="BİLAL AKTAŞ"/>
    <s v="İLAN BEKLİYOR"/>
    <s v="SATIŞ KAPANDI"/>
    <x v="1"/>
  </r>
  <r>
    <x v="1"/>
    <x v="1"/>
    <x v="1"/>
    <n v="741.7"/>
    <n v="181"/>
    <n v="7"/>
    <s v="ARSA"/>
    <s v="BİLAL AKTAŞ"/>
    <s v="SATIŞ KAPANDI"/>
    <s v="SATIŞ KAPANDI"/>
    <x v="1"/>
  </r>
  <r>
    <x v="0"/>
    <x v="17"/>
    <x v="28"/>
    <n v="488"/>
    <n v="0"/>
    <n v="971"/>
    <s v="ARSA"/>
    <s v="BİLAL AKTAŞ"/>
    <s v="İLANDA"/>
    <s v="STOKTA"/>
    <x v="1"/>
  </r>
  <r>
    <x v="3"/>
    <x v="4"/>
    <x v="4"/>
    <n v="271.5"/>
    <n v="316"/>
    <n v="13"/>
    <s v="ARSA"/>
    <s v="BEREKETLİ AŞ"/>
    <s v="SATIŞ KAPANDI"/>
    <s v="SATIŞ KAPANDI"/>
    <x v="0"/>
  </r>
  <r>
    <x v="3"/>
    <x v="4"/>
    <x v="4"/>
    <n v="271.76"/>
    <n v="316"/>
    <n v="14"/>
    <s v="ARSA"/>
    <s v="BEREKETLİ AŞ"/>
    <s v="SATIŞ KAPANDI"/>
    <s v="SATIŞ KAPANDI"/>
    <x v="0"/>
  </r>
  <r>
    <x v="3"/>
    <x v="4"/>
    <x v="4"/>
    <n v="272.35000000000002"/>
    <n v="316"/>
    <n v="16"/>
    <s v="ARSA"/>
    <s v="BEREKETLİ AŞ"/>
    <s v="SATIŞ KAPANDI"/>
    <s v="SATIŞ KAPANDI"/>
    <x v="0"/>
  </r>
  <r>
    <x v="3"/>
    <x v="4"/>
    <x v="4"/>
    <n v="258.87"/>
    <n v="316"/>
    <n v="17"/>
    <s v="ARSA"/>
    <s v="BEREKETLİ AŞ"/>
    <s v="SATIŞ KAPANDI"/>
    <s v="SATIŞ KAPANDI"/>
    <x v="0"/>
  </r>
  <r>
    <x v="3"/>
    <x v="4"/>
    <x v="4"/>
    <n v="270.54000000000002"/>
    <n v="316"/>
    <n v="26"/>
    <s v="ARSA"/>
    <s v="BEREKETLİ AŞ"/>
    <s v="SATIŞ KAPANDI"/>
    <s v="SATIŞ KAPANDI"/>
    <x v="0"/>
  </r>
  <r>
    <x v="9"/>
    <x v="19"/>
    <x v="33"/>
    <n v="267"/>
    <n v="176"/>
    <n v="121"/>
    <s v="ARSA"/>
    <s v="BEREKETLİ AŞ"/>
    <s v="SATILDI"/>
    <s v="SATIŞ KAPANDI"/>
    <x v="6"/>
  </r>
  <r>
    <x v="7"/>
    <x v="16"/>
    <x v="27"/>
    <n v="437.58"/>
    <n v="103"/>
    <n v="1"/>
    <s v="ARSA"/>
    <s v="BİLAL AKTAŞ"/>
    <s v="SATIŞ KAPANDI"/>
    <s v="SATIŞ KAPANDI"/>
    <x v="2"/>
  </r>
  <r>
    <x v="1"/>
    <x v="7"/>
    <x v="34"/>
    <n v="489.34"/>
    <n v="140"/>
    <n v="1"/>
    <s v="ARSA"/>
    <s v="BEREKETLİ AŞ"/>
    <s v="İLAN BEKLİYOR"/>
    <s v="SATILDI/2. SATIŞTA"/>
    <x v="1"/>
  </r>
  <r>
    <x v="0"/>
    <x v="8"/>
    <x v="12"/>
    <n v="350"/>
    <n v="103"/>
    <n v="2"/>
    <s v="ARSA"/>
    <s v="BİLAL AKTAŞ"/>
    <s v="SATIŞ KAPANDI"/>
    <s v="SATIŞ KAPANDI"/>
    <x v="8"/>
  </r>
  <r>
    <x v="1"/>
    <x v="1"/>
    <x v="16"/>
    <n v="494.9"/>
    <n v="109"/>
    <n v="4"/>
    <s v="ARSA"/>
    <s v="MÜŞTERİ YERİ"/>
    <s v="İLAN BEKLİYOR"/>
    <s v="SATILDI/2. SATIŞTA"/>
    <x v="4"/>
  </r>
  <r>
    <x v="7"/>
    <x v="16"/>
    <x v="27"/>
    <n v="438.52"/>
    <n v="103"/>
    <n v="7"/>
    <s v="ARSA"/>
    <s v="BİLAL AKTAŞ"/>
    <s v="SATIŞ KAPANDI"/>
    <s v="SATIŞ KAPANDI"/>
    <x v="2"/>
  </r>
  <r>
    <x v="1"/>
    <x v="7"/>
    <x v="8"/>
    <n v="330"/>
    <n v="12492"/>
    <n v="8"/>
    <s v="ARSA"/>
    <s v="BİLAL AKTAŞ"/>
    <s v="İLAN BEKLİYOR"/>
    <s v="SATILDI/2. SATIŞTA"/>
    <x v="5"/>
  </r>
  <r>
    <x v="1"/>
    <x v="1"/>
    <x v="16"/>
    <n v="497.62"/>
    <n v="103"/>
    <n v="72"/>
    <s v="ARSA"/>
    <s v="BEREKETLİ AŞ"/>
    <s v="STOKTA"/>
    <s v="STOKTA"/>
    <x v="4"/>
  </r>
  <r>
    <x v="0"/>
    <x v="0"/>
    <x v="0"/>
    <n v="499"/>
    <n v="214"/>
    <n v="11"/>
    <s v="ARSA"/>
    <s v="BİLAL AKTAŞ"/>
    <s v="İLANDA"/>
    <s v="SATILDI/2. SATIŞTA"/>
    <x v="12"/>
  </r>
  <r>
    <x v="5"/>
    <x v="13"/>
    <x v="20"/>
    <n v="504"/>
    <n v="0"/>
    <n v="821"/>
    <s v="ARSA"/>
    <s v="BEREKETLİ AŞ"/>
    <s v="İLANDA"/>
    <s v="SATILDI/2. SATIŞTA"/>
    <x v="11"/>
  </r>
  <r>
    <x v="1"/>
    <x v="1"/>
    <x v="16"/>
    <n v="505.18"/>
    <n v="103"/>
    <n v="34"/>
    <s v="ARSA"/>
    <s v="BEREKETLİ AŞ"/>
    <s v="İLAN BEKLİYOR"/>
    <s v="SATILDI/2. SATIŞTA"/>
    <x v="4"/>
  </r>
  <r>
    <x v="1"/>
    <x v="1"/>
    <x v="16"/>
    <n v="505.18"/>
    <n v="103"/>
    <n v="35"/>
    <s v="ARSA"/>
    <s v="BEREKETLİ AŞ"/>
    <s v="İLAN BEKLİYOR"/>
    <s v="SATILDI/2. SATIŞTA"/>
    <x v="4"/>
  </r>
  <r>
    <x v="5"/>
    <x v="20"/>
    <x v="35"/>
    <n v="276.64"/>
    <n v="229"/>
    <n v="15"/>
    <s v="ARSA"/>
    <s v="BİLAL AKTAŞ"/>
    <s v="SATILDI"/>
    <s v="SATIŞ KAPANDI"/>
    <x v="6"/>
  </r>
  <r>
    <x v="1"/>
    <x v="7"/>
    <x v="21"/>
    <n v="461.08"/>
    <n v="180"/>
    <n v="14"/>
    <s v="ARSA"/>
    <s v="BİLAL AKTAŞ"/>
    <s v="SATIŞ KAPANDI"/>
    <s v="SATIŞ KAPANDI"/>
    <x v="12"/>
  </r>
  <r>
    <x v="0"/>
    <x v="0"/>
    <x v="0"/>
    <n v="413"/>
    <n v="205"/>
    <n v="8"/>
    <s v="ARSA"/>
    <s v="BİLAL AKTAŞ"/>
    <s v="SATIŞ KAPANDI"/>
    <s v="SATIŞ KAPANDI"/>
    <x v="12"/>
  </r>
  <r>
    <x v="1"/>
    <x v="7"/>
    <x v="8"/>
    <n v="388.1"/>
    <n v="12486"/>
    <n v="11"/>
    <s v="ARSA"/>
    <s v="BİLAL AKTAŞ"/>
    <s v="SATILDI"/>
    <s v="SATILDI/2. SATIŞTA"/>
    <x v="5"/>
  </r>
  <r>
    <x v="1"/>
    <x v="1"/>
    <x v="16"/>
    <n v="505.78"/>
    <n v="103"/>
    <n v="62"/>
    <s v="ARSA"/>
    <s v="BEREKETLİ AŞ"/>
    <s v="SATIŞ KAPANDI"/>
    <s v="STOKTA/İPOTEKLİ"/>
    <x v="4"/>
  </r>
  <r>
    <x v="1"/>
    <x v="1"/>
    <x v="16"/>
    <n v="505.79"/>
    <n v="103"/>
    <n v="63"/>
    <s v="ARSA"/>
    <s v="BEREKETLİ AŞ"/>
    <s v="SATIŞ KAPANDI"/>
    <s v="STOKTA/İPOTEKLİ"/>
    <x v="4"/>
  </r>
  <r>
    <x v="1"/>
    <x v="1"/>
    <x v="16"/>
    <n v="505.79"/>
    <n v="103"/>
    <n v="66"/>
    <s v="ARSA"/>
    <s v="BEREKETLİ AŞ"/>
    <s v="İLAN BEKLİYOR"/>
    <s v="STOKTA"/>
    <x v="4"/>
  </r>
  <r>
    <x v="1"/>
    <x v="1"/>
    <x v="16"/>
    <n v="507.05"/>
    <n v="105"/>
    <n v="29"/>
    <s v="ARSA"/>
    <s v="BEREKETLİ AŞ"/>
    <s v="İLAN BEKLİYOR"/>
    <s v="SATILDI/2. SATIŞTA"/>
    <x v="4"/>
  </r>
  <r>
    <x v="1"/>
    <x v="1"/>
    <x v="16"/>
    <n v="507.05"/>
    <n v="105"/>
    <n v="30"/>
    <s v="ARSA"/>
    <s v="BEREKETLİ AŞ"/>
    <s v="İLAN BEKLİYOR"/>
    <s v="SATILDI/2. SATIŞTA"/>
    <x v="4"/>
  </r>
  <r>
    <x v="1"/>
    <x v="7"/>
    <x v="8"/>
    <n v="447"/>
    <n v="12492"/>
    <n v="12"/>
    <s v="ARSA"/>
    <s v="BİLAL AKTAŞ"/>
    <s v="İLAN BEKLİYOR"/>
    <s v="SATILDI/2. SATIŞTA"/>
    <x v="5"/>
  </r>
  <r>
    <x v="1"/>
    <x v="1"/>
    <x v="16"/>
    <n v="504.45"/>
    <n v="103"/>
    <n v="42"/>
    <s v="ARSA"/>
    <s v="BEREKETLİ AŞ"/>
    <s v="SATILDI"/>
    <s v="SATILDI/2. SATIŞTA"/>
    <x v="4"/>
  </r>
  <r>
    <x v="1"/>
    <x v="1"/>
    <x v="16"/>
    <n v="504.46"/>
    <n v="103"/>
    <n v="43"/>
    <s v="ARSA"/>
    <s v="BEREKETLİ AŞ"/>
    <s v="SATILDI"/>
    <s v="SATIŞ KAPANDI"/>
    <x v="4"/>
  </r>
  <r>
    <x v="1"/>
    <x v="1"/>
    <x v="16"/>
    <n v="507.08"/>
    <n v="105"/>
    <n v="31"/>
    <s v="ARSA"/>
    <s v="BEREKETLİ AŞ"/>
    <s v="İLAN BEKLİYOR"/>
    <s v="SATILDI/2. SATIŞTA"/>
    <x v="4"/>
  </r>
  <r>
    <x v="1"/>
    <x v="1"/>
    <x v="23"/>
    <n v="1560.28"/>
    <n v="0"/>
    <n v="2461"/>
    <s v="ARSA"/>
    <s v="DORTAGE AŞ"/>
    <s v="SATIŞ KAPANDI"/>
    <s v="SATIŞ KAPANDI"/>
    <x v="12"/>
  </r>
  <r>
    <x v="1"/>
    <x v="1"/>
    <x v="16"/>
    <n v="507.76"/>
    <n v="103"/>
    <n v="50"/>
    <s v="ARSA"/>
    <s v="BEREKETLİ AŞ"/>
    <s v="İLAN BEKLİYOR"/>
    <s v="SATILDI/2. SATIŞTA"/>
    <x v="4"/>
  </r>
  <r>
    <x v="1"/>
    <x v="1"/>
    <x v="16"/>
    <n v="507.77"/>
    <n v="103"/>
    <n v="54"/>
    <s v="ARSA"/>
    <s v="BEREKETLİ AŞ"/>
    <s v="STOKTA"/>
    <s v="STOKTA/İPOTEKLİ"/>
    <x v="4"/>
  </r>
  <r>
    <x v="1"/>
    <x v="1"/>
    <x v="16"/>
    <n v="507.78"/>
    <n v="103"/>
    <n v="52"/>
    <s v="ARSA"/>
    <s v="BEREKETLİ AŞ"/>
    <s v="İLAN BEKLİYOR"/>
    <s v="SATILDI/2. SATIŞTA"/>
    <x v="4"/>
  </r>
  <r>
    <x v="1"/>
    <x v="1"/>
    <x v="16"/>
    <n v="507.78"/>
    <n v="103"/>
    <n v="53"/>
    <s v="ARSA"/>
    <s v="BEREKETLİ AŞ"/>
    <s v="STOKTA"/>
    <s v="STOKTA/İPOTEKLİ"/>
    <x v="4"/>
  </r>
  <r>
    <x v="1"/>
    <x v="7"/>
    <x v="36"/>
    <n v="509.17"/>
    <n v="139"/>
    <n v="5"/>
    <s v="ARSA"/>
    <e v="#N/A"/>
    <s v="İLANDA"/>
    <s v="STOKTA"/>
    <x v="11"/>
  </r>
  <r>
    <x v="1"/>
    <x v="6"/>
    <x v="18"/>
    <n v="566.69000000000005"/>
    <n v="106"/>
    <n v="4"/>
    <s v="ARSA"/>
    <s v="BT META"/>
    <s v="SATIŞ KAPANDI"/>
    <s v="SATIŞ KAPANDI"/>
    <x v="8"/>
  </r>
  <r>
    <x v="1"/>
    <x v="7"/>
    <x v="37"/>
    <n v="499.86"/>
    <n v="121"/>
    <n v="5"/>
    <s v="ARSA"/>
    <s v="BİLAL AKTAŞ"/>
    <s v="SATIŞ KAPANDI"/>
    <s v="SATIŞ KAPANDI"/>
    <x v="6"/>
  </r>
  <r>
    <x v="0"/>
    <x v="8"/>
    <x v="12"/>
    <n v="414.87"/>
    <n v="102"/>
    <n v="2"/>
    <s v="ARSA"/>
    <s v="BİLAL AKTAŞ"/>
    <s v="SATIŞ KAPANDI"/>
    <s v="SATIŞ KAPANDI"/>
    <x v="8"/>
  </r>
  <r>
    <x v="0"/>
    <x v="8"/>
    <x v="12"/>
    <n v="369.48"/>
    <n v="104"/>
    <n v="2"/>
    <s v="ARSA"/>
    <s v="BİLAL AKTAŞ"/>
    <s v="SATIŞ KAPANDI"/>
    <s v="SATIŞ KAPANDI"/>
    <x v="8"/>
  </r>
  <r>
    <x v="1"/>
    <x v="7"/>
    <x v="34"/>
    <n v="442.94"/>
    <n v="127"/>
    <n v="9"/>
    <s v="ARSA"/>
    <s v="BİLAL AKTAŞ"/>
    <s v="SATIŞ KAPANDI"/>
    <s v="SATIŞ KAPANDI"/>
    <x v="1"/>
  </r>
  <r>
    <x v="1"/>
    <x v="7"/>
    <x v="34"/>
    <n v="442.06"/>
    <n v="127"/>
    <n v="10"/>
    <s v="ARSA"/>
    <s v="BİLAL AKTAŞ"/>
    <s v="SATIŞ KAPANDI"/>
    <s v="SATIŞ KAPANDI"/>
    <x v="1"/>
  </r>
  <r>
    <x v="1"/>
    <x v="7"/>
    <x v="34"/>
    <n v="979.58"/>
    <n v="132"/>
    <n v="1"/>
    <s v="ARSA"/>
    <s v="BİLAL AKTAŞ"/>
    <s v="SATIŞ KAPANDI"/>
    <s v="SATIŞ KAPANDI"/>
    <x v="1"/>
  </r>
  <r>
    <x v="1"/>
    <x v="7"/>
    <x v="34"/>
    <n v="1225.3"/>
    <n v="134"/>
    <n v="1"/>
    <s v="ARSA"/>
    <s v="BİLAL AKTAŞ"/>
    <s v="SATIŞ KAPANDI"/>
    <s v="SATIŞ KAPANDI"/>
    <x v="1"/>
  </r>
  <r>
    <x v="1"/>
    <x v="7"/>
    <x v="34"/>
    <n v="984.65"/>
    <n v="134"/>
    <n v="6"/>
    <s v="ARSA"/>
    <s v="BİLAL AKTAŞ"/>
    <s v="SATIŞ KAPANDI"/>
    <s v="SATIŞ KAPANDI"/>
    <x v="1"/>
  </r>
  <r>
    <x v="1"/>
    <x v="7"/>
    <x v="34"/>
    <n v="1040.5"/>
    <n v="134"/>
    <n v="7"/>
    <s v="ARSA"/>
    <s v="BİLAL AKTAŞ"/>
    <s v="SATIŞ KAPANDI"/>
    <s v="SATIŞ KAPANDI"/>
    <x v="1"/>
  </r>
  <r>
    <x v="1"/>
    <x v="7"/>
    <x v="34"/>
    <n v="928.38"/>
    <n v="134"/>
    <n v="8"/>
    <s v="ARSA"/>
    <s v="BİLAL AKTAŞ"/>
    <s v="SATIŞ KAPANDI"/>
    <s v="SATIŞ KAPANDI"/>
    <x v="1"/>
  </r>
  <r>
    <x v="1"/>
    <x v="7"/>
    <x v="34"/>
    <n v="1058.3900000000001"/>
    <n v="134"/>
    <n v="9"/>
    <s v="ARSA"/>
    <s v="BİLAL AKTAŞ"/>
    <s v="SATIŞ KAPANDI"/>
    <s v="SATIŞ KAPANDI"/>
    <x v="1"/>
  </r>
  <r>
    <x v="1"/>
    <x v="1"/>
    <x v="16"/>
    <n v="511.2"/>
    <n v="103"/>
    <n v="28"/>
    <s v="ARSA"/>
    <s v="BEREKETLİ AŞ"/>
    <s v="SATILDI"/>
    <s v="SATIŞ KAPANDI"/>
    <x v="4"/>
  </r>
  <r>
    <x v="1"/>
    <x v="1"/>
    <x v="16"/>
    <n v="511.2"/>
    <n v="103"/>
    <n v="29"/>
    <s v="ARSA"/>
    <s v="BEREKETLİ AŞ"/>
    <s v="İLAN BEKLİYOR"/>
    <s v="REZERVE"/>
    <x v="4"/>
  </r>
  <r>
    <x v="5"/>
    <x v="13"/>
    <x v="20"/>
    <n v="515"/>
    <n v="0"/>
    <n v="818"/>
    <s v="ARSA"/>
    <s v="BEREKETLİ AŞ"/>
    <s v="SATIŞ KAPANDI"/>
    <s v="SATILDI/2. SATIŞTA"/>
    <x v="11"/>
  </r>
  <r>
    <x v="3"/>
    <x v="4"/>
    <x v="4"/>
    <n v="226.82"/>
    <n v="314"/>
    <n v="6"/>
    <s v="ARSA"/>
    <s v="BEREKETLİ AŞ"/>
    <s v="SATIŞ KAPANDI"/>
    <s v="SATIŞ KAPANDI"/>
    <x v="0"/>
  </r>
  <r>
    <x v="0"/>
    <x v="17"/>
    <x v="28"/>
    <n v="518"/>
    <n v="0"/>
    <n v="970"/>
    <s v="ARSA"/>
    <s v="BİLAL AKTAŞ"/>
    <s v="İLAN BEKLİYOR"/>
    <s v="SATILDI/2. SATIŞTA"/>
    <x v="1"/>
  </r>
  <r>
    <x v="1"/>
    <x v="14"/>
    <x v="30"/>
    <n v="527.88"/>
    <n v="266"/>
    <n v="8"/>
    <s v="ARSA"/>
    <s v="BİLAL AKTAŞ"/>
    <s v="İLANDA"/>
    <s v="STOKTA"/>
    <x v="3"/>
  </r>
  <r>
    <x v="3"/>
    <x v="4"/>
    <x v="4"/>
    <n v="258.11"/>
    <n v="314"/>
    <n v="14"/>
    <s v="ARSA"/>
    <s v="BEREKETLİ AŞ"/>
    <s v="SATIŞ KAPANDI"/>
    <s v="SATIŞ KAPANDI"/>
    <x v="0"/>
  </r>
  <r>
    <x v="3"/>
    <x v="4"/>
    <x v="4"/>
    <n v="269.33"/>
    <n v="316"/>
    <n v="29"/>
    <s v="ARSA"/>
    <s v="BEREKETLİ AŞ"/>
    <s v="SATIŞ KAPANDI"/>
    <s v="SATIŞ KAPANDI"/>
    <x v="0"/>
  </r>
  <r>
    <x v="3"/>
    <x v="4"/>
    <x v="4"/>
    <n v="268.52"/>
    <n v="316"/>
    <n v="31"/>
    <s v="ARSA"/>
    <s v="BEREKETLİ AŞ"/>
    <s v="SATIŞ KAPANDI"/>
    <s v="SATIŞ KAPANDI"/>
    <x v="0"/>
  </r>
  <r>
    <x v="3"/>
    <x v="4"/>
    <x v="4"/>
    <n v="268.11"/>
    <n v="316"/>
    <n v="32"/>
    <s v="ARSA"/>
    <s v="BEREKETLİ AŞ"/>
    <s v="SATIŞ KAPANDI"/>
    <s v="SATIŞ KAPANDI"/>
    <x v="0"/>
  </r>
  <r>
    <x v="3"/>
    <x v="4"/>
    <x v="4"/>
    <n v="267.70999999999998"/>
    <n v="316"/>
    <n v="33"/>
    <s v="ARSA"/>
    <s v="BEREKETLİ AŞ"/>
    <s v="SATIŞ KAPANDI"/>
    <s v="SATIŞ KAPANDI"/>
    <x v="0"/>
  </r>
  <r>
    <x v="3"/>
    <x v="4"/>
    <x v="4"/>
    <n v="267.3"/>
    <n v="316"/>
    <n v="34"/>
    <s v="ARSA"/>
    <s v="BEREKETLİ AŞ"/>
    <s v="SATIŞ KAPANDI"/>
    <s v="SATIŞ KAPANDI"/>
    <x v="0"/>
  </r>
  <r>
    <x v="1"/>
    <x v="7"/>
    <x v="34"/>
    <n v="529"/>
    <n v="135"/>
    <n v="12"/>
    <s v="ARSA"/>
    <s v="BİLAL AKTAŞ"/>
    <s v="İLAN BEKLİYOR"/>
    <s v="STOKTA"/>
    <x v="1"/>
  </r>
  <r>
    <x v="3"/>
    <x v="4"/>
    <x v="4"/>
    <n v="268.92"/>
    <n v="316"/>
    <n v="30"/>
    <s v="ARSA"/>
    <s v="BEREKETLİ AŞ"/>
    <s v="SATIŞ KAPANDI"/>
    <s v="SATIŞ KAPANDI"/>
    <x v="0"/>
  </r>
  <r>
    <x v="3"/>
    <x v="4"/>
    <x v="4"/>
    <n v="351.37"/>
    <n v="314"/>
    <n v="9"/>
    <s v="ARSA"/>
    <s v="BEREKETLİ AŞ"/>
    <s v="SATIŞ KAPANDI"/>
    <s v="SATIŞ KAPANDI"/>
    <x v="0"/>
  </r>
  <r>
    <x v="9"/>
    <x v="19"/>
    <x v="33"/>
    <n v="267"/>
    <n v="176"/>
    <n v="116"/>
    <s v="ARSA"/>
    <s v="BEREKETLİ AŞ"/>
    <s v="SATIŞ KAPANDI"/>
    <s v="SATIŞ KAPANDI"/>
    <x v="6"/>
  </r>
  <r>
    <x v="9"/>
    <x v="19"/>
    <x v="33"/>
    <n v="259"/>
    <n v="176"/>
    <n v="117"/>
    <s v="ARSA"/>
    <s v="BEREKETLİ AŞ"/>
    <s v="SATIŞ KAPANDI"/>
    <s v="SATIŞ KAPANDI"/>
    <x v="6"/>
  </r>
  <r>
    <x v="9"/>
    <x v="19"/>
    <x v="33"/>
    <n v="261"/>
    <n v="176"/>
    <n v="119"/>
    <s v="ARSA"/>
    <s v="BEREKETLİ AŞ"/>
    <s v="SATIŞ KAPANDI"/>
    <s v="SATIŞ KAPANDI"/>
    <x v="6"/>
  </r>
  <r>
    <x v="9"/>
    <x v="19"/>
    <x v="33"/>
    <n v="264"/>
    <n v="176"/>
    <n v="120"/>
    <s v="ARSA"/>
    <s v="BEREKETLİ AŞ"/>
    <s v="SATIŞ KAPANDI"/>
    <s v="SATIŞ KAPANDI"/>
    <x v="6"/>
  </r>
  <r>
    <x v="9"/>
    <x v="19"/>
    <x v="33"/>
    <n v="273"/>
    <n v="176"/>
    <n v="137"/>
    <s v="ARSA"/>
    <s v="BEREKETLİ AŞ"/>
    <s v="SATIŞ KAPANDI"/>
    <s v="SATIŞ KAPANDI"/>
    <x v="6"/>
  </r>
  <r>
    <x v="9"/>
    <x v="19"/>
    <x v="33"/>
    <n v="271"/>
    <n v="176"/>
    <n v="138"/>
    <s v="ARSA"/>
    <s v="BEREKETLİ AŞ"/>
    <s v="SATIŞ KAPANDI"/>
    <s v="SATIŞ KAPANDI"/>
    <x v="6"/>
  </r>
  <r>
    <x v="9"/>
    <x v="19"/>
    <x v="33"/>
    <n v="269"/>
    <n v="176"/>
    <n v="139"/>
    <s v="ARSA"/>
    <s v="BEREKETLİ AŞ"/>
    <s v="SATIŞ KAPANDI"/>
    <s v="SATIŞ KAPANDI"/>
    <x v="6"/>
  </r>
  <r>
    <x v="9"/>
    <x v="19"/>
    <x v="33"/>
    <n v="266"/>
    <n v="176"/>
    <n v="140"/>
    <s v="ARSA"/>
    <s v="BEREKETLİ AŞ"/>
    <s v="SATIŞ KAPANDI"/>
    <s v="SATIŞ KAPANDI"/>
    <x v="6"/>
  </r>
  <r>
    <x v="9"/>
    <x v="19"/>
    <x v="33"/>
    <n v="264"/>
    <n v="176"/>
    <n v="141"/>
    <s v="ARSA"/>
    <s v="BEREKETLİ AŞ"/>
    <s v="SATIŞ KAPANDI"/>
    <s v="SATIŞ KAPANDI"/>
    <x v="6"/>
  </r>
  <r>
    <x v="9"/>
    <x v="19"/>
    <x v="33"/>
    <n v="262"/>
    <n v="176"/>
    <n v="142"/>
    <s v="ARSA"/>
    <s v="BEREKETLİ AŞ"/>
    <s v="SATIŞ KAPANDI"/>
    <s v="SATIŞ KAPANDI"/>
    <x v="6"/>
  </r>
  <r>
    <x v="9"/>
    <x v="19"/>
    <x v="33"/>
    <n v="257"/>
    <n v="176"/>
    <n v="143"/>
    <s v="ARSA"/>
    <s v="BEREKETLİ AŞ"/>
    <s v="SATIŞ KAPANDI"/>
    <s v="SATIŞ KAPANDI"/>
    <x v="6"/>
  </r>
  <r>
    <x v="9"/>
    <x v="19"/>
    <x v="33"/>
    <n v="253"/>
    <n v="247"/>
    <n v="2"/>
    <s v="ARSA"/>
    <s v="BEREKETLİ AŞ"/>
    <s v="SATIŞ KAPANDI"/>
    <s v="SATIŞ KAPANDI"/>
    <x v="6"/>
  </r>
  <r>
    <x v="9"/>
    <x v="19"/>
    <x v="33"/>
    <n v="255"/>
    <n v="247"/>
    <n v="3"/>
    <s v="ARSA"/>
    <s v="BEREKETLİ AŞ"/>
    <s v="SATIŞ KAPANDI"/>
    <s v="SATIŞ KAPANDI"/>
    <x v="6"/>
  </r>
  <r>
    <x v="9"/>
    <x v="19"/>
    <x v="33"/>
    <n v="257"/>
    <n v="247"/>
    <n v="4"/>
    <s v="ARSA"/>
    <s v="BEREKETLİ AŞ"/>
    <s v="SATIŞ KAPANDI"/>
    <s v="SATIŞ KAPANDI"/>
    <x v="6"/>
  </r>
  <r>
    <x v="9"/>
    <x v="19"/>
    <x v="33"/>
    <n v="259"/>
    <n v="247"/>
    <n v="5"/>
    <s v="ARSA"/>
    <s v="BEREKETLİ AŞ"/>
    <s v="SATIŞ KAPANDI"/>
    <s v="SATIŞ KAPANDI"/>
    <x v="6"/>
  </r>
  <r>
    <x v="9"/>
    <x v="19"/>
    <x v="33"/>
    <n v="256"/>
    <n v="247"/>
    <n v="6"/>
    <s v="ARSA"/>
    <s v="BEREKETLİ AŞ"/>
    <s v="SATIŞ KAPANDI"/>
    <s v="SATIŞ KAPANDI"/>
    <x v="6"/>
  </r>
  <r>
    <x v="9"/>
    <x v="19"/>
    <x v="33"/>
    <n v="254"/>
    <n v="247"/>
    <n v="14"/>
    <s v="ARSA"/>
    <s v="BEREKETLİ AŞ"/>
    <s v="SATIŞ KAPANDI"/>
    <s v="SATIŞ KAPANDI"/>
    <x v="6"/>
  </r>
  <r>
    <x v="9"/>
    <x v="19"/>
    <x v="33"/>
    <n v="252"/>
    <n v="247"/>
    <n v="15"/>
    <s v="ARSA"/>
    <s v="BEREKETLİ AŞ"/>
    <s v="SATIŞ KAPANDI"/>
    <s v="SATIŞ KAPANDI"/>
    <x v="6"/>
  </r>
  <r>
    <x v="9"/>
    <x v="19"/>
    <x v="33"/>
    <n v="249"/>
    <n v="247"/>
    <n v="16"/>
    <s v="ARSA"/>
    <s v="BEREKETLİ AŞ"/>
    <s v="SATIŞ KAPANDI"/>
    <s v="SATIŞ KAPANDI"/>
    <x v="6"/>
  </r>
  <r>
    <x v="5"/>
    <x v="13"/>
    <x v="38"/>
    <n v="490.73"/>
    <n v="588"/>
    <n v="4"/>
    <s v="ARSA"/>
    <s v="BİLAL AKTAŞ"/>
    <s v="SATIŞ KAPANDI"/>
    <s v="SATIŞ KAPANDI"/>
    <x v="6"/>
  </r>
  <r>
    <x v="1"/>
    <x v="3"/>
    <x v="9"/>
    <n v="461.05"/>
    <n v="251"/>
    <n v="17"/>
    <s v="ARSA"/>
    <s v="BEREKETLİ AŞ"/>
    <s v="SATIŞ KAPANDI"/>
    <s v="SATIŞ KAPANDI"/>
    <x v="1"/>
  </r>
  <r>
    <x v="1"/>
    <x v="3"/>
    <x v="9"/>
    <n v="417.3"/>
    <n v="124"/>
    <n v="4"/>
    <s v="ARSA"/>
    <s v="BEREKETLİ AŞ"/>
    <s v="SATIŞ KAPANDI"/>
    <s v="SATIŞ KAPANDI"/>
    <x v="1"/>
  </r>
  <r>
    <x v="1"/>
    <x v="3"/>
    <x v="9"/>
    <n v="388.07"/>
    <n v="251"/>
    <n v="18"/>
    <s v="ARSA"/>
    <s v="BEREKETLİ AŞ"/>
    <s v="SATIŞ KAPANDI"/>
    <s v="SATIŞ KAPANDI"/>
    <x v="1"/>
  </r>
  <r>
    <x v="1"/>
    <x v="14"/>
    <x v="22"/>
    <n v="542.59"/>
    <n v="165"/>
    <n v="58"/>
    <s v="ARSA"/>
    <s v="BİLAL AKTAŞ"/>
    <s v="İLANDA"/>
    <s v="SATILDI/2. SATIŞTA"/>
    <x v="1"/>
  </r>
  <r>
    <x v="1"/>
    <x v="1"/>
    <x v="39"/>
    <n v="754.23"/>
    <n v="112"/>
    <n v="1"/>
    <s v="ARSA"/>
    <s v="BT META"/>
    <s v="SATIŞ KAPANDI"/>
    <s v="SATIŞ KAPANDI"/>
    <x v="6"/>
  </r>
  <r>
    <x v="1"/>
    <x v="1"/>
    <x v="39"/>
    <n v="672.66"/>
    <n v="113"/>
    <n v="9"/>
    <s v="ARSA"/>
    <s v="BT META"/>
    <s v="SATIŞ KAPANDI"/>
    <s v="SATIŞ KAPANDI"/>
    <x v="6"/>
  </r>
  <r>
    <x v="1"/>
    <x v="1"/>
    <x v="39"/>
    <n v="704.95"/>
    <n v="116"/>
    <n v="2"/>
    <s v="ARSA"/>
    <s v="BİLAL AKTAŞ"/>
    <s v="SATIŞ KAPANDI"/>
    <s v="SATIŞ KAPANDI"/>
    <x v="6"/>
  </r>
  <r>
    <x v="1"/>
    <x v="1"/>
    <x v="16"/>
    <n v="546.97"/>
    <n v="105"/>
    <n v="35"/>
    <s v="ARSA"/>
    <s v="MÜŞTERİ YERİ"/>
    <s v="SATIŞ KAPANDI"/>
    <s v="SATIŞ KAPANDI"/>
    <x v="4"/>
  </r>
  <r>
    <x v="1"/>
    <x v="6"/>
    <x v="40"/>
    <n v="343.53"/>
    <n v="205"/>
    <n v="5"/>
    <s v="ARSA"/>
    <s v="BİLAL AKTAŞ"/>
    <s v="SATIŞ KAPANDI"/>
    <s v="SATIŞ KAPANDI"/>
    <x v="6"/>
  </r>
  <r>
    <x v="1"/>
    <x v="14"/>
    <x v="22"/>
    <n v="516"/>
    <n v="165"/>
    <n v="59"/>
    <s v="ARSA"/>
    <s v="BİLAL AKTAŞ"/>
    <s v="SATIŞ KAPANDI"/>
    <s v="SATIŞ KAPANDI"/>
    <x v="1"/>
  </r>
  <r>
    <x v="1"/>
    <x v="1"/>
    <x v="16"/>
    <n v="504.44"/>
    <n v="103"/>
    <n v="44"/>
    <s v="ARSA"/>
    <s v="BEREKETLİ AŞ"/>
    <s v="İLAN BEKLİYOR"/>
    <s v="SATILDI/2. SATIŞTA"/>
    <x v="4"/>
  </r>
  <r>
    <x v="1"/>
    <x v="1"/>
    <x v="16"/>
    <n v="504.46"/>
    <n v="103"/>
    <n v="45"/>
    <s v="ARSA"/>
    <s v="BEREKETLİ AŞ"/>
    <s v="İLAN BEKLİYOR"/>
    <s v="SATIŞ KAPANDI"/>
    <x v="4"/>
  </r>
  <r>
    <x v="5"/>
    <x v="13"/>
    <x v="20"/>
    <n v="471"/>
    <n v="0"/>
    <n v="817"/>
    <s v="ARSA"/>
    <s v="BEREKETLİ AŞ"/>
    <s v="SATILDI"/>
    <s v="SATIŞ KAPANDI"/>
    <x v="11"/>
  </r>
  <r>
    <x v="1"/>
    <x v="1"/>
    <x v="16"/>
    <n v="504.46"/>
    <n v="103"/>
    <n v="46"/>
    <s v="ARSA"/>
    <s v="BEREKETLİ AŞ"/>
    <s v="SATILDI"/>
    <s v="SATIŞ KAPANDI"/>
    <x v="4"/>
  </r>
  <r>
    <x v="1"/>
    <x v="1"/>
    <x v="16"/>
    <n v="364.12"/>
    <n v="103"/>
    <n v="47"/>
    <s v="ARSA"/>
    <s v="BEREKETLİ AŞ"/>
    <s v="SATIŞ KAPANDI"/>
    <s v="SATIŞ KAPANDI"/>
    <x v="4"/>
  </r>
  <r>
    <x v="1"/>
    <x v="1"/>
    <x v="16"/>
    <n v="364.12"/>
    <n v="103"/>
    <n v="48"/>
    <s v="ARSA"/>
    <s v="BEREKETLİ AŞ"/>
    <s v="SATILDI"/>
    <s v="SATIŞ KAPANDI"/>
    <x v="4"/>
  </r>
  <r>
    <x v="1"/>
    <x v="1"/>
    <x v="16"/>
    <n v="546.97"/>
    <n v="105"/>
    <n v="36"/>
    <s v="ARSA"/>
    <s v="MÜŞTERİ YERİ"/>
    <s v="SATIŞ KAPANDI"/>
    <s v="SATIŞ KAPANDI"/>
    <x v="4"/>
  </r>
  <r>
    <x v="1"/>
    <x v="1"/>
    <x v="16"/>
    <n v="507.78"/>
    <n v="103"/>
    <n v="51"/>
    <s v="ARSA"/>
    <s v="BEREKETLİ AŞ"/>
    <s v="SATILDI"/>
    <s v="SATIŞ KAPANDI"/>
    <x v="4"/>
  </r>
  <r>
    <x v="1"/>
    <x v="1"/>
    <x v="16"/>
    <n v="546.99"/>
    <n v="105"/>
    <n v="37"/>
    <s v="ARSA"/>
    <s v="MÜŞTERİ YERİ"/>
    <s v="SATIŞ KAPANDI"/>
    <s v="SATIŞ KAPANDI"/>
    <x v="4"/>
  </r>
  <r>
    <x v="1"/>
    <x v="6"/>
    <x v="18"/>
    <n v="548.66999999999996"/>
    <n v="104"/>
    <n v="17"/>
    <s v="ARSA"/>
    <s v="BEREKETLİ AŞ"/>
    <s v="İLAN BEKLİYOR"/>
    <s v="SATILDI/2. SATIŞTA"/>
    <x v="8"/>
  </r>
  <r>
    <x v="1"/>
    <x v="6"/>
    <x v="18"/>
    <n v="549.04"/>
    <n v="104"/>
    <n v="14"/>
    <s v="ARSA"/>
    <s v="BEREKETLİ AŞ"/>
    <s v="İLAN BEKLİYOR"/>
    <s v="SATILDI/2. SATIŞTA"/>
    <x v="8"/>
  </r>
  <r>
    <x v="1"/>
    <x v="1"/>
    <x v="16"/>
    <n v="498.78"/>
    <n v="103"/>
    <n v="56"/>
    <s v="ARSA"/>
    <s v="BEREKETLİ AŞ"/>
    <s v="SATIŞ KAPANDI"/>
    <s v="SATIŞ KAPANDI"/>
    <x v="4"/>
  </r>
  <r>
    <x v="1"/>
    <x v="1"/>
    <x v="16"/>
    <n v="498.78"/>
    <n v="103"/>
    <n v="57"/>
    <s v="ARSA"/>
    <s v="BEREKETLİ AŞ"/>
    <s v="İLAN BEKLİYOR"/>
    <s v="SATILDI/2. SATIŞTA"/>
    <x v="4"/>
  </r>
  <r>
    <x v="1"/>
    <x v="1"/>
    <x v="16"/>
    <n v="498.78"/>
    <n v="103"/>
    <n v="58"/>
    <s v="ARSA"/>
    <s v="BEREKETLİ AŞ"/>
    <s v="SATIŞ KAPANDI"/>
    <s v="SATIŞ KAPANDI"/>
    <x v="4"/>
  </r>
  <r>
    <x v="1"/>
    <x v="1"/>
    <x v="16"/>
    <n v="498.78"/>
    <n v="103"/>
    <n v="59"/>
    <s v="ARSA"/>
    <s v="BEREKETLİ AŞ"/>
    <s v="SATIŞ KAPANDI"/>
    <s v="SATIŞ KAPANDI"/>
    <x v="4"/>
  </r>
  <r>
    <x v="8"/>
    <x v="18"/>
    <x v="13"/>
    <n v="653.33000000000004"/>
    <n v="102"/>
    <n v="7"/>
    <s v="ARSA"/>
    <s v="BEREKETLİ AŞ"/>
    <s v="SATIŞ KAPANDI"/>
    <s v="SATIŞ KAPANDI"/>
    <x v="16"/>
  </r>
  <r>
    <x v="1"/>
    <x v="1"/>
    <x v="16"/>
    <n v="498.78"/>
    <n v="103"/>
    <n v="59"/>
    <s v="ARSA"/>
    <s v="BEREKETLİ AŞ"/>
    <s v="SATIŞ KAPANDI"/>
    <s v="SATIŞ KAPANDI"/>
    <x v="4"/>
  </r>
  <r>
    <x v="1"/>
    <x v="1"/>
    <x v="16"/>
    <n v="498"/>
    <n v="103"/>
    <n v="60"/>
    <s v="ARSA"/>
    <s v="BEREKETLİ AŞ"/>
    <s v="SATIŞ KAPANDI"/>
    <s v="SATIŞ KAPANDI"/>
    <x v="4"/>
  </r>
  <r>
    <x v="1"/>
    <x v="6"/>
    <x v="18"/>
    <n v="549.12"/>
    <n v="104"/>
    <n v="13"/>
    <s v="ARSA"/>
    <s v="BEREKETLİ AŞ"/>
    <s v="İLAN BEKLİYOR"/>
    <s v="KONSİNYE"/>
    <x v="8"/>
  </r>
  <r>
    <x v="1"/>
    <x v="6"/>
    <x v="18"/>
    <n v="549.23"/>
    <n v="104"/>
    <n v="12"/>
    <s v="ARSA"/>
    <s v="BEREKETLİ AŞ"/>
    <s v="İLAN BEKLİYOR"/>
    <s v="SATILDI/2. SATIŞTA"/>
    <x v="8"/>
  </r>
  <r>
    <x v="1"/>
    <x v="6"/>
    <x v="6"/>
    <n v="610"/>
    <n v="111"/>
    <n v="8"/>
    <s v="ARSA"/>
    <s v="BİLAL AKTAŞ"/>
    <s v="SATIŞ KAPANDI"/>
    <s v="SATIŞ KAPANDI"/>
    <x v="1"/>
  </r>
  <r>
    <x v="5"/>
    <x v="13"/>
    <x v="20"/>
    <n v="552"/>
    <n v="0"/>
    <n v="816"/>
    <s v="ARSA"/>
    <s v="BEREKETLİ AŞ"/>
    <s v="İLANDA"/>
    <s v="SATILDI/2. SATIŞTA"/>
    <x v="11"/>
  </r>
  <r>
    <x v="1"/>
    <x v="6"/>
    <x v="6"/>
    <n v="604.21"/>
    <n v="117"/>
    <n v="16"/>
    <s v="ARSA"/>
    <s v="BİLAL AKTAŞ"/>
    <s v="SATIŞ KAPANDI"/>
    <s v="SATIŞ KAPANDI"/>
    <x v="1"/>
  </r>
  <r>
    <x v="1"/>
    <x v="6"/>
    <x v="6"/>
    <n v="635.70000000000005"/>
    <n v="121"/>
    <n v="5"/>
    <s v="ARSA"/>
    <s v="BİLAL AKTAŞ"/>
    <s v="SATIŞ KAPANDI"/>
    <s v="SATIŞ KAPANDI"/>
    <x v="1"/>
  </r>
  <r>
    <x v="1"/>
    <x v="6"/>
    <x v="6"/>
    <n v="590.4"/>
    <n v="121"/>
    <n v="7"/>
    <s v="ARSA"/>
    <s v="BİLAL AKTAŞ"/>
    <s v="SATIŞ KAPANDI"/>
    <s v="SATIŞ KAPANDI"/>
    <x v="1"/>
  </r>
  <r>
    <x v="3"/>
    <x v="15"/>
    <x v="25"/>
    <n v="552.76"/>
    <n v="104"/>
    <n v="2"/>
    <s v="ARSA"/>
    <s v="BEREKETLİ AŞ"/>
    <s v="İLANDA"/>
    <s v="STOKTA"/>
    <x v="12"/>
  </r>
  <r>
    <x v="1"/>
    <x v="1"/>
    <x v="16"/>
    <n v="554.84"/>
    <n v="105"/>
    <n v="19"/>
    <s v="ARSA"/>
    <s v="MÜŞTERİ YERİ"/>
    <s v="SATIŞ KAPANDI"/>
    <s v="SATIŞ KAPANDI"/>
    <x v="4"/>
  </r>
  <r>
    <x v="1"/>
    <x v="6"/>
    <x v="6"/>
    <n v="423.45"/>
    <n v="121"/>
    <n v="13"/>
    <s v="ARSA"/>
    <s v="BİLAL AKTAŞ"/>
    <s v="SATIŞ KAPANDI"/>
    <s v="SATIŞ KAPANDI"/>
    <x v="1"/>
  </r>
  <r>
    <x v="1"/>
    <x v="6"/>
    <x v="6"/>
    <n v="363.79"/>
    <n v="121"/>
    <n v="14"/>
    <s v="ARSA"/>
    <s v="BİLAL AKTAŞ"/>
    <s v="SATIŞ KAPANDI"/>
    <s v="SATIŞ KAPANDI"/>
    <x v="1"/>
  </r>
  <r>
    <x v="1"/>
    <x v="6"/>
    <x v="6"/>
    <n v="322.19"/>
    <n v="121"/>
    <n v="15"/>
    <s v="ARSA"/>
    <s v="BİLAL AKTAŞ"/>
    <s v="SATIŞ KAPANDI"/>
    <s v="SATIŞ KAPANDI"/>
    <x v="1"/>
  </r>
  <r>
    <x v="1"/>
    <x v="7"/>
    <x v="41"/>
    <n v="1019.82"/>
    <n v="104"/>
    <n v="2"/>
    <s v="ARSA"/>
    <s v="BEREKETLİ AŞ"/>
    <s v="SATIŞ KAPANDI"/>
    <s v="SATIŞ KAPANDI"/>
    <x v="4"/>
  </r>
  <r>
    <x v="1"/>
    <x v="1"/>
    <x v="16"/>
    <n v="554.84"/>
    <n v="105"/>
    <n v="20"/>
    <s v="ARSA"/>
    <s v="MÜŞTERİ YERİ"/>
    <s v="SATIŞ KAPANDI"/>
    <s v="SATIŞ KAPANDI"/>
    <x v="4"/>
  </r>
  <r>
    <x v="1"/>
    <x v="7"/>
    <x v="42"/>
    <n v="800.05"/>
    <n v="105"/>
    <n v="9"/>
    <s v="ARSA"/>
    <s v="BEREKETLİ AŞ"/>
    <s v="SATIŞ KAPANDI"/>
    <s v="SATIŞ KAPANDI"/>
    <x v="17"/>
  </r>
  <r>
    <x v="1"/>
    <x v="7"/>
    <x v="42"/>
    <n v="789.05"/>
    <n v="105"/>
    <n v="10"/>
    <s v="ARSA"/>
    <s v="BEREKETLİ AŞ"/>
    <s v="SATIŞ KAPANDI"/>
    <s v="SATIŞ KAPANDI"/>
    <x v="17"/>
  </r>
  <r>
    <x v="1"/>
    <x v="7"/>
    <x v="42"/>
    <n v="880.26"/>
    <n v="105"/>
    <n v="12"/>
    <s v="ARSA"/>
    <s v="BEREKETLİ AŞ"/>
    <s v="SATIŞ KAPANDI"/>
    <s v="SATIŞ KAPANDI"/>
    <x v="17"/>
  </r>
  <r>
    <x v="1"/>
    <x v="7"/>
    <x v="42"/>
    <n v="839"/>
    <n v="114"/>
    <n v="8"/>
    <s v="ARSA"/>
    <s v="BİLAL AKTAŞ"/>
    <s v="SATIŞ KAPANDI"/>
    <s v="SATIŞ KAPANDI"/>
    <x v="17"/>
  </r>
  <r>
    <x v="7"/>
    <x v="16"/>
    <x v="26"/>
    <n v="477.18"/>
    <n v="149"/>
    <n v="3"/>
    <s v="ARSA"/>
    <s v="BİLAL AKTAŞ"/>
    <s v="SATIŞ KAPANDI"/>
    <s v="SATIŞ KAPANDI"/>
    <x v="13"/>
  </r>
  <r>
    <x v="7"/>
    <x v="16"/>
    <x v="26"/>
    <n v="449.97"/>
    <n v="149"/>
    <n v="5"/>
    <s v="ARSA"/>
    <s v="BİLAL AKTAŞ"/>
    <s v="SATIŞ KAPANDI"/>
    <s v="SATIŞ KAPANDI"/>
    <x v="13"/>
  </r>
  <r>
    <x v="7"/>
    <x v="16"/>
    <x v="26"/>
    <n v="437"/>
    <n v="153"/>
    <n v="2"/>
    <s v="ARSA"/>
    <s v="BİLAL AKTAŞ"/>
    <s v="SATIŞ KAPANDI"/>
    <s v="SATIŞ KAPANDI"/>
    <x v="13"/>
  </r>
  <r>
    <x v="7"/>
    <x v="16"/>
    <x v="26"/>
    <n v="442.79"/>
    <n v="155"/>
    <n v="3"/>
    <s v="ARSA"/>
    <s v="BİLAL AKTAŞ"/>
    <s v="SATIŞ KAPANDI"/>
    <s v="SATIŞ KAPANDI"/>
    <x v="13"/>
  </r>
  <r>
    <x v="7"/>
    <x v="16"/>
    <x v="26"/>
    <n v="464.42"/>
    <n v="155"/>
    <n v="4"/>
    <s v="ARSA"/>
    <s v="BİLAL AKTAŞ"/>
    <s v="SATIŞ KAPANDI"/>
    <s v="SATIŞ KAPANDI"/>
    <x v="13"/>
  </r>
  <r>
    <x v="7"/>
    <x v="16"/>
    <x v="26"/>
    <n v="479.53"/>
    <n v="155"/>
    <n v="5"/>
    <s v="ARSA"/>
    <s v="BİLAL AKTAŞ"/>
    <s v="SATIŞ KAPANDI"/>
    <s v="SATIŞ KAPANDI"/>
    <x v="13"/>
  </r>
  <r>
    <x v="1"/>
    <x v="1"/>
    <x v="16"/>
    <n v="554.85"/>
    <n v="105"/>
    <n v="21"/>
    <s v="ARSA"/>
    <s v="MÜŞTERİ YERİ"/>
    <s v="SATIŞ KAPANDI"/>
    <s v="SATIŞ KAPANDI"/>
    <x v="4"/>
  </r>
  <r>
    <x v="1"/>
    <x v="1"/>
    <x v="16"/>
    <n v="556.9"/>
    <n v="105"/>
    <n v="23"/>
    <s v="ARSA"/>
    <s v="MÜŞTERİ YERİ"/>
    <s v="SATIŞ KAPANDI"/>
    <s v="SATIŞ KAPANDI"/>
    <x v="4"/>
  </r>
  <r>
    <x v="1"/>
    <x v="1"/>
    <x v="16"/>
    <n v="556.9"/>
    <n v="105"/>
    <n v="24"/>
    <s v="ARSA"/>
    <s v="MÜŞTERİ YERİ"/>
    <s v="SATIŞ KAPANDI"/>
    <s v="SATIŞ KAPANDI"/>
    <x v="4"/>
  </r>
  <r>
    <x v="0"/>
    <x v="0"/>
    <x v="24"/>
    <n v="446"/>
    <n v="105"/>
    <n v="19"/>
    <s v="ARSA"/>
    <s v="BİLAL AKTAŞ"/>
    <s v="SATIŞ KAPANDI"/>
    <s v="SATIŞ KAPANDI"/>
    <x v="12"/>
  </r>
  <r>
    <x v="1"/>
    <x v="1"/>
    <x v="16"/>
    <n v="556.9"/>
    <n v="105"/>
    <n v="25"/>
    <s v="ARSA"/>
    <s v="MÜŞTERİ YERİ"/>
    <s v="SATIŞ KAPANDI"/>
    <s v="SATIŞ KAPANDI"/>
    <x v="4"/>
  </r>
  <r>
    <x v="0"/>
    <x v="0"/>
    <x v="0"/>
    <n v="432"/>
    <n v="236"/>
    <n v="6"/>
    <s v="ARSA"/>
    <s v="BİLAL AKTAŞ"/>
    <s v="SATIŞ KAPANDI"/>
    <s v="SATIŞ KAPANDI"/>
    <x v="12"/>
  </r>
  <r>
    <x v="0"/>
    <x v="0"/>
    <x v="0"/>
    <n v="430"/>
    <n v="205"/>
    <n v="9"/>
    <s v="ARSA"/>
    <s v="BİLAL AKTAŞ"/>
    <s v="SATIŞ KAPANDI"/>
    <s v="SATIŞ KAPANDI"/>
    <x v="12"/>
  </r>
  <r>
    <x v="0"/>
    <x v="17"/>
    <x v="43"/>
    <n v="418"/>
    <n v="234"/>
    <n v="1"/>
    <s v="ARSA"/>
    <s v="BİLAL AKTAŞ"/>
    <s v="SATIŞ KAPANDI"/>
    <s v="SATIŞ KAPANDI"/>
    <x v="6"/>
  </r>
  <r>
    <x v="0"/>
    <x v="17"/>
    <x v="43"/>
    <n v="335"/>
    <n v="234"/>
    <n v="2"/>
    <s v="ARSA"/>
    <s v="BİLAL AKTAŞ"/>
    <s v="SATIŞ KAPANDI"/>
    <s v="SATIŞ KAPANDI"/>
    <x v="6"/>
  </r>
  <r>
    <x v="1"/>
    <x v="6"/>
    <x v="44"/>
    <n v="467.94"/>
    <n v="146"/>
    <n v="6"/>
    <s v="ARSA"/>
    <s v="BİLAL AKTAŞ"/>
    <s v="SATIŞ KAPANDI"/>
    <s v="SATIŞ KAPANDI"/>
    <x v="6"/>
  </r>
  <r>
    <x v="1"/>
    <x v="7"/>
    <x v="8"/>
    <n v="291.48"/>
    <n v="12481"/>
    <n v="12"/>
    <s v="ARSA"/>
    <s v="BİLAL AKTAŞ"/>
    <s v="SATIŞ KAPANDI"/>
    <s v="SATIŞ KAPANDI"/>
    <x v="6"/>
  </r>
  <r>
    <x v="1"/>
    <x v="7"/>
    <x v="8"/>
    <n v="307.07"/>
    <n v="12481"/>
    <n v="13"/>
    <s v="ARSA"/>
    <s v="BİLAL AKTAŞ"/>
    <s v="SATIŞ KAPANDI"/>
    <s v="SATIŞ KAPANDI"/>
    <x v="6"/>
  </r>
  <r>
    <x v="1"/>
    <x v="7"/>
    <x v="8"/>
    <n v="273.02"/>
    <n v="12655"/>
    <n v="4"/>
    <s v="ARSA"/>
    <s v="BİLAL AKTAŞ"/>
    <s v="SATIŞ KAPANDI"/>
    <s v="SATIŞ KAPANDI"/>
    <x v="6"/>
  </r>
  <r>
    <x v="1"/>
    <x v="21"/>
    <x v="45"/>
    <n v="5272.68"/>
    <n v="193"/>
    <n v="485"/>
    <s v="TARLA"/>
    <s v="BİLAL AKTAŞ"/>
    <s v="SATIŞ KAPANDI"/>
    <s v="SATIŞ KAPANDI"/>
    <x v="6"/>
  </r>
  <r>
    <x v="1"/>
    <x v="10"/>
    <x v="46"/>
    <n v="804.23"/>
    <n v="156"/>
    <n v="1"/>
    <s v="ARSA"/>
    <s v="BİLAL AKTAŞ"/>
    <s v="SATIŞ KAPANDI"/>
    <s v="SATIŞ KAPANDI"/>
    <x v="6"/>
  </r>
  <r>
    <x v="1"/>
    <x v="10"/>
    <x v="46"/>
    <n v="974.58"/>
    <n v="156"/>
    <n v="2"/>
    <s v="ARSA"/>
    <s v="BİLAL AKTAŞ"/>
    <s v="SATIŞ KAPANDI"/>
    <s v="SATIŞ KAPANDI"/>
    <x v="6"/>
  </r>
  <r>
    <x v="1"/>
    <x v="1"/>
    <x v="16"/>
    <n v="505.78"/>
    <n v="103"/>
    <n v="64"/>
    <s v="ARSA"/>
    <s v="BEREKETLİ AŞ"/>
    <s v="SATILDI"/>
    <s v="SATIŞ KAPANDI"/>
    <x v="4"/>
  </r>
  <r>
    <x v="1"/>
    <x v="3"/>
    <x v="47"/>
    <n v="758.42"/>
    <n v="102"/>
    <n v="1"/>
    <s v="ARSA"/>
    <s v="BİLAL AKTAŞ"/>
    <s v="SATIŞ KAPANDI"/>
    <s v="SATIŞ KAPANDI"/>
    <x v="6"/>
  </r>
  <r>
    <x v="1"/>
    <x v="3"/>
    <x v="47"/>
    <n v="605.88"/>
    <n v="102"/>
    <n v="3"/>
    <s v="ARSA"/>
    <s v="BİLAL AKTAŞ"/>
    <s v="SATIŞ KAPANDI"/>
    <s v="SATIŞ KAPANDI"/>
    <x v="6"/>
  </r>
  <r>
    <x v="1"/>
    <x v="3"/>
    <x v="47"/>
    <n v="593.98"/>
    <n v="112"/>
    <n v="4"/>
    <s v="ARSA"/>
    <s v="BEREKETLİ AŞ"/>
    <s v="SATIŞ KAPANDI"/>
    <s v="SATIŞ KAPANDI"/>
    <x v="6"/>
  </r>
  <r>
    <x v="1"/>
    <x v="3"/>
    <x v="47"/>
    <n v="581.96"/>
    <n v="112"/>
    <n v="5"/>
    <s v="ARSA"/>
    <s v="BEREKETLİ AŞ"/>
    <s v="SATIŞ KAPANDI"/>
    <s v="SATIŞ KAPANDI"/>
    <x v="6"/>
  </r>
  <r>
    <x v="1"/>
    <x v="3"/>
    <x v="47"/>
    <n v="380.81"/>
    <n v="112"/>
    <n v="6"/>
    <s v="ARSA"/>
    <s v="BEREKETLİ AŞ"/>
    <s v="SATIŞ KAPANDI"/>
    <s v="SATIŞ KAPANDI"/>
    <x v="6"/>
  </r>
  <r>
    <x v="1"/>
    <x v="3"/>
    <x v="47"/>
    <n v="380.8"/>
    <n v="112"/>
    <n v="7"/>
    <s v="ARSA"/>
    <s v="BEREKETLİ AŞ"/>
    <s v="SATIŞ KAPANDI"/>
    <s v="SATIŞ KAPANDI"/>
    <x v="6"/>
  </r>
  <r>
    <x v="1"/>
    <x v="3"/>
    <x v="47"/>
    <n v="455.74"/>
    <n v="112"/>
    <n v="9"/>
    <s v="ARSA"/>
    <s v="BEREKETLİ AŞ"/>
    <s v="SATIŞ KAPANDI"/>
    <s v="SATIŞ KAPANDI"/>
    <x v="6"/>
  </r>
  <r>
    <x v="1"/>
    <x v="3"/>
    <x v="47"/>
    <n v="455.74"/>
    <n v="112"/>
    <n v="10"/>
    <s v="ARSA"/>
    <s v="BEREKETLİ AŞ"/>
    <s v="SATIŞ KAPANDI"/>
    <s v="SATIŞ KAPANDI"/>
    <x v="6"/>
  </r>
  <r>
    <x v="1"/>
    <x v="3"/>
    <x v="47"/>
    <n v="455.74"/>
    <n v="112"/>
    <n v="11"/>
    <s v="ARSA"/>
    <s v="BEREKETLİ AŞ"/>
    <s v="SATIŞ KAPANDI"/>
    <s v="SATIŞ KAPANDI"/>
    <x v="6"/>
  </r>
  <r>
    <x v="1"/>
    <x v="3"/>
    <x v="47"/>
    <n v="599.99"/>
    <n v="113"/>
    <n v="7"/>
    <s v="ARSA"/>
    <s v="BEREKETLİ AŞ"/>
    <s v="SATIŞ KAPANDI"/>
    <s v="SATIŞ KAPANDI"/>
    <x v="6"/>
  </r>
  <r>
    <x v="1"/>
    <x v="3"/>
    <x v="47"/>
    <n v="599.99"/>
    <n v="113"/>
    <n v="8"/>
    <s v="ARSA"/>
    <s v="BEREKETLİ AŞ"/>
    <s v="SATIŞ KAPANDI"/>
    <s v="SATIŞ KAPANDI"/>
    <x v="6"/>
  </r>
  <r>
    <x v="1"/>
    <x v="3"/>
    <x v="47"/>
    <n v="401.76"/>
    <n v="113"/>
    <n v="10"/>
    <s v="ARSA"/>
    <s v="BEREKETLİ AŞ"/>
    <s v="SATIŞ KAPANDI"/>
    <s v="SATIŞ KAPANDI"/>
    <x v="6"/>
  </r>
  <r>
    <x v="1"/>
    <x v="3"/>
    <x v="47"/>
    <n v="401.76"/>
    <n v="113"/>
    <n v="11"/>
    <s v="ARSA"/>
    <s v="BEREKETLİ AŞ"/>
    <s v="SATIŞ KAPANDI"/>
    <s v="SATIŞ KAPANDI"/>
    <x v="6"/>
  </r>
  <r>
    <x v="1"/>
    <x v="3"/>
    <x v="47"/>
    <n v="559.02"/>
    <n v="113"/>
    <n v="12"/>
    <s v="ARSA"/>
    <s v="BEREKETLİ AŞ"/>
    <s v="SATIŞ KAPANDI"/>
    <s v="SATIŞ KAPANDI"/>
    <x v="6"/>
  </r>
  <r>
    <x v="1"/>
    <x v="3"/>
    <x v="47"/>
    <n v="559.02"/>
    <n v="113"/>
    <n v="13"/>
    <s v="ARSA"/>
    <s v="BEREKETLİ AŞ"/>
    <s v="SATIŞ KAPANDI"/>
    <s v="SATIŞ KAPANDI"/>
    <x v="6"/>
  </r>
  <r>
    <x v="1"/>
    <x v="3"/>
    <x v="47"/>
    <n v="507.45"/>
    <n v="113"/>
    <n v="15"/>
    <s v="ARSA"/>
    <s v="BEREKETLİ AŞ"/>
    <s v="SATIŞ KAPANDI"/>
    <s v="SATIŞ KAPANDI"/>
    <x v="6"/>
  </r>
  <r>
    <x v="1"/>
    <x v="3"/>
    <x v="47"/>
    <n v="507.45"/>
    <n v="113"/>
    <n v="16"/>
    <s v="ARSA"/>
    <s v="BEREKETLİ AŞ"/>
    <s v="SATIŞ KAPANDI"/>
    <s v="SATIŞ KAPANDI"/>
    <x v="6"/>
  </r>
  <r>
    <x v="1"/>
    <x v="3"/>
    <x v="47"/>
    <n v="507.45"/>
    <n v="113"/>
    <n v="17"/>
    <s v="ARSA"/>
    <s v="BEREKETLİ AŞ"/>
    <s v="SATIŞ KAPANDI"/>
    <s v="SATIŞ KAPANDI"/>
    <x v="6"/>
  </r>
  <r>
    <x v="1"/>
    <x v="3"/>
    <x v="47"/>
    <n v="507.45"/>
    <n v="113"/>
    <n v="18"/>
    <s v="ARSA"/>
    <s v="BEREKETLİ AŞ"/>
    <s v="SATIŞ KAPANDI"/>
    <s v="SATIŞ KAPANDI"/>
    <x v="6"/>
  </r>
  <r>
    <x v="1"/>
    <x v="3"/>
    <x v="47"/>
    <n v="599.51"/>
    <n v="120"/>
    <n v="3"/>
    <s v="ARSA"/>
    <s v="BİLAL AKTAŞ"/>
    <s v="SATIŞ KAPANDI"/>
    <s v="SATIŞ KAPANDI"/>
    <x v="6"/>
  </r>
  <r>
    <x v="1"/>
    <x v="3"/>
    <x v="47"/>
    <n v="598.52"/>
    <n v="120"/>
    <n v="4"/>
    <s v="ARSA"/>
    <s v="BİLAL AKTAŞ"/>
    <s v="SATIŞ KAPANDI"/>
    <s v="SATIŞ KAPANDI"/>
    <x v="6"/>
  </r>
  <r>
    <x v="1"/>
    <x v="10"/>
    <x v="48"/>
    <n v="561.91"/>
    <n v="128"/>
    <n v="2"/>
    <s v="ARSA"/>
    <s v="BİLAL AKTAŞ"/>
    <s v="SATIŞ KAPANDI"/>
    <s v="SATIŞ KAPANDI"/>
    <x v="6"/>
  </r>
  <r>
    <x v="1"/>
    <x v="10"/>
    <x v="48"/>
    <n v="558.39"/>
    <n v="128"/>
    <n v="3"/>
    <s v="ARSA"/>
    <s v="BİLAL AKTAŞ"/>
    <s v="SATIŞ KAPANDI"/>
    <s v="SATIŞ KAPANDI"/>
    <x v="6"/>
  </r>
  <r>
    <x v="1"/>
    <x v="10"/>
    <x v="48"/>
    <n v="570.64"/>
    <n v="140"/>
    <n v="2"/>
    <s v="ARSA"/>
    <s v="BİLAL AKTAŞ"/>
    <s v="SATIŞ KAPANDI"/>
    <s v="SATIŞ KAPANDI"/>
    <x v="6"/>
  </r>
  <r>
    <x v="0"/>
    <x v="22"/>
    <x v="49"/>
    <n v="612.5"/>
    <n v="101"/>
    <n v="10"/>
    <s v="ARSA"/>
    <s v="BİLAL AKTAŞ"/>
    <s v="SATIŞ KAPANDI"/>
    <s v="SATIŞ KAPANDI"/>
    <x v="16"/>
  </r>
  <r>
    <x v="0"/>
    <x v="22"/>
    <x v="49"/>
    <n v="612.5"/>
    <n v="102"/>
    <n v="4"/>
    <s v="ARSA"/>
    <s v="BİLAL AKTAŞ"/>
    <s v="SATIŞ KAPANDI"/>
    <s v="SATIŞ KAPANDI"/>
    <x v="16"/>
  </r>
  <r>
    <x v="0"/>
    <x v="22"/>
    <x v="49"/>
    <n v="612.5"/>
    <n v="102"/>
    <n v="8"/>
    <s v="ARSA"/>
    <s v="BİLAL AKTAŞ"/>
    <s v="SATIŞ KAPANDI"/>
    <s v="SATIŞ KAPANDI"/>
    <x v="16"/>
  </r>
  <r>
    <x v="1"/>
    <x v="7"/>
    <x v="36"/>
    <n v="615.04999999999995"/>
    <n v="138"/>
    <n v="4"/>
    <s v="ARSA"/>
    <s v="BİLAL AKTAŞ"/>
    <s v="SATIŞ KAPANDI"/>
    <s v="SATIŞ KAPANDI"/>
    <x v="11"/>
  </r>
  <r>
    <x v="1"/>
    <x v="7"/>
    <x v="36"/>
    <n v="419.81"/>
    <n v="141"/>
    <n v="3"/>
    <s v="ARSA"/>
    <s v="BİLAL AKTAŞ"/>
    <s v="SATIŞ KAPANDI"/>
    <s v="SATIŞ KAPANDI"/>
    <x v="11"/>
  </r>
  <r>
    <x v="1"/>
    <x v="7"/>
    <x v="50"/>
    <n v="905.42"/>
    <n v="141"/>
    <n v="6"/>
    <s v="ARSA"/>
    <s v="BİLAL AKTAŞ"/>
    <s v="SATIŞ KAPANDI"/>
    <s v="SATIŞ KAPANDI"/>
    <x v="6"/>
  </r>
  <r>
    <x v="0"/>
    <x v="0"/>
    <x v="51"/>
    <n v="395"/>
    <n v="313"/>
    <n v="8"/>
    <s v="ARSA"/>
    <s v="BİLAL AKTAŞ"/>
    <s v="SATIŞ KAPANDI"/>
    <s v="SATIŞ KAPANDI"/>
    <x v="6"/>
  </r>
  <r>
    <x v="0"/>
    <x v="0"/>
    <x v="51"/>
    <n v="395"/>
    <n v="313"/>
    <n v="9"/>
    <s v="ARSA"/>
    <s v="BİLAL AKTAŞ"/>
    <s v="SATIŞ KAPANDI"/>
    <s v="SATIŞ KAPANDI"/>
    <x v="6"/>
  </r>
  <r>
    <x v="0"/>
    <x v="0"/>
    <x v="51"/>
    <n v="413"/>
    <n v="315"/>
    <n v="31"/>
    <s v="ARSA"/>
    <s v="BİLAL AKTAŞ"/>
    <s v="SATIŞ KAPANDI"/>
    <s v="SATIŞ KAPANDI"/>
    <x v="6"/>
  </r>
  <r>
    <x v="0"/>
    <x v="0"/>
    <x v="51"/>
    <n v="340"/>
    <n v="319"/>
    <n v="10"/>
    <s v="ARSA"/>
    <s v="BİLAL AKTAŞ"/>
    <s v="SATIŞ KAPANDI"/>
    <s v="SATIŞ KAPANDI"/>
    <x v="6"/>
  </r>
  <r>
    <x v="0"/>
    <x v="0"/>
    <x v="51"/>
    <n v="470"/>
    <n v="319"/>
    <n v="12"/>
    <s v="ARSA"/>
    <s v="BİLAL AKTAŞ"/>
    <s v="SATIŞ KAPANDI"/>
    <s v="SATIŞ KAPANDI"/>
    <x v="6"/>
  </r>
  <r>
    <x v="1"/>
    <x v="1"/>
    <x v="16"/>
    <n v="505.77"/>
    <n v="103"/>
    <n v="65"/>
    <s v="ARSA"/>
    <s v="BEREKETLİ AŞ"/>
    <s v="SATIŞ KAPANDI"/>
    <s v="SATIŞ KAPANDI"/>
    <x v="4"/>
  </r>
  <r>
    <x v="9"/>
    <x v="19"/>
    <x v="33"/>
    <n v="259"/>
    <n v="247"/>
    <n v="1"/>
    <s v="ARSA"/>
    <s v="BEREKETLİ AŞ"/>
    <s v="SATIŞ KAPANDI"/>
    <s v="SATIŞ KAPANDI"/>
    <x v="6"/>
  </r>
  <r>
    <x v="3"/>
    <x v="4"/>
    <x v="4"/>
    <n v="272.02"/>
    <n v="316"/>
    <n v="15"/>
    <s v="ARSA"/>
    <s v="BEREKETLİ AŞ"/>
    <s v="SATIŞ KAPANDI"/>
    <s v="SATIŞ KAPANDI"/>
    <x v="0"/>
  </r>
  <r>
    <x v="1"/>
    <x v="6"/>
    <x v="18"/>
    <n v="559.88"/>
    <n v="104"/>
    <n v="4"/>
    <s v="ARSA"/>
    <s v="BEREKETLİ AŞ"/>
    <s v="İLAN BEKLİYOR"/>
    <s v="SATILDI/2. SATIŞTA"/>
    <x v="8"/>
  </r>
  <r>
    <x v="1"/>
    <x v="1"/>
    <x v="16"/>
    <n v="497.6"/>
    <n v="103"/>
    <n v="68"/>
    <s v="ARSA"/>
    <s v="BEREKETLİ AŞ"/>
    <s v="SATILDI"/>
    <s v="SATIŞ KAPANDI"/>
    <x v="4"/>
  </r>
  <r>
    <x v="5"/>
    <x v="13"/>
    <x v="20"/>
    <n v="486"/>
    <n v="0"/>
    <n v="822"/>
    <s v="ARSA"/>
    <s v="BEREKETLİ AŞ"/>
    <s v="SATIŞ KAPANDI"/>
    <s v="SATIŞ KAPANDI"/>
    <x v="11"/>
  </r>
  <r>
    <x v="5"/>
    <x v="13"/>
    <x v="20"/>
    <n v="503"/>
    <n v="0"/>
    <n v="820"/>
    <s v="ARSA"/>
    <s v="BEREKETLİ AŞ"/>
    <s v="SATIŞ KAPANDI"/>
    <s v="SATIŞ KAPANDI"/>
    <x v="11"/>
  </r>
  <r>
    <x v="1"/>
    <x v="6"/>
    <x v="18"/>
    <n v="559.92999999999995"/>
    <n v="104"/>
    <n v="7"/>
    <s v="ARSA"/>
    <s v="BEREKETLİ AŞ"/>
    <s v="İLANDA"/>
    <s v="KONSİNYE"/>
    <x v="8"/>
  </r>
  <r>
    <x v="5"/>
    <x v="13"/>
    <x v="20"/>
    <n v="561"/>
    <n v="0"/>
    <n v="819"/>
    <s v="ARSA"/>
    <s v="BEREKETLİ AŞ"/>
    <s v="SATIŞ KAPANDI"/>
    <s v="SATIŞ KAPANDI"/>
    <x v="11"/>
  </r>
  <r>
    <x v="1"/>
    <x v="6"/>
    <x v="18"/>
    <n v="565.64"/>
    <n v="106"/>
    <n v="9"/>
    <s v="ARSA"/>
    <s v="DORTAGE"/>
    <s v="İLAN BEKLİYOR"/>
    <s v="SATILDI/2. SATIŞTA"/>
    <x v="8"/>
  </r>
  <r>
    <x v="8"/>
    <x v="18"/>
    <x v="13"/>
    <n v="735.07"/>
    <n v="113"/>
    <n v="4"/>
    <s v="ARSA"/>
    <s v="BEREKETLİ AŞ"/>
    <s v="SATIŞ KAPANDI"/>
    <s v="SATIŞ KAPANDI"/>
    <x v="16"/>
  </r>
  <r>
    <x v="8"/>
    <x v="18"/>
    <x v="13"/>
    <n v="741.62"/>
    <n v="113"/>
    <n v="7"/>
    <s v="ARSA"/>
    <s v="BEREKETLİ AŞ"/>
    <s v="SATILDI"/>
    <s v="SATIŞ KAPANDI"/>
    <x v="16"/>
  </r>
  <r>
    <x v="1"/>
    <x v="6"/>
    <x v="18"/>
    <n v="571.47"/>
    <n v="106"/>
    <n v="2"/>
    <s v="ARSA"/>
    <s v="DORTAGE"/>
    <s v="İLANDA"/>
    <s v="STOKTA"/>
    <x v="8"/>
  </r>
  <r>
    <x v="7"/>
    <x v="16"/>
    <x v="27"/>
    <n v="437.28"/>
    <n v="103"/>
    <n v="2"/>
    <s v="ARSA"/>
    <s v="BİLAL AKTAŞ"/>
    <s v="SATIŞ KAPANDI"/>
    <s v="SATIŞ KAPANDI"/>
    <x v="2"/>
  </r>
  <r>
    <x v="1"/>
    <x v="6"/>
    <x v="6"/>
    <n v="572.51"/>
    <n v="116"/>
    <n v="18"/>
    <s v="ARSA"/>
    <s v="BİLAL AKTAŞ"/>
    <s v="İLAN BEKLİYOR"/>
    <s v="SATILDI/2. SATIŞTA"/>
    <x v="1"/>
  </r>
  <r>
    <x v="1"/>
    <x v="6"/>
    <x v="6"/>
    <n v="575.55999999999995"/>
    <n v="118"/>
    <n v="2"/>
    <s v="ARSA"/>
    <s v="BİLAL AKTAŞ"/>
    <s v="İLAN BEKLİYOR"/>
    <s v="SATILDI/2. SATIŞTA"/>
    <x v="1"/>
  </r>
  <r>
    <x v="8"/>
    <x v="18"/>
    <x v="13"/>
    <n v="771.29"/>
    <n v="102"/>
    <n v="6"/>
    <s v="ARSA"/>
    <s v="BEREKETLİ AŞ"/>
    <s v="SATIŞ KAPANDI"/>
    <s v="SATIŞ KAPANDI"/>
    <x v="16"/>
  </r>
  <r>
    <x v="1"/>
    <x v="6"/>
    <x v="18"/>
    <n v="577.46"/>
    <n v="106"/>
    <n v="1"/>
    <s v="ARSA"/>
    <s v="BT META"/>
    <s v="İLAN BEKLİYOR"/>
    <s v="SATILDI/2. SATIŞTA"/>
    <x v="8"/>
  </r>
  <r>
    <x v="0"/>
    <x v="17"/>
    <x v="28"/>
    <n v="578"/>
    <n v="0"/>
    <n v="969"/>
    <s v="ARSA"/>
    <s v="BİLAL AKTAŞ"/>
    <s v="İLAN BEKLİYOR"/>
    <s v="SATILDI/2. SATIŞTA"/>
    <x v="1"/>
  </r>
  <r>
    <x v="1"/>
    <x v="7"/>
    <x v="52"/>
    <n v="585.04"/>
    <n v="113"/>
    <n v="21"/>
    <s v="ARSA"/>
    <s v="BİLAL AKTAŞ"/>
    <s v="İLAN BEKLİYOR"/>
    <s v="SATILDI/2. SATIŞTA"/>
    <x v="18"/>
  </r>
  <r>
    <x v="1"/>
    <x v="7"/>
    <x v="52"/>
    <n v="585.04"/>
    <n v="113"/>
    <n v="22"/>
    <s v="ARSA"/>
    <s v="BİLAL AKTAŞ"/>
    <s v="İLAN BEKLİYOR"/>
    <s v="SATILDI/2. SATIŞTA"/>
    <x v="18"/>
  </r>
  <r>
    <x v="0"/>
    <x v="22"/>
    <x v="49"/>
    <n v="600.22"/>
    <n v="106"/>
    <n v="3"/>
    <s v="ARSA"/>
    <s v="BİLAL AKTAŞ"/>
    <s v="İLAN BEKLİYOR"/>
    <s v="SATILDI/2. SATIŞTA"/>
    <x v="16"/>
  </r>
  <r>
    <x v="1"/>
    <x v="6"/>
    <x v="6"/>
    <n v="605.48"/>
    <n v="117"/>
    <n v="12"/>
    <s v="ARSA"/>
    <s v="BİLAL AKTAŞ"/>
    <s v="İLAN BEKLİYOR"/>
    <s v="SATILDI/2. SATIŞTA"/>
    <x v="1"/>
  </r>
  <r>
    <x v="1"/>
    <x v="6"/>
    <x v="6"/>
    <n v="605.6"/>
    <n v="117"/>
    <n v="4"/>
    <s v="ARSA"/>
    <s v="BİLAL AKTAŞ"/>
    <s v="İLAN BEKLİYOR"/>
    <s v="SATILDI/2. SATIŞTA"/>
    <x v="1"/>
  </r>
  <r>
    <x v="1"/>
    <x v="6"/>
    <x v="6"/>
    <n v="605.79999999999995"/>
    <n v="117"/>
    <n v="11"/>
    <s v="ARSA"/>
    <s v="BİLAL AKTAŞ"/>
    <s v="İLAN BEKLİYOR"/>
    <s v="SATILDI/2. SATIŞTA"/>
    <x v="1"/>
  </r>
  <r>
    <x v="0"/>
    <x v="0"/>
    <x v="0"/>
    <n v="529"/>
    <n v="214"/>
    <n v="10"/>
    <s v="ARSA"/>
    <s v="BİLAL AKTAŞ"/>
    <s v="SATIŞ KAPANDI"/>
    <s v="SATIŞ KAPANDI"/>
    <x v="12"/>
  </r>
  <r>
    <x v="1"/>
    <x v="6"/>
    <x v="6"/>
    <n v="606.11"/>
    <n v="117"/>
    <n v="10"/>
    <s v="ARSA"/>
    <s v="BİLAL AKTAŞ"/>
    <s v="İLAN BEKLİYOR"/>
    <s v="SATILDI/2. SATIŞTA"/>
    <x v="1"/>
  </r>
  <r>
    <x v="1"/>
    <x v="6"/>
    <x v="6"/>
    <n v="610"/>
    <n v="111"/>
    <n v="4"/>
    <s v="ARSA"/>
    <s v="BİLAL AKTAŞ"/>
    <s v="İLAN BEKLİYOR"/>
    <s v="SATILDI/2. SATIŞTA"/>
    <x v="1"/>
  </r>
  <r>
    <x v="8"/>
    <x v="18"/>
    <x v="13"/>
    <n v="816.46"/>
    <n v="108"/>
    <n v="1"/>
    <s v="ARSA"/>
    <s v="BEREKETLİ AŞ"/>
    <s v="SATILDI"/>
    <s v="SATIŞ KAPANDI"/>
    <x v="16"/>
  </r>
  <r>
    <x v="1"/>
    <x v="1"/>
    <x v="31"/>
    <n v="610"/>
    <n v="170"/>
    <n v="16"/>
    <s v="ARSA"/>
    <s v="BEREKETLİ AŞ"/>
    <s v="SATILDI"/>
    <s v="SATIŞ KAPANDI"/>
    <x v="6"/>
  </r>
  <r>
    <x v="8"/>
    <x v="18"/>
    <x v="13"/>
    <n v="647.69000000000005"/>
    <n v="108"/>
    <n v="3"/>
    <s v="ARSA"/>
    <s v="BEREKETLİ AŞ"/>
    <s v="SATILDI"/>
    <s v="SATIŞ KAPANDI"/>
    <x v="16"/>
  </r>
  <r>
    <x v="8"/>
    <x v="18"/>
    <x v="13"/>
    <n v="678.72"/>
    <n v="108"/>
    <n v="4"/>
    <s v="ARSA"/>
    <s v="BEREKETLİ AŞ"/>
    <s v="SATILDI"/>
    <s v="SATIŞ KAPANDI"/>
    <x v="16"/>
  </r>
  <r>
    <x v="8"/>
    <x v="18"/>
    <x v="13"/>
    <n v="783.27"/>
    <n v="108"/>
    <n v="5"/>
    <s v="ARSA"/>
    <s v="BEREKETLİ AŞ"/>
    <s v="SATILDI"/>
    <s v="SATIŞ KAPANDI"/>
    <x v="16"/>
  </r>
  <r>
    <x v="8"/>
    <x v="18"/>
    <x v="13"/>
    <n v="741.08"/>
    <n v="108"/>
    <n v="6"/>
    <s v="ARSA"/>
    <s v="BEREKETLİ AŞ"/>
    <s v="SATIŞ KAPANDI"/>
    <s v="SATIŞ KAPANDI"/>
    <x v="16"/>
  </r>
  <r>
    <x v="1"/>
    <x v="1"/>
    <x v="1"/>
    <n v="393.99"/>
    <n v="167"/>
    <n v="13"/>
    <s v="ARSA"/>
    <s v="BİLAL AKTAŞ"/>
    <s v="SATILDI"/>
    <s v="SATIŞ KAPANDI"/>
    <x v="1"/>
  </r>
  <r>
    <x v="1"/>
    <x v="7"/>
    <x v="34"/>
    <n v="614.75"/>
    <n v="125"/>
    <n v="5"/>
    <s v="ARSA"/>
    <s v="BİLAL AKTAŞ"/>
    <s v="İLAN BEKLİYOR"/>
    <s v="SATILDI/2. SATIŞTA"/>
    <x v="1"/>
  </r>
  <r>
    <x v="1"/>
    <x v="7"/>
    <x v="41"/>
    <n v="615"/>
    <n v="101"/>
    <n v="10"/>
    <s v="ARSA"/>
    <s v="BİLAL AKTAŞ"/>
    <s v="SATILDI"/>
    <s v="SATILDI/2. SATIŞTA"/>
    <x v="4"/>
  </r>
  <r>
    <x v="1"/>
    <x v="1"/>
    <x v="16"/>
    <n v="617.66999999999996"/>
    <n v="104"/>
    <n v="5"/>
    <s v="ARSA"/>
    <s v="BT META"/>
    <s v="İLAN BEKLİYOR"/>
    <s v="SATILDI/2. SATIŞTA"/>
    <x v="4"/>
  </r>
  <r>
    <x v="1"/>
    <x v="6"/>
    <x v="6"/>
    <n v="620"/>
    <n v="116"/>
    <n v="2"/>
    <s v="ARSA"/>
    <s v="BİLAL AKTAŞ"/>
    <s v="İLAN BEKLİYOR"/>
    <s v="SATILDI/2. SATIŞTA"/>
    <x v="1"/>
  </r>
  <r>
    <x v="1"/>
    <x v="6"/>
    <x v="6"/>
    <n v="620"/>
    <n v="116"/>
    <n v="3"/>
    <s v="ARSA"/>
    <s v="BİLAL AKTAŞ"/>
    <s v="İLAN BEKLİYOR"/>
    <s v="SATILDI/2. SATIŞTA"/>
    <x v="1"/>
  </r>
  <r>
    <x v="1"/>
    <x v="6"/>
    <x v="6"/>
    <n v="620"/>
    <n v="116"/>
    <n v="4"/>
    <s v="ARSA"/>
    <s v="BİLAL AKTAŞ"/>
    <s v="İLAN BEKLİYOR"/>
    <s v="SATILDI/2. SATIŞTA"/>
    <x v="1"/>
  </r>
  <r>
    <x v="1"/>
    <x v="6"/>
    <x v="18"/>
    <n v="620.21"/>
    <n v="117"/>
    <n v="9"/>
    <s v="ARSA"/>
    <s v="BEREKETLİ AŞ"/>
    <s v="İLAN BEKLİYOR"/>
    <s v="SATILDI/2. SATIŞTA"/>
    <x v="8"/>
  </r>
  <r>
    <x v="1"/>
    <x v="6"/>
    <x v="6"/>
    <n v="620.74"/>
    <n v="117"/>
    <n v="2"/>
    <s v="ARSA"/>
    <s v="BİLAL AKTAŞ"/>
    <s v="İLAN BEKLİYOR"/>
    <s v="SATILDI/2. SATIŞTA"/>
    <x v="1"/>
  </r>
  <r>
    <x v="1"/>
    <x v="6"/>
    <x v="6"/>
    <n v="620.74"/>
    <n v="117"/>
    <n v="3"/>
    <s v="ARSA"/>
    <s v="BİLAL AKTAŞ"/>
    <s v="İLAN BEKLİYOR"/>
    <s v="SATILDI/2. SATIŞTA"/>
    <x v="1"/>
  </r>
  <r>
    <x v="8"/>
    <x v="18"/>
    <x v="13"/>
    <n v="735.96"/>
    <n v="104"/>
    <n v="8"/>
    <s v="ARSA"/>
    <s v="BEREKETLİ AŞ"/>
    <s v="SATIŞ KAPANDI"/>
    <s v="SATIŞ KAPANDI"/>
    <x v="16"/>
  </r>
  <r>
    <x v="1"/>
    <x v="1"/>
    <x v="53"/>
    <n v="643.07000000000005"/>
    <n v="0"/>
    <n v="977"/>
    <s v="ARSA"/>
    <s v="BİLAL AKTAŞ"/>
    <s v="SATIŞ KAPANDI"/>
    <s v="SATIŞ KAPANDI"/>
    <x v="6"/>
  </r>
  <r>
    <x v="1"/>
    <x v="1"/>
    <x v="53"/>
    <n v="670.4"/>
    <n v="0"/>
    <n v="978"/>
    <s v="ARSA"/>
    <s v="BİLAL AKTAŞ"/>
    <s v="SATIŞ KAPANDI"/>
    <s v="SATIŞ KAPANDI"/>
    <x v="6"/>
  </r>
  <r>
    <x v="1"/>
    <x v="1"/>
    <x v="53"/>
    <n v="615.79"/>
    <n v="0"/>
    <n v="979"/>
    <s v="ARSA"/>
    <s v="BİLAL AKTAŞ"/>
    <s v="SATIŞ KAPANDI"/>
    <s v="SATIŞ KAPANDI"/>
    <x v="6"/>
  </r>
  <r>
    <x v="8"/>
    <x v="18"/>
    <x v="13"/>
    <n v="736.04"/>
    <n v="104"/>
    <n v="3"/>
    <s v="ARSA"/>
    <s v="BEREKETLİ AŞ"/>
    <s v="SATIŞ KAPANDI"/>
    <s v="SATIŞ KAPANDI"/>
    <x v="16"/>
  </r>
  <r>
    <x v="8"/>
    <x v="18"/>
    <x v="13"/>
    <n v="780.03"/>
    <n v="101"/>
    <n v="2"/>
    <s v="ARSA"/>
    <s v="BEREKETLİ AŞ"/>
    <s v="SATIŞ KAPANDI"/>
    <s v="SATIŞ KAPANDI"/>
    <x v="16"/>
  </r>
  <r>
    <x v="8"/>
    <x v="18"/>
    <x v="13"/>
    <n v="782.19"/>
    <n v="108"/>
    <n v="2"/>
    <s v="ARSA"/>
    <s v="BEREKETLİ AŞ"/>
    <s v="SATILDI"/>
    <s v="SATIŞ KAPANDI"/>
    <x v="16"/>
  </r>
  <r>
    <x v="0"/>
    <x v="0"/>
    <x v="24"/>
    <n v="370"/>
    <n v="132"/>
    <n v="1"/>
    <s v="ARSA"/>
    <s v="BİLAL AKTAŞ"/>
    <s v="SATIŞ KAPANDI"/>
    <s v="SATIŞ KAPANDI"/>
    <x v="12"/>
  </r>
  <r>
    <x v="1"/>
    <x v="1"/>
    <x v="53"/>
    <n v="622"/>
    <n v="0"/>
    <n v="976"/>
    <s v="Prefabrik ev"/>
    <s v="BİLAL AKTAŞ"/>
    <s v="İLAN BEKLİYOR"/>
    <s v="SATILDI/2. SATIŞTA"/>
    <x v="19"/>
  </r>
  <r>
    <x v="1"/>
    <x v="1"/>
    <x v="16"/>
    <n v="497.6"/>
    <n v="103"/>
    <n v="69"/>
    <s v="ARSA"/>
    <s v="BEREKETLİ AŞ"/>
    <s v="SATILDI"/>
    <s v="SATIŞ KAPANDI"/>
    <x v="4"/>
  </r>
  <r>
    <x v="1"/>
    <x v="1"/>
    <x v="16"/>
    <n v="497.62"/>
    <n v="103"/>
    <n v="70"/>
    <s v="ARSA"/>
    <s v="BEREKETLİ AŞ"/>
    <s v="SATILDI"/>
    <s v="SATIŞ KAPANDI"/>
    <x v="4"/>
  </r>
  <r>
    <x v="1"/>
    <x v="1"/>
    <x v="16"/>
    <n v="497.62"/>
    <n v="103"/>
    <n v="71"/>
    <s v="ARSA"/>
    <s v="BEREKETLİ AŞ"/>
    <s v="İLAN BEKLİYOR"/>
    <s v="SATILDI/2. SATIŞTA"/>
    <x v="4"/>
  </r>
  <r>
    <x v="1"/>
    <x v="7"/>
    <x v="54"/>
    <n v="623.92999999999995"/>
    <n v="178"/>
    <n v="18"/>
    <s v="ARSA"/>
    <s v="BİLAL AKTAŞ"/>
    <s v="İLAN BEKLİYOR"/>
    <s v="SATILDI/2. SATIŞTA"/>
    <x v="12"/>
  </r>
  <r>
    <x v="1"/>
    <x v="1"/>
    <x v="16"/>
    <n v="483.76"/>
    <n v="103"/>
    <n v="76"/>
    <s v="ARSA"/>
    <s v="BEREKETLİ AŞ"/>
    <s v="SATIŞ KAPANDI"/>
    <s v="SATIŞ KAPANDI"/>
    <x v="4"/>
  </r>
  <r>
    <x v="1"/>
    <x v="1"/>
    <x v="16"/>
    <n v="483.97"/>
    <n v="103"/>
    <n v="77"/>
    <s v="ARSA"/>
    <s v="BEREKETLİ AŞ"/>
    <s v="SATIŞ KAPANDI"/>
    <s v="SATIŞ KAPANDI"/>
    <x v="4"/>
  </r>
  <r>
    <x v="8"/>
    <x v="18"/>
    <x v="13"/>
    <n v="627.94000000000005"/>
    <n v="109"/>
    <n v="7"/>
    <s v="ARSA"/>
    <s v="BEREKETLİ AŞ"/>
    <s v="İLAN BEKLİYOR"/>
    <s v="MÜŞTERİ YERİ"/>
    <x v="16"/>
  </r>
  <r>
    <x v="1"/>
    <x v="1"/>
    <x v="16"/>
    <n v="329.14"/>
    <n v="103"/>
    <n v="78"/>
    <s v="ARSA"/>
    <s v="BEREKETLİ AŞ"/>
    <s v="SATIŞ KAPANDI"/>
    <s v="SATIŞ KAPANDI"/>
    <x v="4"/>
  </r>
  <r>
    <x v="1"/>
    <x v="1"/>
    <x v="16"/>
    <n v="417.43"/>
    <n v="103"/>
    <n v="79"/>
    <s v="ARSA"/>
    <s v="BEREKETLİ AŞ"/>
    <s v="SATIŞ KAPANDI"/>
    <s v="SATIŞ KAPANDI"/>
    <x v="4"/>
  </r>
  <r>
    <x v="1"/>
    <x v="1"/>
    <x v="16"/>
    <n v="619.07000000000005"/>
    <n v="0"/>
    <n v="991"/>
    <s v="ARSA"/>
    <s v="BT META"/>
    <s v="SATIŞ KAPANDI"/>
    <s v="SATIŞ KAPANDI"/>
    <x v="4"/>
  </r>
  <r>
    <x v="1"/>
    <x v="1"/>
    <x v="16"/>
    <n v="622.82000000000005"/>
    <n v="0"/>
    <n v="992"/>
    <s v="ARSA"/>
    <s v="BT META"/>
    <s v="SATILDI"/>
    <s v="SATIŞ KAPANDI"/>
    <x v="4"/>
  </r>
  <r>
    <x v="1"/>
    <x v="1"/>
    <x v="16"/>
    <n v="619.11"/>
    <n v="0"/>
    <n v="993"/>
    <s v="ARSA"/>
    <s v="BT META"/>
    <s v="SATILDI"/>
    <s v="SATIŞ KAPANDI"/>
    <x v="4"/>
  </r>
  <r>
    <x v="8"/>
    <x v="18"/>
    <x v="13"/>
    <n v="804.29"/>
    <n v="101"/>
    <n v="1"/>
    <s v="ARSA"/>
    <s v="BEREKETLİ AŞ"/>
    <s v="SATILDI"/>
    <s v="SATIŞ KAPANDI"/>
    <x v="16"/>
  </r>
  <r>
    <x v="1"/>
    <x v="1"/>
    <x v="7"/>
    <n v="638"/>
    <n v="149"/>
    <n v="33"/>
    <s v="ARSA"/>
    <s v="BEREKETLİ"/>
    <s v="REZERVE"/>
    <s v="REZERVE"/>
    <x v="4"/>
  </r>
  <r>
    <x v="8"/>
    <x v="23"/>
    <x v="55"/>
    <n v="650"/>
    <n v="6404"/>
    <n v="19"/>
    <s v="ARSA"/>
    <s v="BİLAL AKTAŞ"/>
    <s v="REZERVE"/>
    <s v="STOKTA/İPOTEKLİ"/>
    <x v="9"/>
  </r>
  <r>
    <x v="1"/>
    <x v="7"/>
    <x v="34"/>
    <n v="655.64"/>
    <n v="123"/>
    <n v="8"/>
    <s v="ARSA"/>
    <s v="BİLAL AKTAŞ"/>
    <s v="İLANDA"/>
    <s v="SATILDI/2. SATIŞTA"/>
    <x v="1"/>
  </r>
  <r>
    <x v="1"/>
    <x v="6"/>
    <x v="6"/>
    <n v="660.57"/>
    <n v="117"/>
    <n v="17"/>
    <s v="ARSA"/>
    <s v="BİLAL AKTAŞ"/>
    <s v="İLAN BEKLİYOR"/>
    <s v="SATILDI/2. SATIŞTA"/>
    <x v="1"/>
  </r>
  <r>
    <x v="8"/>
    <x v="18"/>
    <x v="13"/>
    <n v="663.98"/>
    <n v="109"/>
    <n v="1"/>
    <s v="ARSA"/>
    <s v="BEREKETLİ AŞ"/>
    <s v="İLANDA"/>
    <s v="MÜŞTERİ YERİ"/>
    <x v="16"/>
  </r>
  <r>
    <x v="8"/>
    <x v="18"/>
    <x v="13"/>
    <n v="664.01"/>
    <n v="109"/>
    <n v="2"/>
    <s v="ARSA"/>
    <s v="BEREKETLİ AŞ"/>
    <s v="İLAN BEKLİYOR"/>
    <s v="MÜŞTERİ YERİ"/>
    <x v="16"/>
  </r>
  <r>
    <x v="1"/>
    <x v="6"/>
    <x v="18"/>
    <n v="665.52"/>
    <n v="105"/>
    <n v="2"/>
    <s v="ARSA"/>
    <s v="BEREKETLİ AŞ"/>
    <s v="İLANDA"/>
    <s v="KONSİNYE"/>
    <x v="8"/>
  </r>
  <r>
    <x v="1"/>
    <x v="1"/>
    <x v="39"/>
    <n v="667.81"/>
    <n v="113"/>
    <n v="1"/>
    <s v="ARSA"/>
    <s v="BEREKETLİ AŞ"/>
    <s v="İLAN BEKLİYOR"/>
    <s v="SATILDI/2. SATIŞTA"/>
    <x v="6"/>
  </r>
  <r>
    <x v="1"/>
    <x v="6"/>
    <x v="6"/>
    <n v="671.12"/>
    <n v="110"/>
    <n v="5"/>
    <s v="ARSA"/>
    <s v="BİLAL AKTAŞ"/>
    <s v="İLAN BEKLİYOR"/>
    <s v="SATILDI/2. SATIŞTA"/>
    <x v="1"/>
  </r>
  <r>
    <x v="8"/>
    <x v="18"/>
    <x v="13"/>
    <n v="671.98"/>
    <n v="109"/>
    <n v="9"/>
    <s v="ARSA"/>
    <s v="BEREKETLİ AŞ"/>
    <s v="İLAN BEKLİYOR"/>
    <s v="MÜŞTERİ YERİ"/>
    <x v="16"/>
  </r>
  <r>
    <x v="8"/>
    <x v="18"/>
    <x v="13"/>
    <n v="671.98"/>
    <n v="109"/>
    <n v="10"/>
    <s v="ARSA"/>
    <s v="BEREKETLİ AŞ"/>
    <s v="İLAN BEKLİYOR"/>
    <s v="MÜŞTERİ YERİ"/>
    <x v="16"/>
  </r>
  <r>
    <x v="8"/>
    <x v="18"/>
    <x v="13"/>
    <n v="811.85"/>
    <n v="102"/>
    <n v="2"/>
    <s v="ARSA"/>
    <s v="BEREKETLİ AŞ"/>
    <s v="SATILDI"/>
    <s v="SATIŞ KAPANDI"/>
    <x v="16"/>
  </r>
  <r>
    <x v="8"/>
    <x v="18"/>
    <x v="13"/>
    <n v="812.48"/>
    <n v="102"/>
    <n v="3"/>
    <s v="ARSA"/>
    <s v="BEREKETLİ AŞ"/>
    <s v="SATILDI"/>
    <s v="SATIŞ KAPANDI"/>
    <x v="16"/>
  </r>
  <r>
    <x v="8"/>
    <x v="18"/>
    <x v="13"/>
    <n v="819.19"/>
    <n v="102"/>
    <n v="1"/>
    <s v="ARSA"/>
    <s v="BEREKETLİ AŞ"/>
    <s v="SATILDI"/>
    <s v="SATIŞ KAPANDI"/>
    <x v="16"/>
  </r>
  <r>
    <x v="8"/>
    <x v="18"/>
    <x v="13"/>
    <n v="671.99"/>
    <n v="109"/>
    <n v="8"/>
    <s v="ARSA"/>
    <s v="BEREKETLİ AŞ"/>
    <s v="İLAN BEKLİYOR"/>
    <s v="MÜŞTERİ YERİ"/>
    <x v="16"/>
  </r>
  <r>
    <x v="8"/>
    <x v="18"/>
    <x v="13"/>
    <n v="672.05"/>
    <n v="109"/>
    <n v="3"/>
    <s v="ARSA"/>
    <s v="BEREKETLİ AŞ"/>
    <s v="İLAN BEKLİYOR"/>
    <s v="MÜŞTERİ YERİ"/>
    <x v="16"/>
  </r>
  <r>
    <x v="1"/>
    <x v="1"/>
    <x v="23"/>
    <n v="1559.79"/>
    <n v="0"/>
    <n v="2458"/>
    <s v="ARSA"/>
    <s v="DORTAGE AŞ"/>
    <s v="SATIŞ KAPANDI"/>
    <s v="SATIŞ KAPANDI"/>
    <x v="12"/>
  </r>
  <r>
    <x v="8"/>
    <x v="18"/>
    <x v="13"/>
    <n v="672.07"/>
    <n v="109"/>
    <n v="4"/>
    <s v="ARSA"/>
    <s v="BEREKETLİ AŞ"/>
    <s v="İLAN BEKLİYOR"/>
    <s v="MÜŞTERİ YERİ"/>
    <x v="16"/>
  </r>
  <r>
    <x v="8"/>
    <x v="18"/>
    <x v="13"/>
    <n v="672.13"/>
    <n v="109"/>
    <n v="5"/>
    <s v="ARSA"/>
    <s v="BEREKETLİ AŞ"/>
    <s v="İLAN BEKLİYOR"/>
    <s v="MÜŞTERİ YERİ"/>
    <x v="16"/>
  </r>
  <r>
    <x v="1"/>
    <x v="7"/>
    <x v="34"/>
    <n v="675.4"/>
    <n v="125"/>
    <n v="4"/>
    <s v="ARSA"/>
    <s v="BİLAL AKTAŞ"/>
    <s v="İLAN BEKLİYOR"/>
    <s v="SATILDI/2. SATIŞTA"/>
    <x v="1"/>
  </r>
  <r>
    <x v="0"/>
    <x v="0"/>
    <x v="0"/>
    <n v="679"/>
    <n v="105"/>
    <n v="16"/>
    <s v="ARSA"/>
    <s v="BİLAL AKTAŞ"/>
    <s v="İLAN BEKLİYOR"/>
    <s v="SATILDI/2. SATIŞTA"/>
    <x v="12"/>
  </r>
  <r>
    <x v="1"/>
    <x v="6"/>
    <x v="6"/>
    <n v="683.55"/>
    <n v="116"/>
    <n v="9"/>
    <s v="ARSA"/>
    <s v="BİLAL AKTAŞ"/>
    <s v="İLAN BEKLİYOR"/>
    <s v="SATILDI/2. SATIŞTA"/>
    <x v="1"/>
  </r>
  <r>
    <x v="1"/>
    <x v="6"/>
    <x v="6"/>
    <n v="688.89"/>
    <n v="117"/>
    <n v="1"/>
    <s v="ARSA"/>
    <s v="BİLAL AKTAŞ"/>
    <s v="İLAN BEKLİYOR"/>
    <s v="SATILDI/2. SATIŞTA"/>
    <x v="1"/>
  </r>
  <r>
    <x v="1"/>
    <x v="6"/>
    <x v="6"/>
    <n v="690"/>
    <n v="118"/>
    <n v="7"/>
    <s v="ARSA"/>
    <s v="BİLAL AKTAŞ"/>
    <s v="İLAN BEKLİYOR"/>
    <s v="SATILDI/2. SATIŞTA"/>
    <x v="1"/>
  </r>
  <r>
    <x v="1"/>
    <x v="6"/>
    <x v="18"/>
    <n v="693.25"/>
    <n v="105"/>
    <n v="3"/>
    <s v="ARSA"/>
    <s v="BEREKETLİ AŞ"/>
    <s v="İLAN BEKLİYOR"/>
    <s v="KONSİNYE"/>
    <x v="8"/>
  </r>
  <r>
    <x v="1"/>
    <x v="7"/>
    <x v="34"/>
    <n v="693.89"/>
    <n v="123"/>
    <n v="2"/>
    <s v="ARSA"/>
    <s v="BİLAL AKTAŞ"/>
    <s v="SATIŞ KAPANDI"/>
    <s v="SATIŞ KAPANDI"/>
    <x v="1"/>
  </r>
  <r>
    <x v="1"/>
    <x v="14"/>
    <x v="30"/>
    <n v="699.91"/>
    <n v="266"/>
    <n v="7"/>
    <s v="ARSA"/>
    <s v="BİLAL AKTAŞ"/>
    <s v="İLAN BEKLİYOR"/>
    <s v="SATILDI/2. SATIŞTA"/>
    <x v="3"/>
  </r>
  <r>
    <x v="8"/>
    <x v="18"/>
    <x v="13"/>
    <n v="704.82"/>
    <n v="109"/>
    <n v="6"/>
    <s v="ARSA"/>
    <s v="BEREKETLİ AŞ"/>
    <s v="İLAN BEKLİYOR"/>
    <s v="MÜŞTERİ YERİ"/>
    <x v="16"/>
  </r>
  <r>
    <x v="1"/>
    <x v="1"/>
    <x v="31"/>
    <n v="751"/>
    <n v="170"/>
    <n v="19"/>
    <s v="ARSA"/>
    <s v="BEREKETLİ AŞ"/>
    <s v="SATILDI"/>
    <s v="SATIŞ KAPANDI"/>
    <x v="6"/>
  </r>
  <r>
    <x v="8"/>
    <x v="18"/>
    <x v="13"/>
    <n v="751.94"/>
    <n v="101"/>
    <n v="6"/>
    <s v="ARSA"/>
    <s v="BEREKETLİ AŞ"/>
    <s v="İLAN BEKLİYOR"/>
    <s v="MÜŞTERİ YERİ"/>
    <x v="16"/>
  </r>
  <r>
    <x v="1"/>
    <x v="6"/>
    <x v="18"/>
    <n v="753.25"/>
    <n v="103"/>
    <n v="7"/>
    <s v="ARSA"/>
    <s v="BEREKETLİ AŞ"/>
    <s v="İLAN BEKLİYOR"/>
    <s v="KONSİNYE"/>
    <x v="8"/>
  </r>
  <r>
    <x v="1"/>
    <x v="6"/>
    <x v="6"/>
    <n v="755.01"/>
    <n v="116"/>
    <n v="1"/>
    <s v="ARSA"/>
    <s v="BİLAL AKTAŞ"/>
    <s v="SATIŞ KAPANDI"/>
    <s v="SATILDI/2. SATIŞTA"/>
    <x v="1"/>
  </r>
  <r>
    <x v="1"/>
    <x v="1"/>
    <x v="1"/>
    <s v="299,98"/>
    <n v="177"/>
    <n v="8"/>
    <s v="ARSA"/>
    <s v="BEREKETLİ AŞ"/>
    <s v="SATIŞ KAPANDI"/>
    <s v="SATIŞ KAPANDI"/>
    <x v="1"/>
  </r>
  <r>
    <x v="1"/>
    <x v="6"/>
    <x v="18"/>
    <n v="755.91"/>
    <n v="103"/>
    <n v="1"/>
    <s v="ARSA"/>
    <s v="BEREKETLİ AŞ"/>
    <s v="İLAN BEKLİYOR"/>
    <s v="SATILDI/2. SATIŞTA"/>
    <x v="8"/>
  </r>
  <r>
    <x v="8"/>
    <x v="18"/>
    <x v="13"/>
    <n v="759.96"/>
    <n v="107"/>
    <n v="1"/>
    <s v="ARSA"/>
    <s v="BEREKETLİ AŞ"/>
    <s v="REZERVE"/>
    <s v="STOKTA/İPOTEKLİ"/>
    <x v="16"/>
  </r>
  <r>
    <x v="8"/>
    <x v="18"/>
    <x v="13"/>
    <n v="760.15"/>
    <n v="107"/>
    <n v="2"/>
    <s v="ARSA"/>
    <s v="BEREKETLİ AŞ"/>
    <s v="REZERVE"/>
    <s v="STOKTA/İPOTEKLİ"/>
    <x v="16"/>
  </r>
  <r>
    <x v="1"/>
    <x v="1"/>
    <x v="31"/>
    <n v="761"/>
    <n v="170"/>
    <n v="18"/>
    <s v="ARSA"/>
    <s v="BEREKETLİ AŞ"/>
    <s v="SATILDI"/>
    <s v="SATIŞ KAPANDI"/>
    <x v="6"/>
  </r>
  <r>
    <x v="8"/>
    <x v="18"/>
    <x v="13"/>
    <n v="767.99"/>
    <n v="107"/>
    <n v="8"/>
    <s v="ARSA"/>
    <s v="BEREKETLİ AŞ"/>
    <s v="REZERVE"/>
    <s v="STOKTA/İPOTEKLİ"/>
    <x v="16"/>
  </r>
  <r>
    <x v="8"/>
    <x v="18"/>
    <x v="13"/>
    <n v="768.01"/>
    <n v="107"/>
    <n v="7"/>
    <s v="ARSA"/>
    <s v="BEREKETLİ AŞ"/>
    <s v="REZERVE"/>
    <s v="STOKTA/İPOTEKLİ"/>
    <x v="16"/>
  </r>
  <r>
    <x v="8"/>
    <x v="18"/>
    <x v="13"/>
    <n v="772"/>
    <n v="101"/>
    <n v="5"/>
    <s v="ARSA"/>
    <s v="BEREKETLİ AŞ"/>
    <s v="REZERVE"/>
    <s v="STOKTA/İPOTEKLİ"/>
    <x v="16"/>
  </r>
  <r>
    <x v="1"/>
    <x v="7"/>
    <x v="34"/>
    <n v="777.22"/>
    <n v="133"/>
    <n v="5"/>
    <s v="ARSA"/>
    <s v="BİLAL AKTAŞ"/>
    <s v="İLANDA"/>
    <s v="SATILDI/2. SATIŞTA"/>
    <x v="1"/>
  </r>
  <r>
    <x v="8"/>
    <x v="18"/>
    <x v="13"/>
    <n v="779.96"/>
    <n v="101"/>
    <n v="3"/>
    <s v="ARSA"/>
    <s v="BEREKETLİ AŞ"/>
    <s v="REZERVE"/>
    <s v="REZERVE"/>
    <x v="16"/>
  </r>
  <r>
    <x v="1"/>
    <x v="7"/>
    <x v="34"/>
    <n v="785.63"/>
    <n v="123"/>
    <n v="6"/>
    <s v="ARSA"/>
    <s v="BİLAL AKTAŞ"/>
    <s v="İLAN BEKLİYOR"/>
    <s v="SATILDI/2. SATIŞTA"/>
    <x v="1"/>
  </r>
  <r>
    <x v="8"/>
    <x v="18"/>
    <x v="13"/>
    <n v="788.92"/>
    <n v="103"/>
    <n v="2"/>
    <s v="ARSA"/>
    <s v="BEREKETLİ AŞ"/>
    <s v="REZERVE"/>
    <s v="REZERVE"/>
    <x v="16"/>
  </r>
  <r>
    <x v="8"/>
    <x v="18"/>
    <x v="13"/>
    <n v="792.88"/>
    <n v="103"/>
    <n v="3"/>
    <s v="ARSA"/>
    <s v="BEREKETLİ AŞ"/>
    <s v="REZERVE"/>
    <s v="REZERVE"/>
    <x v="16"/>
  </r>
  <r>
    <x v="1"/>
    <x v="6"/>
    <x v="18"/>
    <n v="793.35"/>
    <n v="102"/>
    <n v="1"/>
    <s v="ARSA"/>
    <s v="BEREKETLİ AŞ"/>
    <s v="İLANDA"/>
    <s v="STOKTA"/>
    <x v="8"/>
  </r>
  <r>
    <x v="8"/>
    <x v="18"/>
    <x v="13"/>
    <n v="798.11"/>
    <n v="106"/>
    <n v="4"/>
    <s v="ARSA"/>
    <s v="BEREKETLİ AŞ"/>
    <s v="REZERVE"/>
    <s v="STOKTA/İPOTEKLİ"/>
    <x v="16"/>
  </r>
  <r>
    <x v="1"/>
    <x v="1"/>
    <x v="1"/>
    <n v="339.27"/>
    <n v="170"/>
    <n v="10"/>
    <s v="ARSA"/>
    <s v="BİLAL AKTAŞ"/>
    <s v="İLANDA"/>
    <s v="KONSİNYE"/>
    <x v="1"/>
  </r>
  <r>
    <x v="1"/>
    <x v="6"/>
    <x v="18"/>
    <n v="810.1"/>
    <n v="103"/>
    <n v="4"/>
    <s v="ARSA"/>
    <s v="BEREKETLİ AŞ"/>
    <s v="İLANDA"/>
    <s v="STOKTA"/>
    <x v="8"/>
  </r>
  <r>
    <x v="1"/>
    <x v="7"/>
    <x v="56"/>
    <n v="815.21"/>
    <n v="120"/>
    <n v="14"/>
    <s v="ARSA"/>
    <s v="BEREKETLİ AŞ"/>
    <s v="İLAN BEKLİYOR"/>
    <s v="SATILDI/2. SATIŞTA"/>
    <x v="3"/>
  </r>
  <r>
    <x v="1"/>
    <x v="6"/>
    <x v="18"/>
    <n v="816"/>
    <n v="102"/>
    <n v="7"/>
    <s v="ARSA"/>
    <s v="BEREKETLİ AŞ"/>
    <s v="İLANDA"/>
    <s v="STOKTA"/>
    <x v="8"/>
  </r>
  <r>
    <x v="1"/>
    <x v="6"/>
    <x v="18"/>
    <n v="816.47"/>
    <n v="102"/>
    <n v="8"/>
    <s v="ARSA"/>
    <s v="BEREKETLİ AŞ"/>
    <s v="İLAN BEKLİYOR"/>
    <s v="SATILDI/2. SATIŞTA"/>
    <x v="8"/>
  </r>
  <r>
    <x v="1"/>
    <x v="6"/>
    <x v="6"/>
    <n v="837.79"/>
    <n v="110"/>
    <n v="1"/>
    <s v="ARSA"/>
    <s v="BİLAL AKTAŞ"/>
    <s v="İLAN BEKLİYOR"/>
    <s v="SATILDI/2. SATIŞTA"/>
    <x v="1"/>
  </r>
  <r>
    <x v="8"/>
    <x v="18"/>
    <x v="13"/>
    <n v="837.85"/>
    <n v="124"/>
    <n v="7"/>
    <s v="ARSA"/>
    <s v="BEREKETLİ AŞ"/>
    <s v="İLAN BEKLİYOR"/>
    <s v="STOKTA"/>
    <x v="16"/>
  </r>
  <r>
    <x v="1"/>
    <x v="7"/>
    <x v="41"/>
    <n v="854.88"/>
    <n v="101"/>
    <n v="6"/>
    <s v="ARSA"/>
    <s v="BİLAL AKTAŞ"/>
    <s v="İLANDA"/>
    <s v="STOKTA"/>
    <x v="4"/>
  </r>
  <r>
    <x v="1"/>
    <x v="3"/>
    <x v="57"/>
    <n v="870.75"/>
    <n v="116"/>
    <n v="69"/>
    <s v="ARSA"/>
    <s v="BİLAL AKTAŞ"/>
    <s v="İLANDA"/>
    <s v="SATILDI/2. SATIŞTA"/>
    <x v="20"/>
  </r>
  <r>
    <x v="1"/>
    <x v="1"/>
    <x v="16"/>
    <n v="876.54"/>
    <n v="105"/>
    <n v="11"/>
    <s v="ARSA"/>
    <s v="BEREKETLİ AŞ"/>
    <s v="SATIŞ KAPANDI"/>
    <s v="SATIŞ KAPANDI"/>
    <x v="4"/>
  </r>
  <r>
    <x v="1"/>
    <x v="1"/>
    <x v="16"/>
    <n v="877.23"/>
    <n v="105"/>
    <n v="12"/>
    <s v="ARSA"/>
    <s v="BEREKETLİ AŞ"/>
    <s v="SATIŞ KAPANDI"/>
    <s v="SATIŞ KAPANDI"/>
    <x v="4"/>
  </r>
  <r>
    <x v="1"/>
    <x v="7"/>
    <x v="42"/>
    <n v="879.72"/>
    <n v="105"/>
    <n v="13"/>
    <s v="ARSA"/>
    <s v="BEREKETLİ AŞ"/>
    <s v="İLAN BEKLİYOR"/>
    <s v="SATILDI/2. SATIŞTA"/>
    <x v="17"/>
  </r>
  <r>
    <x v="1"/>
    <x v="7"/>
    <x v="56"/>
    <n v="967.82"/>
    <n v="120"/>
    <n v="17"/>
    <s v="ARSA"/>
    <s v="BEREKETLİ AŞ"/>
    <s v="İLANDA"/>
    <s v="SATILDI/2. SATIŞTA"/>
    <x v="3"/>
  </r>
  <r>
    <x v="1"/>
    <x v="7"/>
    <x v="58"/>
    <n v="987.78"/>
    <n v="113"/>
    <n v="5"/>
    <s v="ARSA"/>
    <s v="BİLAL AKTAŞ"/>
    <s v="İLANDA"/>
    <s v="STOKTA"/>
    <x v="0"/>
  </r>
  <r>
    <x v="1"/>
    <x v="7"/>
    <x v="58"/>
    <n v="988.24"/>
    <n v="113"/>
    <n v="3"/>
    <s v="ARSA"/>
    <s v="BİLAL AKTAŞ"/>
    <s v="REZERVE"/>
    <s v="STOKTA/İPOTEKLİ"/>
    <x v="0"/>
  </r>
  <r>
    <x v="1"/>
    <x v="7"/>
    <x v="58"/>
    <n v="988.24"/>
    <n v="113"/>
    <n v="4"/>
    <s v="ARSA"/>
    <s v="BİLAL AKTAŞ"/>
    <s v="İLANDA"/>
    <s v="STOKTA"/>
    <x v="0"/>
  </r>
  <r>
    <x v="1"/>
    <x v="7"/>
    <x v="34"/>
    <n v="988.72"/>
    <n v="135"/>
    <n v="4"/>
    <s v="ARSA"/>
    <s v="BİLAL AKTAŞ"/>
    <s v="İLAN BEKLİYOR"/>
    <s v="SATILDI/2. SATIŞTA"/>
    <x v="1"/>
  </r>
  <r>
    <x v="1"/>
    <x v="7"/>
    <x v="56"/>
    <n v="1001.98"/>
    <n v="120"/>
    <n v="19"/>
    <s v="ARSA"/>
    <s v="BEREKETLİ AŞ"/>
    <s v="İLAN BEKLİYOR"/>
    <s v="SATILDI/2. SATIŞTA"/>
    <x v="3"/>
  </r>
  <r>
    <x v="0"/>
    <x v="11"/>
    <x v="59"/>
    <n v="1140.3599999999999"/>
    <n v="215"/>
    <n v="20"/>
    <s v="BAHÇE"/>
    <s v="BİLAL AKTAŞ"/>
    <s v="İLAN BEKLİYOR"/>
    <s v="KONSİNYE"/>
    <x v="21"/>
  </r>
  <r>
    <x v="1"/>
    <x v="7"/>
    <x v="58"/>
    <n v="1221.58"/>
    <n v="122"/>
    <n v="8"/>
    <s v="ARSA"/>
    <s v="BİLAL AKTAŞ"/>
    <s v="REZERVE"/>
    <s v="STOKTA/İPOTEKLİ"/>
    <x v="0"/>
  </r>
  <r>
    <x v="0"/>
    <x v="11"/>
    <x v="60"/>
    <n v="1276.43"/>
    <n v="169"/>
    <n v="6"/>
    <s v="TARLA"/>
    <s v="BİLAL AKTAŞ"/>
    <s v="İLAN BEKLİYOR"/>
    <s v="KONSİNYE"/>
    <x v="22"/>
  </r>
  <r>
    <x v="0"/>
    <x v="11"/>
    <x v="61"/>
    <n v="1372.87"/>
    <n v="103"/>
    <n v="557"/>
    <s v="TARLA"/>
    <s v="BİLAL AKTAŞ"/>
    <s v="İLAN BEKLİYOR"/>
    <s v="KONSİNYE"/>
    <x v="23"/>
  </r>
  <r>
    <x v="0"/>
    <x v="11"/>
    <x v="62"/>
    <n v="1528.07"/>
    <n v="128"/>
    <n v="2"/>
    <s v="TARLA"/>
    <s v="BİLAL AKTAŞ"/>
    <s v="İLAN BEKLİYOR"/>
    <s v="KONSİNYE"/>
    <x v="24"/>
  </r>
  <r>
    <x v="0"/>
    <x v="11"/>
    <x v="61"/>
    <n v="2059.02"/>
    <n v="103"/>
    <n v="558"/>
    <s v="TARLA"/>
    <s v="BİLAL AKTAŞ"/>
    <s v="İLAN BEKLİYOR"/>
    <s v="KONSİNYE"/>
    <x v="25"/>
  </r>
  <r>
    <x v="8"/>
    <x v="24"/>
    <x v="63"/>
    <n v="3204.35"/>
    <n v="765"/>
    <n v="368"/>
    <s v="TARLA"/>
    <s v="BİLAL AKTAŞ"/>
    <s v="SATIŞ KAPANDI"/>
    <s v="STOKTA/İPOTEKLİ"/>
    <x v="26"/>
  </r>
  <r>
    <x v="1"/>
    <x v="21"/>
    <x v="64"/>
    <n v="4454.4799999999996"/>
    <n v="173"/>
    <n v="282"/>
    <s v="TARLA"/>
    <s v="BİLAL AKTAŞ"/>
    <s v="İLAN BEKLİYOR"/>
    <s v="SATILDI/2. SATIŞTA"/>
    <x v="27"/>
  </r>
  <r>
    <x v="8"/>
    <x v="23"/>
    <x v="65"/>
    <n v="6351"/>
    <n v="130"/>
    <n v="11"/>
    <s v="TARLA"/>
    <s v="BİLAL AKTAŞ"/>
    <s v="İLANDA"/>
    <s v="MÜŞTERİ YERİ"/>
    <x v="28"/>
  </r>
  <r>
    <x v="1"/>
    <x v="1"/>
    <x v="7"/>
    <n v="289.45999999999998"/>
    <n v="194"/>
    <s v="10-C"/>
    <s v="ARSA"/>
    <s v="NORA CAPITAL"/>
    <s v="İLAN BEKLİYOR"/>
    <s v="STOKTA"/>
    <x v="29"/>
  </r>
  <r>
    <x v="1"/>
    <x v="1"/>
    <x v="1"/>
    <n v="363.17"/>
    <n v="165"/>
    <n v="10"/>
    <s v="ARSA"/>
    <s v="BİLAL AKTAŞ"/>
    <s v="İLAN BEKLİYOR"/>
    <s v="KONSİNYE"/>
    <x v="1"/>
  </r>
  <r>
    <x v="1"/>
    <x v="1"/>
    <x v="7"/>
    <n v="300.70999999999998"/>
    <n v="194"/>
    <s v="1-B"/>
    <s v="ARSA"/>
    <s v="NORA CAPITAL"/>
    <s v="İLAN BEKLİYOR"/>
    <s v="STOKTA"/>
    <x v="29"/>
  </r>
  <r>
    <x v="1"/>
    <x v="1"/>
    <x v="7"/>
    <n v="300.70999999999998"/>
    <n v="194"/>
    <s v="1-C"/>
    <s v="ARSA"/>
    <s v="NORA CAPITAL"/>
    <s v="İLAN BEKLİYOR"/>
    <s v="STOKTA"/>
    <x v="29"/>
  </r>
  <r>
    <x v="1"/>
    <x v="1"/>
    <x v="7"/>
    <n v="305.57"/>
    <n v="194"/>
    <s v="10-B"/>
    <s v="ARSA"/>
    <s v="NORA CAPITAL"/>
    <s v="İLAN BEKLİYOR"/>
    <s v="STOKTA"/>
    <x v="29"/>
  </r>
  <r>
    <x v="1"/>
    <x v="1"/>
    <x v="7"/>
    <n v="307.07"/>
    <n v="194"/>
    <s v="2-B"/>
    <s v="ARSA"/>
    <s v="NORA CAPITAL"/>
    <s v="İLAN BEKLİYOR"/>
    <s v="STOKTA"/>
    <x v="29"/>
  </r>
  <r>
    <x v="1"/>
    <x v="1"/>
    <x v="7"/>
    <n v="307.07"/>
    <n v="194"/>
    <s v="2-C"/>
    <s v="ARSA"/>
    <s v="NORA CAPITAL"/>
    <s v="İLAN BEKLİYOR"/>
    <s v="STOKTA"/>
    <x v="29"/>
  </r>
  <r>
    <x v="1"/>
    <x v="1"/>
    <x v="7"/>
    <n v="342.61"/>
    <n v="194"/>
    <s v="2-A"/>
    <s v="ARSA"/>
    <s v="NORA CAPITAL"/>
    <s v="İLAN BEKLİYOR"/>
    <s v="STOKTA"/>
    <x v="29"/>
  </r>
  <r>
    <x v="1"/>
    <x v="1"/>
    <x v="7"/>
    <n v="380.33"/>
    <n v="194"/>
    <s v="10-A"/>
    <s v="ARSA"/>
    <s v="NORA CAPITAL"/>
    <s v="İLAN BEKLİYOR"/>
    <s v="STOKTA"/>
    <x v="29"/>
  </r>
  <r>
    <x v="1"/>
    <x v="1"/>
    <x v="7"/>
    <n v="391.2"/>
    <n v="194"/>
    <s v="11-A"/>
    <s v="ARSA"/>
    <s v="NORA CAPITAL"/>
    <s v="İLAN BEKLİYOR"/>
    <s v="STOKTA"/>
    <x v="29"/>
  </r>
  <r>
    <x v="1"/>
    <x v="1"/>
    <x v="7"/>
    <n v="391.2"/>
    <n v="194"/>
    <s v="11-B"/>
    <s v="ARSA"/>
    <s v="NORA CAPITAL"/>
    <s v="İLAN BEKLİYOR"/>
    <s v="STOKTA"/>
    <x v="29"/>
  </r>
  <r>
    <x v="1"/>
    <x v="1"/>
    <x v="7"/>
    <n v="391.2"/>
    <n v="194"/>
    <s v="11-C"/>
    <s v="ARSA"/>
    <s v="NORA CAPITAL"/>
    <s v="İLAN BEKLİYOR"/>
    <s v="STOKTA"/>
    <x v="29"/>
  </r>
  <r>
    <x v="1"/>
    <x v="1"/>
    <x v="7"/>
    <n v="485.78"/>
    <n v="194"/>
    <s v="1-A"/>
    <s v="ARSA"/>
    <s v="NORA CAPITAL"/>
    <s v="İLAN BEKLİYOR"/>
    <s v="STOKTA"/>
    <x v="29"/>
  </r>
  <r>
    <x v="1"/>
    <x v="1"/>
    <x v="7"/>
    <n v="552.67999999999995"/>
    <n v="194"/>
    <s v="12-13-A"/>
    <s v="ARSA"/>
    <s v="NORA CAPITAL"/>
    <s v="İLAN BEKLİYOR"/>
    <s v="STOKTA"/>
    <x v="29"/>
  </r>
  <r>
    <x v="1"/>
    <x v="1"/>
    <x v="7"/>
    <n v="552.67999999999995"/>
    <n v="194"/>
    <s v="12-13-B"/>
    <s v="ARSA"/>
    <s v="NORA CAPITAL"/>
    <s v="İLAN BEKLİYOR"/>
    <s v="STOKTA"/>
    <x v="29"/>
  </r>
  <r>
    <x v="1"/>
    <x v="1"/>
    <x v="7"/>
    <n v="552.67999999999995"/>
    <n v="194"/>
    <s v="12-13-C"/>
    <s v="ARSA"/>
    <s v="NORA CAPITAL"/>
    <s v="İLAN BEKLİYOR"/>
    <s v="STOKTA"/>
    <x v="29"/>
  </r>
  <r>
    <x v="1"/>
    <x v="1"/>
    <x v="7"/>
    <n v="799.64"/>
    <n v="194"/>
    <n v="7"/>
    <s v="ARSA"/>
    <s v="NORA CAPITAL"/>
    <s v="İLAN BEKLİYOR"/>
    <s v="STOKTA"/>
    <x v="30"/>
  </r>
  <r>
    <x v="1"/>
    <x v="1"/>
    <x v="7"/>
    <n v="800.03"/>
    <n v="194"/>
    <n v="8"/>
    <s v="ARSA"/>
    <s v="NORA CAPITAL"/>
    <s v="İLAN BEKLİYOR"/>
    <s v="STOKTA"/>
    <x v="30"/>
  </r>
  <r>
    <x v="1"/>
    <x v="1"/>
    <x v="7"/>
    <n v="800.12"/>
    <n v="194"/>
    <n v="9"/>
    <s v="ARSA"/>
    <s v="NORA CAPITAL"/>
    <s v="İLAN BEKLİYOR"/>
    <s v="STOKTA"/>
    <x v="30"/>
  </r>
  <r>
    <x v="1"/>
    <x v="1"/>
    <x v="7"/>
    <n v="852.49"/>
    <n v="194"/>
    <n v="16"/>
    <s v="ARSA"/>
    <s v="NORA CAPITAL"/>
    <s v="İLAN BEKLİYOR"/>
    <s v="STOKTA"/>
    <x v="30"/>
  </r>
  <r>
    <x v="1"/>
    <x v="1"/>
    <x v="7"/>
    <n v="859.88"/>
    <n v="194"/>
    <n v="4"/>
    <s v="ARSA"/>
    <s v="NORA CAPITAL"/>
    <s v="İLAN BEKLİYOR"/>
    <s v="STOKTA"/>
    <x v="30"/>
  </r>
  <r>
    <x v="1"/>
    <x v="1"/>
    <x v="7"/>
    <n v="859.9"/>
    <n v="194"/>
    <n v="3"/>
    <s v="ARSA"/>
    <s v="NORA CAPITAL"/>
    <s v="İLAN BEKLİYOR"/>
    <s v="STOKTA"/>
    <x v="30"/>
  </r>
  <r>
    <x v="1"/>
    <x v="1"/>
    <x v="7"/>
    <n v="860.07"/>
    <n v="194"/>
    <n v="5"/>
    <s v="ARSA"/>
    <s v="NORA CAPITAL"/>
    <s v="İLAN BEKLİYOR"/>
    <s v="STOKTA"/>
    <x v="30"/>
  </r>
  <r>
    <x v="1"/>
    <x v="1"/>
    <x v="7"/>
    <n v="860.09"/>
    <n v="194"/>
    <n v="6"/>
    <s v="ARSA"/>
    <s v="NORA CAPITAL"/>
    <s v="İLAN BEKLİYOR"/>
    <s v="STOKTA"/>
    <x v="30"/>
  </r>
  <r>
    <x v="1"/>
    <x v="1"/>
    <x v="7"/>
    <n v="866.81"/>
    <n v="194"/>
    <n v="17"/>
    <s v="ARSA"/>
    <s v="NORA CAPITAL"/>
    <s v="İLAN BEKLİYOR"/>
    <s v="STOKTA"/>
    <x v="30"/>
  </r>
  <r>
    <x v="1"/>
    <x v="1"/>
    <x v="7"/>
    <n v="900.67"/>
    <n v="194"/>
    <n v="18"/>
    <s v="ARSA"/>
    <s v="NORA CAPITAL"/>
    <s v="İLAN BEKLİYOR"/>
    <s v="STOKTA"/>
    <x v="30"/>
  </r>
  <r>
    <x v="1"/>
    <x v="1"/>
    <x v="7"/>
    <n v="954.73"/>
    <n v="194"/>
    <n v="19"/>
    <s v="ARSA"/>
    <s v="NORA CAPITAL"/>
    <s v="İLAN BEKLİYOR"/>
    <s v="STOKTA"/>
    <x v="30"/>
  </r>
  <r>
    <x v="10"/>
    <x v="25"/>
    <x v="66"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6D1A4-55C3-4383-BA73-6BA13FC35AFF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:D184" firstHeaderRow="1" firstDataRow="1" firstDataCol="4"/>
  <pivotFields count="11">
    <pivotField axis="axisRow" compact="0" outline="0" showAll="0">
      <items count="12">
        <item x="4"/>
        <item x="6"/>
        <item x="3"/>
        <item x="1"/>
        <item x="8"/>
        <item x="5"/>
        <item x="9"/>
        <item x="7"/>
        <item x="2"/>
        <item x="0"/>
        <item x="10"/>
        <item t="default"/>
      </items>
    </pivotField>
    <pivotField axis="axisRow" compact="0" outline="0" showAll="0">
      <items count="27">
        <item x="17"/>
        <item x="0"/>
        <item x="10"/>
        <item x="13"/>
        <item x="20"/>
        <item x="11"/>
        <item x="16"/>
        <item x="3"/>
        <item x="12"/>
        <item x="4"/>
        <item x="8"/>
        <item x="5"/>
        <item x="14"/>
        <item x="7"/>
        <item x="21"/>
        <item x="2"/>
        <item x="19"/>
        <item x="23"/>
        <item x="24"/>
        <item x="6"/>
        <item x="1"/>
        <item x="22"/>
        <item x="9"/>
        <item x="15"/>
        <item x="18"/>
        <item x="25"/>
        <item t="default"/>
      </items>
    </pivotField>
    <pivotField axis="axisRow" compact="0" outline="0" showAll="0">
      <items count="68">
        <item x="25"/>
        <item x="18"/>
        <item x="11"/>
        <item x="37"/>
        <item x="7"/>
        <item x="17"/>
        <item x="12"/>
        <item x="59"/>
        <item x="34"/>
        <item x="4"/>
        <item x="33"/>
        <item x="57"/>
        <item x="38"/>
        <item x="65"/>
        <item x="52"/>
        <item x="9"/>
        <item x="39"/>
        <item x="40"/>
        <item x="14"/>
        <item x="30"/>
        <item x="63"/>
        <item x="22"/>
        <item x="5"/>
        <item x="60"/>
        <item x="16"/>
        <item x="6"/>
        <item x="41"/>
        <item x="2"/>
        <item x="27"/>
        <item x="35"/>
        <item x="20"/>
        <item x="42"/>
        <item x="13"/>
        <item x="19"/>
        <item x="26"/>
        <item x="64"/>
        <item x="55"/>
        <item x="24"/>
        <item x="15"/>
        <item x="21"/>
        <item x="0"/>
        <item x="43"/>
        <item x="44"/>
        <item x="62"/>
        <item x="8"/>
        <item x="45"/>
        <item x="46"/>
        <item x="10"/>
        <item x="28"/>
        <item x="61"/>
        <item x="32"/>
        <item x="58"/>
        <item x="1"/>
        <item x="47"/>
        <item x="48"/>
        <item x="29"/>
        <item x="31"/>
        <item x="53"/>
        <item x="54"/>
        <item x="49"/>
        <item x="56"/>
        <item x="36"/>
        <item x="23"/>
        <item x="50"/>
        <item x="51"/>
        <item x="3"/>
        <item x="6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2">
        <item x="27"/>
        <item x="25"/>
        <item x="23"/>
        <item x="22"/>
        <item x="21"/>
        <item x="24"/>
        <item x="20"/>
        <item x="15"/>
        <item x="14"/>
        <item x="3"/>
        <item x="8"/>
        <item x="1"/>
        <item x="12"/>
        <item x="18"/>
        <item x="11"/>
        <item x="4"/>
        <item x="26"/>
        <item x="0"/>
        <item x="19"/>
        <item x="17"/>
        <item x="28"/>
        <item x="16"/>
        <item x="13"/>
        <item x="5"/>
        <item x="2"/>
        <item x="9"/>
        <item x="7"/>
        <item x="10"/>
        <item x="6"/>
        <item x="29"/>
        <item x="30"/>
        <item t="default"/>
      </items>
    </pivotField>
  </pivotFields>
  <rowFields count="4">
    <field x="0"/>
    <field x="1"/>
    <field x="2"/>
    <field x="10"/>
  </rowFields>
  <rowItems count="183">
    <i>
      <x/>
      <x v="11"/>
      <x v="22"/>
      <x v="9"/>
    </i>
    <i t="default" r="2">
      <x v="22"/>
    </i>
    <i t="default" r="1">
      <x v="11"/>
    </i>
    <i t="default">
      <x/>
    </i>
    <i>
      <x v="1"/>
      <x v="8"/>
      <x v="33"/>
      <x v="27"/>
    </i>
    <i t="default" r="2">
      <x v="33"/>
    </i>
    <i t="default" r="1">
      <x v="8"/>
    </i>
    <i t="default">
      <x v="1"/>
    </i>
    <i>
      <x v="2"/>
      <x v="9"/>
      <x v="9"/>
      <x v="17"/>
    </i>
    <i t="default" r="2">
      <x v="9"/>
    </i>
    <i t="default" r="1">
      <x v="9"/>
    </i>
    <i r="1">
      <x v="23"/>
      <x/>
      <x v="12"/>
    </i>
    <i t="default" r="2">
      <x/>
    </i>
    <i t="default" r="1">
      <x v="23"/>
    </i>
    <i t="default">
      <x v="2"/>
    </i>
    <i>
      <x v="3"/>
      <x v="2"/>
      <x v="18"/>
      <x v="25"/>
    </i>
    <i t="default" r="2">
      <x v="18"/>
    </i>
    <i r="2">
      <x v="46"/>
      <x v="28"/>
    </i>
    <i t="default" r="2">
      <x v="46"/>
    </i>
    <i r="2">
      <x v="54"/>
      <x v="28"/>
    </i>
    <i t="default" r="2">
      <x v="54"/>
    </i>
    <i t="default" r="1">
      <x v="2"/>
    </i>
    <i r="1">
      <x v="7"/>
      <x v="2"/>
      <x v="10"/>
    </i>
    <i t="default" r="2">
      <x v="2"/>
    </i>
    <i r="2">
      <x v="11"/>
      <x v="6"/>
    </i>
    <i t="default" r="2">
      <x v="11"/>
    </i>
    <i r="2">
      <x v="15"/>
      <x v="11"/>
    </i>
    <i t="default" r="2">
      <x v="15"/>
    </i>
    <i r="2">
      <x v="53"/>
      <x v="28"/>
    </i>
    <i t="default" r="2">
      <x v="53"/>
    </i>
    <i r="2">
      <x v="65"/>
      <x v="9"/>
    </i>
    <i t="default" r="2">
      <x v="65"/>
    </i>
    <i t="default" r="1">
      <x v="7"/>
    </i>
    <i r="1">
      <x v="12"/>
      <x v="19"/>
      <x v="9"/>
    </i>
    <i t="default" r="2">
      <x v="19"/>
    </i>
    <i r="2">
      <x v="21"/>
      <x v="11"/>
    </i>
    <i t="default" r="2">
      <x v="21"/>
    </i>
    <i t="default" r="1">
      <x v="12"/>
    </i>
    <i r="1">
      <x v="13"/>
      <x v="3"/>
      <x v="28"/>
    </i>
    <i t="default" r="2">
      <x v="3"/>
    </i>
    <i r="2">
      <x v="8"/>
      <x v="11"/>
    </i>
    <i t="default" r="2">
      <x v="8"/>
    </i>
    <i r="2">
      <x v="14"/>
      <x v="13"/>
    </i>
    <i t="default" r="2">
      <x v="14"/>
    </i>
    <i r="2">
      <x v="26"/>
      <x v="15"/>
    </i>
    <i t="default" r="2">
      <x v="26"/>
    </i>
    <i r="2">
      <x v="31"/>
      <x v="19"/>
    </i>
    <i t="default" r="2">
      <x v="31"/>
    </i>
    <i r="2">
      <x v="39"/>
      <x v="12"/>
    </i>
    <i t="default" r="2">
      <x v="39"/>
    </i>
    <i r="2">
      <x v="44"/>
      <x v="23"/>
    </i>
    <i r="3">
      <x v="26"/>
    </i>
    <i r="3">
      <x v="28"/>
    </i>
    <i t="default" r="2">
      <x v="44"/>
    </i>
    <i r="2">
      <x v="47"/>
      <x v="23"/>
    </i>
    <i t="default" r="2">
      <x v="47"/>
    </i>
    <i r="2">
      <x v="51"/>
      <x v="17"/>
    </i>
    <i t="default" r="2">
      <x v="51"/>
    </i>
    <i r="2">
      <x v="58"/>
      <x v="12"/>
    </i>
    <i t="default" r="2">
      <x v="58"/>
    </i>
    <i r="2">
      <x v="60"/>
      <x v="9"/>
    </i>
    <i t="default" r="2">
      <x v="60"/>
    </i>
    <i r="2">
      <x v="61"/>
      <x v="14"/>
    </i>
    <i t="default" r="2">
      <x v="61"/>
    </i>
    <i r="2">
      <x v="63"/>
      <x v="28"/>
    </i>
    <i t="default" r="2">
      <x v="63"/>
    </i>
    <i t="default" r="1">
      <x v="13"/>
    </i>
    <i r="1">
      <x v="14"/>
      <x v="35"/>
      <x/>
    </i>
    <i t="default" r="2">
      <x v="35"/>
    </i>
    <i r="2">
      <x v="45"/>
      <x v="28"/>
    </i>
    <i t="default" r="2">
      <x v="45"/>
    </i>
    <i t="default" r="1">
      <x v="14"/>
    </i>
    <i r="1">
      <x v="19"/>
      <x v="1"/>
      <x v="10"/>
    </i>
    <i t="default" r="2">
      <x v="1"/>
    </i>
    <i r="2">
      <x v="17"/>
      <x v="28"/>
    </i>
    <i t="default" r="2">
      <x v="17"/>
    </i>
    <i r="2">
      <x v="25"/>
      <x v="11"/>
    </i>
    <i t="default" r="2">
      <x v="25"/>
    </i>
    <i r="2">
      <x v="38"/>
      <x v="9"/>
    </i>
    <i t="default" r="2">
      <x v="38"/>
    </i>
    <i r="2">
      <x v="42"/>
      <x v="28"/>
    </i>
    <i t="default" r="2">
      <x v="42"/>
    </i>
    <i t="default" r="1">
      <x v="19"/>
    </i>
    <i r="1">
      <x v="20"/>
      <x v="4"/>
      <x v="15"/>
    </i>
    <i r="3">
      <x v="29"/>
    </i>
    <i r="3">
      <x v="30"/>
    </i>
    <i t="default" r="2">
      <x v="4"/>
    </i>
    <i r="2">
      <x v="16"/>
      <x v="28"/>
    </i>
    <i t="default" r="2">
      <x v="16"/>
    </i>
    <i r="2">
      <x v="24"/>
      <x v="15"/>
    </i>
    <i r="3">
      <x v="28"/>
    </i>
    <i t="default" r="2">
      <x v="24"/>
    </i>
    <i r="2">
      <x v="50"/>
      <x v="28"/>
    </i>
    <i t="default" r="2">
      <x v="50"/>
    </i>
    <i r="2">
      <x v="52"/>
      <x v="11"/>
    </i>
    <i t="default" r="2">
      <x v="52"/>
    </i>
    <i r="2">
      <x v="56"/>
      <x v="28"/>
    </i>
    <i t="default" r="2">
      <x v="56"/>
    </i>
    <i r="2">
      <x v="57"/>
      <x v="18"/>
    </i>
    <i r="3">
      <x v="28"/>
    </i>
    <i t="default" r="2">
      <x v="57"/>
    </i>
    <i r="2">
      <x v="62"/>
      <x v="12"/>
    </i>
    <i t="default" r="2">
      <x v="62"/>
    </i>
    <i t="default" r="1">
      <x v="20"/>
    </i>
    <i t="default">
      <x v="3"/>
    </i>
    <i>
      <x v="4"/>
      <x v="17"/>
      <x v="13"/>
      <x v="20"/>
    </i>
    <i t="default" r="2">
      <x v="13"/>
    </i>
    <i r="2">
      <x v="36"/>
      <x v="25"/>
    </i>
    <i t="default" r="2">
      <x v="36"/>
    </i>
    <i t="default" r="1">
      <x v="17"/>
    </i>
    <i r="1">
      <x v="18"/>
      <x v="20"/>
      <x v="16"/>
    </i>
    <i t="default" r="2">
      <x v="20"/>
    </i>
    <i t="default" r="1">
      <x v="18"/>
    </i>
    <i r="1">
      <x v="24"/>
      <x v="32"/>
      <x v="21"/>
    </i>
    <i t="default" r="2">
      <x v="32"/>
    </i>
    <i t="default" r="1">
      <x v="24"/>
    </i>
    <i t="default">
      <x v="4"/>
    </i>
    <i>
      <x v="5"/>
      <x v="3"/>
      <x v="12"/>
      <x v="28"/>
    </i>
    <i t="default" r="2">
      <x v="12"/>
    </i>
    <i r="2">
      <x v="30"/>
      <x v="14"/>
    </i>
    <i t="default" r="2">
      <x v="30"/>
    </i>
    <i t="default" r="1">
      <x v="3"/>
    </i>
    <i r="1">
      <x v="4"/>
      <x v="29"/>
      <x v="28"/>
    </i>
    <i t="default" r="2">
      <x v="29"/>
    </i>
    <i t="default" r="1">
      <x v="4"/>
    </i>
    <i r="1">
      <x v="22"/>
      <x v="32"/>
      <x v="11"/>
    </i>
    <i t="default" r="2">
      <x v="32"/>
    </i>
    <i t="default" r="1">
      <x v="22"/>
    </i>
    <i t="default">
      <x v="5"/>
    </i>
    <i>
      <x v="6"/>
      <x v="16"/>
      <x v="10"/>
      <x v="28"/>
    </i>
    <i t="default" r="2">
      <x v="10"/>
    </i>
    <i t="default" r="1">
      <x v="16"/>
    </i>
    <i t="default">
      <x v="6"/>
    </i>
    <i>
      <x v="7"/>
      <x v="6"/>
      <x v="28"/>
      <x v="24"/>
    </i>
    <i t="default" r="2">
      <x v="28"/>
    </i>
    <i r="2">
      <x v="34"/>
      <x v="22"/>
    </i>
    <i t="default" r="2">
      <x v="34"/>
    </i>
    <i t="default" r="1">
      <x v="6"/>
    </i>
    <i t="default">
      <x v="7"/>
    </i>
    <i>
      <x v="8"/>
      <x v="15"/>
      <x v="27"/>
      <x v="24"/>
    </i>
    <i t="default" r="2">
      <x v="27"/>
    </i>
    <i r="2">
      <x v="55"/>
      <x v="7"/>
    </i>
    <i r="3">
      <x v="8"/>
    </i>
    <i t="default" r="2">
      <x v="55"/>
    </i>
    <i t="default" r="1">
      <x v="15"/>
    </i>
    <i t="default">
      <x v="8"/>
    </i>
    <i>
      <x v="9"/>
      <x/>
      <x v="41"/>
      <x v="28"/>
    </i>
    <i t="default" r="2">
      <x v="41"/>
    </i>
    <i r="2">
      <x v="48"/>
      <x v="11"/>
    </i>
    <i t="default" r="2">
      <x v="48"/>
    </i>
    <i t="default" r="1">
      <x/>
    </i>
    <i r="1">
      <x v="1"/>
      <x v="37"/>
      <x v="12"/>
    </i>
    <i t="default" r="2">
      <x v="37"/>
    </i>
    <i r="2">
      <x v="40"/>
      <x v="12"/>
    </i>
    <i r="3">
      <x v="17"/>
    </i>
    <i t="default" r="2">
      <x v="40"/>
    </i>
    <i r="2">
      <x v="64"/>
      <x v="28"/>
    </i>
    <i t="default" r="2">
      <x v="64"/>
    </i>
    <i t="default" r="1">
      <x v="1"/>
    </i>
    <i r="1">
      <x v="5"/>
      <x v="5"/>
      <x v="10"/>
    </i>
    <i t="default" r="2">
      <x v="5"/>
    </i>
    <i r="2">
      <x v="7"/>
      <x v="4"/>
    </i>
    <i t="default" r="2">
      <x v="7"/>
    </i>
    <i r="2">
      <x v="23"/>
      <x v="3"/>
    </i>
    <i t="default" r="2">
      <x v="23"/>
    </i>
    <i r="2">
      <x v="43"/>
      <x v="5"/>
    </i>
    <i t="default" r="2">
      <x v="43"/>
    </i>
    <i r="2">
      <x v="49"/>
      <x v="1"/>
    </i>
    <i r="3">
      <x v="2"/>
    </i>
    <i t="default" r="2">
      <x v="49"/>
    </i>
    <i t="default" r="1">
      <x v="5"/>
    </i>
    <i r="1">
      <x v="10"/>
      <x v="6"/>
      <x v="10"/>
    </i>
    <i t="default" r="2">
      <x v="6"/>
    </i>
    <i t="default" r="1">
      <x v="10"/>
    </i>
    <i r="1">
      <x v="21"/>
      <x v="59"/>
      <x v="21"/>
    </i>
    <i t="default" r="2">
      <x v="59"/>
    </i>
    <i t="default" r="1">
      <x v="21"/>
    </i>
    <i t="default">
      <x v="9"/>
    </i>
    <i>
      <x v="10"/>
      <x v="25"/>
      <x v="66"/>
      <x v="28"/>
    </i>
    <i t="default" r="2">
      <x v="66"/>
    </i>
    <i t="default" r="1">
      <x v="25"/>
    </i>
    <i t="default">
      <x v="10"/>
    </i>
    <i t="grand">
      <x/>
    </i>
  </rowItems>
  <colItems count="1">
    <i/>
  </colItems>
  <formats count="179">
    <format dxfId="192">
      <pivotArea field="10" type="button" dataOnly="0" labelOnly="1" outline="0" axis="axisRow" fieldPosition="3"/>
    </format>
    <format dxfId="191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90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189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88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187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86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185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184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183">
      <pivotArea dataOnly="0" labelOnly="1" outline="0" fieldPosition="0">
        <references count="1">
          <reference field="0" count="1" defaultSubtotal="1">
            <x v="8"/>
          </reference>
        </references>
      </pivotArea>
    </format>
    <format dxfId="182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181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180">
      <pivotArea dataOnly="0" labelOnly="1" grandRow="1" outline="0" fieldPosition="0"/>
    </format>
    <format dxfId="179">
      <pivotArea dataOnly="0" labelOnly="1" outline="0" fieldPosition="0">
        <references count="2">
          <reference field="0" count="1" selected="0">
            <x v="0"/>
          </reference>
          <reference field="1" count="1" defaultSubtotal="1">
            <x v="11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1"/>
          </reference>
          <reference field="1" count="1" defaultSubtotal="1">
            <x v="8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2"/>
          </reference>
          <reference field="1" count="1" defaultSubtotal="1">
            <x v="9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2"/>
          </reference>
          <reference field="1" count="1" defaultSubtotal="1">
            <x v="23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2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2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3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4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9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20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7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8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2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3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4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22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16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7"/>
          </reference>
          <reference field="1" count="1" defaultSubtotal="1">
            <x v="6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15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9"/>
          </reference>
          <reference field="1" count="1" defaultSubtotal="1">
            <x v="0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9"/>
          </reference>
          <reference field="1" count="1" defaultSubtotal="1">
            <x v="1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9"/>
          </reference>
          <reference field="1" count="1" defaultSubtotal="1">
            <x v="5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9"/>
          </reference>
          <reference field="1" count="1" defaultSubtotal="1">
            <x v="10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9"/>
          </reference>
          <reference field="1" count="1" defaultSubtotal="1">
            <x v="21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10"/>
          </reference>
          <reference field="1" count="1" defaultSubtotal="1">
            <x v="25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"/>
          </reference>
          <reference field="2" count="1" defaultSubtotal="1">
            <x v="22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2" count="1" defaultSubtotal="1">
            <x v="33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 defaultSubtotal="1">
            <x v="9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3"/>
          </reference>
          <reference field="2" count="1" defaultSubtotal="1">
            <x v="0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defaultSubtotal="1">
            <x v="18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defaultSubtotal="1">
            <x v="46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defaultSubtotal="1">
            <x v="54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"/>
          </reference>
          <reference field="2" count="1" defaultSubtotal="1">
            <x v="2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"/>
          </reference>
          <reference field="2" count="1" defaultSubtotal="1">
            <x v="1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"/>
          </reference>
          <reference field="2" count="1" defaultSubtotal="1">
            <x v="15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"/>
          </reference>
          <reference field="2" count="1" defaultSubtotal="1">
            <x v="53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"/>
          </reference>
          <reference field="2" count="1" defaultSubtotal="1">
            <x v="65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2" count="1" defaultSubtotal="1">
            <x v="19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2" count="1" defaultSubtotal="1">
            <x v="21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3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8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14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26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31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39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44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47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51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58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60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61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 defaultSubtotal="1">
            <x v="63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"/>
          </reference>
          <reference field="2" count="1" defaultSubtotal="1">
            <x v="35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"/>
          </reference>
          <reference field="2" count="1" defaultSubtotal="1">
            <x v="45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"/>
          </reference>
          <reference field="2" count="1" defaultSubtotal="1">
            <x v="1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"/>
          </reference>
          <reference field="2" count="1" defaultSubtotal="1">
            <x v="17"/>
          </reference>
        </references>
      </pivotArea>
    </format>
    <format dxfId="12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"/>
          </reference>
          <reference field="2" count="1" defaultSubtotal="1">
            <x v="25"/>
          </reference>
        </references>
      </pivotArea>
    </format>
    <format dxfId="12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"/>
          </reference>
          <reference field="2" count="1" defaultSubtotal="1">
            <x v="38"/>
          </reference>
        </references>
      </pivotArea>
    </format>
    <format dxfId="12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"/>
          </reference>
          <reference field="2" count="1" defaultSubtotal="1">
            <x v="42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4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16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24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50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52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56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57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 defaultSubtotal="1">
            <x v="62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7"/>
          </reference>
          <reference field="2" count="1" defaultSubtotal="1">
            <x v="13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7"/>
          </reference>
          <reference field="2" count="1" defaultSubtotal="1">
            <x v="36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8"/>
          </reference>
          <reference field="2" count="1" defaultSubtotal="1">
            <x v="20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4"/>
          </reference>
          <reference field="2" count="1" defaultSubtotal="1">
            <x v="32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"/>
          </reference>
          <reference field="2" count="1" defaultSubtotal="1">
            <x v="12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"/>
          </reference>
          <reference field="2" count="1" defaultSubtotal="1">
            <x v="30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4"/>
          </reference>
          <reference field="2" count="1" defaultSubtotal="1">
            <x v="29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2"/>
          </reference>
          <reference field="2" count="1" defaultSubtotal="1">
            <x v="32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6"/>
          </reference>
          <reference field="2" count="1" defaultSubtotal="1">
            <x v="10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 defaultSubtotal="1">
            <x v="28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 defaultSubtotal="1">
            <x v="34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5"/>
          </reference>
          <reference field="2" count="1" defaultSubtotal="1">
            <x v="27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5"/>
          </reference>
          <reference field="2" count="1" defaultSubtotal="1">
            <x v="55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2" count="1" defaultSubtotal="1">
            <x v="41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2" count="1" defaultSubtotal="1">
            <x v="48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 defaultSubtotal="1">
            <x v="37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 defaultSubtotal="1">
            <x v="40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 defaultSubtotal="1">
            <x v="64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5"/>
          </reference>
          <reference field="2" count="1" defaultSubtotal="1">
            <x v="5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5"/>
          </reference>
          <reference field="2" count="1" defaultSubtotal="1">
            <x v="7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5"/>
          </reference>
          <reference field="2" count="1" defaultSubtotal="1">
            <x v="23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5"/>
          </reference>
          <reference field="2" count="1" defaultSubtotal="1">
            <x v="43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5"/>
          </reference>
          <reference field="2" count="1" defaultSubtotal="1">
            <x v="49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0"/>
          </reference>
          <reference field="2" count="1" defaultSubtotal="1">
            <x v="6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1"/>
          </reference>
          <reference field="2" count="1" defaultSubtotal="1">
            <x v="59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25"/>
          </reference>
          <reference field="2" count="1" defaultSubtotal="1">
            <x v="66"/>
          </reference>
        </references>
      </pivotArea>
    </format>
    <format dxfId="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"/>
          </reference>
          <reference field="2" count="1" selected="0">
            <x v="22"/>
          </reference>
          <reference field="10" count="1">
            <x v="9"/>
          </reference>
        </references>
      </pivotArea>
    </format>
    <format dxfId="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"/>
          </reference>
          <reference field="2" count="1" selected="0">
            <x v="33"/>
          </reference>
          <reference field="10" count="1">
            <x v="27"/>
          </reference>
        </references>
      </pivotArea>
    </format>
    <format dxfId="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 selected="0">
            <x v="9"/>
          </reference>
          <reference field="10" count="1">
            <x v="17"/>
          </reference>
        </references>
      </pivotArea>
    </format>
    <format dxfId="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3"/>
          </reference>
          <reference field="2" count="1" selected="0">
            <x v="0"/>
          </reference>
          <reference field="10" count="1">
            <x v="11"/>
          </reference>
        </references>
      </pivotArea>
    </format>
    <format dxfId="8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2" count="1" selected="0">
            <x v="18"/>
          </reference>
          <reference field="10" count="1">
            <x v="25"/>
          </reference>
        </references>
      </pivotArea>
    </format>
    <format dxfId="8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2" count="1" selected="0">
            <x v="46"/>
          </reference>
          <reference field="10" count="1">
            <x v="28"/>
          </reference>
        </references>
      </pivotArea>
    </format>
    <format dxfId="7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2" count="1" selected="0">
            <x v="54"/>
          </reference>
          <reference field="10" count="1">
            <x v="28"/>
          </reference>
        </references>
      </pivotArea>
    </format>
    <format dxfId="7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2"/>
          </reference>
          <reference field="10" count="1">
            <x v="10"/>
          </reference>
        </references>
      </pivotArea>
    </format>
    <format dxfId="7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11"/>
          </reference>
          <reference field="10" count="1">
            <x v="6"/>
          </reference>
        </references>
      </pivotArea>
    </format>
    <format dxfId="7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15"/>
          </reference>
          <reference field="10" count="1">
            <x v="11"/>
          </reference>
        </references>
      </pivotArea>
    </format>
    <format dxfId="7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53"/>
          </reference>
          <reference field="10" count="1">
            <x v="28"/>
          </reference>
        </references>
      </pivotArea>
    </format>
    <format dxfId="7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"/>
          </reference>
          <reference field="2" count="1" selected="0">
            <x v="65"/>
          </reference>
          <reference field="10" count="1">
            <x v="9"/>
          </reference>
        </references>
      </pivotArea>
    </format>
    <format dxfId="7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2"/>
          </reference>
          <reference field="2" count="1" selected="0">
            <x v="19"/>
          </reference>
          <reference field="10" count="1">
            <x v="9"/>
          </reference>
        </references>
      </pivotArea>
    </format>
    <format dxfId="7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2"/>
          </reference>
          <reference field="2" count="1" selected="0">
            <x v="21"/>
          </reference>
          <reference field="10" count="1">
            <x v="11"/>
          </reference>
        </references>
      </pivotArea>
    </format>
    <format dxfId="7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3"/>
          </reference>
          <reference field="10" count="1">
            <x v="28"/>
          </reference>
        </references>
      </pivotArea>
    </format>
    <format dxfId="7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8"/>
          </reference>
          <reference field="10" count="1">
            <x v="11"/>
          </reference>
        </references>
      </pivotArea>
    </format>
    <format dxfId="6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14"/>
          </reference>
          <reference field="10" count="1">
            <x v="13"/>
          </reference>
        </references>
      </pivotArea>
    </format>
    <format dxfId="6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26"/>
          </reference>
          <reference field="10" count="1">
            <x v="15"/>
          </reference>
        </references>
      </pivotArea>
    </format>
    <format dxfId="6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31"/>
          </reference>
          <reference field="10" count="1">
            <x v="19"/>
          </reference>
        </references>
      </pivotArea>
    </format>
    <format dxfId="6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39"/>
          </reference>
          <reference field="10" count="1">
            <x v="12"/>
          </reference>
        </references>
      </pivotArea>
    </format>
    <format dxfId="6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44"/>
          </reference>
          <reference field="10" count="3">
            <x v="23"/>
            <x v="26"/>
            <x v="28"/>
          </reference>
        </references>
      </pivotArea>
    </format>
    <format dxfId="6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47"/>
          </reference>
          <reference field="10" count="1">
            <x v="23"/>
          </reference>
        </references>
      </pivotArea>
    </format>
    <format dxfId="6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51"/>
          </reference>
          <reference field="10" count="1">
            <x v="17"/>
          </reference>
        </references>
      </pivotArea>
    </format>
    <format dxfId="6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58"/>
          </reference>
          <reference field="10" count="1">
            <x v="12"/>
          </reference>
        </references>
      </pivotArea>
    </format>
    <format dxfId="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60"/>
          </reference>
          <reference field="10" count="1">
            <x v="9"/>
          </reference>
        </references>
      </pivotArea>
    </format>
    <format dxfId="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61"/>
          </reference>
          <reference field="10" count="1">
            <x v="14"/>
          </reference>
        </references>
      </pivotArea>
    </format>
    <format dxfId="5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"/>
          </reference>
          <reference field="2" count="1" selected="0">
            <x v="63"/>
          </reference>
          <reference field="10" count="1">
            <x v="28"/>
          </reference>
        </references>
      </pivotArea>
    </format>
    <format dxfId="5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4"/>
          </reference>
          <reference field="2" count="1" selected="0">
            <x v="35"/>
          </reference>
          <reference field="10" count="1">
            <x v="0"/>
          </reference>
        </references>
      </pivotArea>
    </format>
    <format dxfId="5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4"/>
          </reference>
          <reference field="2" count="1" selected="0">
            <x v="45"/>
          </reference>
          <reference field="10" count="1">
            <x v="28"/>
          </reference>
        </references>
      </pivotArea>
    </format>
    <format dxfId="5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"/>
          </reference>
          <reference field="2" count="1" selected="0">
            <x v="1"/>
          </reference>
          <reference field="10" count="1">
            <x v="10"/>
          </reference>
        </references>
      </pivotArea>
    </format>
    <format dxfId="5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"/>
          </reference>
          <reference field="2" count="1" selected="0">
            <x v="17"/>
          </reference>
          <reference field="10" count="1">
            <x v="28"/>
          </reference>
        </references>
      </pivotArea>
    </format>
    <format dxfId="5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"/>
          </reference>
          <reference field="2" count="1" selected="0">
            <x v="25"/>
          </reference>
          <reference field="10" count="1">
            <x v="11"/>
          </reference>
        </references>
      </pivotArea>
    </format>
    <format dxfId="5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"/>
          </reference>
          <reference field="2" count="1" selected="0">
            <x v="38"/>
          </reference>
          <reference field="10" count="1">
            <x v="9"/>
          </reference>
        </references>
      </pivotArea>
    </format>
    <format dxfId="5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"/>
          </reference>
          <reference field="2" count="1" selected="0">
            <x v="42"/>
          </reference>
          <reference field="10" count="1">
            <x v="28"/>
          </reference>
        </references>
      </pivotArea>
    </format>
    <format dxfId="5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4"/>
          </reference>
          <reference field="10" count="1">
            <x v="15"/>
          </reference>
        </references>
      </pivotArea>
    </format>
    <format dxfId="5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6"/>
          </reference>
          <reference field="10" count="1">
            <x v="28"/>
          </reference>
        </references>
      </pivotArea>
    </format>
    <format dxfId="4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24"/>
          </reference>
          <reference field="10" count="2">
            <x v="15"/>
            <x v="28"/>
          </reference>
        </references>
      </pivotArea>
    </format>
    <format dxfId="4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50"/>
          </reference>
          <reference field="10" count="1">
            <x v="28"/>
          </reference>
        </references>
      </pivotArea>
    </format>
    <format dxfId="4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52"/>
          </reference>
          <reference field="10" count="1">
            <x v="11"/>
          </reference>
        </references>
      </pivotArea>
    </format>
    <format dxfId="4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56"/>
          </reference>
          <reference field="10" count="1">
            <x v="28"/>
          </reference>
        </references>
      </pivotArea>
    </format>
    <format dxfId="4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57"/>
          </reference>
          <reference field="10" count="2">
            <x v="18"/>
            <x v="28"/>
          </reference>
        </references>
      </pivotArea>
    </format>
    <format dxfId="4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62"/>
          </reference>
          <reference field="10" count="1">
            <x v="12"/>
          </reference>
        </references>
      </pivotArea>
    </format>
    <format dxfId="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2" count="1" selected="0">
            <x v="13"/>
          </reference>
          <reference field="10" count="1">
            <x v="20"/>
          </reference>
        </references>
      </pivotArea>
    </format>
    <format dxfId="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2" count="1" selected="0">
            <x v="36"/>
          </reference>
          <reference field="10" count="1">
            <x v="25"/>
          </reference>
        </references>
      </pivotArea>
    </format>
    <format dxfId="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8"/>
          </reference>
          <reference field="2" count="1" selected="0">
            <x v="20"/>
          </reference>
          <reference field="10" count="1">
            <x v="16"/>
          </reference>
        </references>
      </pivotArea>
    </format>
    <format dxfId="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4"/>
          </reference>
          <reference field="2" count="1" selected="0">
            <x v="32"/>
          </reference>
          <reference field="10" count="1">
            <x v="21"/>
          </reference>
        </references>
      </pivotArea>
    </format>
    <format dxfId="3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"/>
          </reference>
          <reference field="2" count="1" selected="0">
            <x v="12"/>
          </reference>
          <reference field="10" count="1">
            <x v="28"/>
          </reference>
        </references>
      </pivotArea>
    </format>
    <format dxfId="3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"/>
          </reference>
          <reference field="2" count="1" selected="0">
            <x v="30"/>
          </reference>
          <reference field="10" count="1">
            <x v="14"/>
          </reference>
        </references>
      </pivotArea>
    </format>
    <format dxfId="3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4"/>
          </reference>
          <reference field="2" count="1" selected="0">
            <x v="29"/>
          </reference>
          <reference field="10" count="1">
            <x v="28"/>
          </reference>
        </references>
      </pivotArea>
    </format>
    <format dxfId="3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2" count="1" selected="0">
            <x v="32"/>
          </reference>
          <reference field="10" count="1">
            <x v="11"/>
          </reference>
        </references>
      </pivotArea>
    </format>
    <format dxfId="3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6"/>
          </reference>
          <reference field="2" count="1" selected="0">
            <x v="10"/>
          </reference>
          <reference field="10" count="1">
            <x v="28"/>
          </reference>
        </references>
      </pivotArea>
    </format>
    <format dxfId="3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"/>
          </reference>
          <reference field="2" count="1" selected="0">
            <x v="28"/>
          </reference>
          <reference field="10" count="1">
            <x v="24"/>
          </reference>
        </references>
      </pivotArea>
    </format>
    <format dxfId="3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"/>
          </reference>
          <reference field="2" count="1" selected="0">
            <x v="34"/>
          </reference>
          <reference field="10" count="1">
            <x v="22"/>
          </reference>
        </references>
      </pivotArea>
    </format>
    <format dxfId="32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15"/>
          </reference>
          <reference field="2" count="1" selected="0">
            <x v="27"/>
          </reference>
          <reference field="10" count="1">
            <x v="24"/>
          </reference>
        </references>
      </pivotArea>
    </format>
    <format dxfId="31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15"/>
          </reference>
          <reference field="2" count="1" selected="0">
            <x v="55"/>
          </reference>
          <reference field="10" count="2">
            <x v="7"/>
            <x v="8"/>
          </reference>
        </references>
      </pivotArea>
    </format>
    <format dxfId="3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2" count="1" selected="0">
            <x v="41"/>
          </reference>
          <reference field="10" count="1">
            <x v="28"/>
          </reference>
        </references>
      </pivotArea>
    </format>
    <format dxfId="2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2" count="1" selected="0">
            <x v="48"/>
          </reference>
          <reference field="10" count="1">
            <x v="11"/>
          </reference>
        </references>
      </pivotArea>
    </format>
    <format dxfId="2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37"/>
          </reference>
          <reference field="10" count="1">
            <x v="12"/>
          </reference>
        </references>
      </pivotArea>
    </format>
    <format dxfId="2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40"/>
          </reference>
          <reference field="10" count="2">
            <x v="12"/>
            <x v="17"/>
          </reference>
        </references>
      </pivotArea>
    </format>
    <format dxfId="2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64"/>
          </reference>
          <reference field="10" count="1">
            <x v="28"/>
          </reference>
        </references>
      </pivotArea>
    </format>
    <format dxfId="2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5"/>
          </reference>
          <reference field="10" count="1">
            <x v="10"/>
          </reference>
        </references>
      </pivotArea>
    </format>
    <format dxfId="2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7"/>
          </reference>
          <reference field="10" count="1">
            <x v="4"/>
          </reference>
        </references>
      </pivotArea>
    </format>
    <format dxfId="2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23"/>
          </reference>
          <reference field="10" count="1">
            <x v="3"/>
          </reference>
        </references>
      </pivotArea>
    </format>
    <format dxfId="2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43"/>
          </reference>
          <reference field="10" count="1">
            <x v="5"/>
          </reference>
        </references>
      </pivotArea>
    </format>
    <format dxfId="2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49"/>
          </reference>
          <reference field="10" count="2">
            <x v="1"/>
            <x v="2"/>
          </reference>
        </references>
      </pivotArea>
    </format>
    <format dxfId="2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"/>
          </reference>
          <reference field="2" count="1" selected="0">
            <x v="6"/>
          </reference>
          <reference field="10" count="1">
            <x v="10"/>
          </reference>
        </references>
      </pivotArea>
    </format>
    <format dxfId="1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21"/>
          </reference>
          <reference field="2" count="1" selected="0">
            <x v="59"/>
          </reference>
          <reference field="10" count="1">
            <x v="21"/>
          </reference>
        </references>
      </pivotArea>
    </format>
    <format dxfId="18">
      <pivotArea field="10" type="button" dataOnly="0" labelOnly="1" outline="0" axis="axisRow" fieldPosition="3"/>
    </format>
    <format dxfId="17">
      <pivotArea dataOnly="0" labelOnly="1" outline="0" offset="IV1" fieldPosition="0">
        <references count="1">
          <reference field="0" count="1">
            <x v="0"/>
          </reference>
        </references>
      </pivotArea>
    </format>
    <format dxfId="16">
      <pivotArea dataOnly="0" labelOnly="1" outline="0" offset="IV1" fieldPosition="0">
        <references count="2">
          <reference field="0" count="1" selected="0">
            <x v="0"/>
          </reference>
          <reference field="1" count="1">
            <x v="1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"/>
          </reference>
          <reference field="2" count="1">
            <x v="22"/>
          </reference>
        </references>
      </pivotArea>
    </format>
    <format dxfId="1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"/>
          </reference>
          <reference field="2" count="1" selected="0">
            <x v="22"/>
          </reference>
          <reference field="10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8" dT="2025-03-22T10:24:45.42" personId="{688B0EB5-E433-4948-8C03-A2AA95A6B6D6}" id="{B3F03E94-615C-4528-A4D6-37A5F9DE802B}">
    <text>Bilal AKTAŞ Rezerve İPOTEK VERİLECEK</text>
  </threadedComment>
  <threadedComment ref="M8" dT="2025-07-21T15:12:59.97" personId="{E34E5BF0-477F-4D98-B160-94A7C97ED439}" id="{987F11B1-6D19-4B18-AA42-B10342E90231}">
    <text>TANER SEZER REZERVE TAPU BAŞVURUSU YAPILDI</text>
  </threadedComment>
  <threadedComment ref="M34" dT="2025-06-24T11:40:41.40" personId="{E34E5BF0-477F-4D98-B160-94A7C97ED439}" id="{D028BD1E-A193-4959-AE9A-941E40BA50C5}">
    <text>MELEK UZAMIŞ ADINA REZERVE</text>
  </threadedComment>
  <threadedComment ref="M43" dT="2025-09-13T08:00:06.35" personId="{E34E5BF0-477F-4D98-B160-94A7C97ED439}" id="{09C927D1-675D-4948-8C41-20441E9B2D01}">
    <text>TANER SEZER E REZERVE</text>
  </threadedComment>
  <threadedComment ref="AH53" dT="2025-05-30T06:55:31.20" personId="{E34E5BF0-477F-4D98-B160-94A7C97ED439}" id="{ED257758-E0D5-4A1A-8252-926600AAC08A}">
    <text>Tapu Mehmet Akkaş'ın üstünde</text>
  </threadedComment>
  <threadedComment ref="L63" dT="2025-05-13T11:10:27.04" personId="{E34E5BF0-477F-4D98-B160-94A7C97ED439}" id="{A5BF3B80-C67B-4623-8D2B-6C52E48E1084}">
    <text>Aliye Kaya kapora alındı</text>
  </threadedComment>
  <threadedComment ref="L148" dT="2025-03-22T10:24:45.42" personId="{688B0EB5-E433-4948-8C03-A2AA95A6B6D6}" id="{1C014D3D-B988-4526-9063-57A2CFD89AA7}">
    <text>Bilal AKTAŞ Rezerve İPOTEK VERİLECEK</text>
  </threadedComment>
  <threadedComment ref="M151" dT="2025-09-22T15:14:05.65" personId="{E34E5BF0-477F-4D98-B160-94A7C97ED439}" id="{07C0A85C-0E0B-41B6-B29C-047C0855CD9F}">
    <text>NİHAT SERTTEPE REZERVE</text>
  </threadedComment>
  <threadedComment ref="L152" dT="2025-03-22T10:24:45.42" personId="{688B0EB5-E433-4948-8C03-A2AA95A6B6D6}" id="{79CC14EB-74DD-40F2-8D8A-3C7C955E6D56}">
    <text>Bilal AKTAŞ Rezerve İPOTEK VERİLECEK</text>
  </threadedComment>
  <threadedComment ref="L159" dT="2025-03-22T10:24:45.42" personId="{688B0EB5-E433-4948-8C03-A2AA95A6B6D6}" id="{4D9F47C0-2619-45F9-8EA5-2679E2F23471}">
    <text>Bilal AKTAŞ Rezerve İPOTEK VERİLECEK</text>
  </threadedComment>
  <threadedComment ref="V187" dT="2025-01-30T08:41:53.51" personId="{E34E5BF0-477F-4D98-B160-94A7C97ED439}" id="{CB7C3C7F-9A86-404B-82B0-443AA9299C6C}">
    <text>BURASI 3 KAT İMARLI; GABARİ: 9,50</text>
  </threadedComment>
  <threadedComment ref="V188" dT="2025-01-30T08:39:46.68" personId="{E34E5BF0-477F-4D98-B160-94A7C97ED439}" id="{DC2A1B5C-D3B1-4484-84D5-1F64C029F283}">
    <text>BURASI 3 KAT İMARLI; GABARİ: 9,50</text>
  </threadedComment>
  <threadedComment ref="V189" dT="2025-01-30T08:41:57.95" personId="{E34E5BF0-477F-4D98-B160-94A7C97ED439}" id="{7A91963D-D435-4C09-87A0-516E2586ECB4}">
    <text>BURASI 3 KAT İMARLI; GABARİ: 9,50</text>
  </threadedComment>
  <threadedComment ref="V190" dT="2025-01-30T08:42:02.19" personId="{E34E5BF0-477F-4D98-B160-94A7C97ED439}" id="{C18F5DA2-F06F-4D6E-BCED-4B3C8C059CAF}">
    <text>BURASI 3 KAT İMARLI; GABARİ: 9,50</text>
  </threadedComment>
  <threadedComment ref="V191" dT="2025-01-30T08:42:26.95" personId="{E34E5BF0-477F-4D98-B160-94A7C97ED439}" id="{4D72F0E2-15F6-428C-AA5D-7F2CDA6D749B}">
    <text>BURASI 3 KAT İMARLI; GABARİ: 9,50</text>
  </threadedComment>
  <threadedComment ref="V192" dT="2025-01-30T08:41:48.17" personId="{E34E5BF0-477F-4D98-B160-94A7C97ED439}" id="{11DE19FF-CE25-4686-A419-9B1752FC89CC}">
    <text>BURASI 3 KAT İMARLI; GABARİ: 9,50</text>
  </threadedComment>
  <threadedComment ref="V193" dT="2025-01-30T08:42:30.78" personId="{E34E5BF0-477F-4D98-B160-94A7C97ED439}" id="{17DF273F-0484-40F0-B046-0D0019B07543}">
    <text>BURASI 3 KAT İMARLI; GABARİ: 9,50</text>
  </threadedComment>
  <threadedComment ref="V194" dT="2025-01-30T08:42:06.72" personId="{E34E5BF0-477F-4D98-B160-94A7C97ED439}" id="{FD320520-F6D1-4F50-A243-083111EF2BB9}">
    <text>BURASI 3 KAT İMARLI; GABARİ: 9,50</text>
  </threadedComment>
  <threadedComment ref="V195" dT="2025-01-30T08:42:12.06" personId="{E34E5BF0-477F-4D98-B160-94A7C97ED439}" id="{BABB18F8-8C36-4ACC-B982-7493F5E3CE30}">
    <text>BURASI 3 KAT İMARLI; GABARİ: 9,50</text>
  </threadedComment>
  <threadedComment ref="V196" dT="2025-01-30T08:42:16.51" personId="{E34E5BF0-477F-4D98-B160-94A7C97ED439}" id="{5B924FEA-BDBF-4230-92C5-C8986195414A}">
    <text>BURASI 3 KAT İMARLI; GABARİ: 9,50</text>
  </threadedComment>
  <threadedComment ref="V199" dT="2025-01-30T08:42:19.84" personId="{E34E5BF0-477F-4D98-B160-94A7C97ED439}" id="{D9D724E5-BFD2-4DDA-92D8-3D9E378F29B9}">
    <text>BURASI 3 KAT İMARLI; GABARİ: 9,50</text>
  </threadedComment>
  <threadedComment ref="V200" dT="2025-01-30T08:42:23.66" personId="{E34E5BF0-477F-4D98-B160-94A7C97ED439}" id="{E810E5A8-B5A4-4778-BBEA-D38270A8ECA0}">
    <text>BURASI 3 KAT İMARLI; GABARİ: 9,50</text>
  </threadedComment>
  <threadedComment ref="L206" dT="2025-03-22T10:24:45.42" personId="{688B0EB5-E433-4948-8C03-A2AA95A6B6D6}" id="{4E8CDA05-6941-4D75-AA42-F2D2EBC8C83E}">
    <text>Bilal AKTAŞ Rezerve İPOTEK VERİLECEK</text>
  </threadedComment>
  <threadedComment ref="L210" dT="2025-03-22T10:24:45.42" personId="{688B0EB5-E433-4948-8C03-A2AA95A6B6D6}" id="{FD2F9CBC-432F-4075-A41B-8451081C441A}">
    <text>Bilal AKTAŞ Rezerve İPOTEK VERİLECEK</text>
  </threadedComment>
  <threadedComment ref="L250" dT="2025-07-29T06:30:16.14" personId="{E34E5BF0-477F-4D98-B160-94A7C97ED439}" id="{FC3AFBB5-DD71-4C3F-A124-813FFC971D49}">
    <text>PROJE ALANIDIR</text>
  </threadedComment>
  <threadedComment ref="M250" dT="2025-07-29T06:30:04.18" personId="{E34E5BF0-477F-4D98-B160-94A7C97ED439}" id="{590E43F2-B11F-4B28-8A00-E70A3382E0E5}">
    <text>PROJE ALANIDIR</text>
  </threadedComment>
  <threadedComment ref="L271" dT="2025-03-22T10:24:45.42" personId="{688B0EB5-E433-4948-8C03-A2AA95A6B6D6}" id="{D255F26D-B809-4F80-B021-C933F4A5EFA6}">
    <text>Bilal AKTAŞ Rezerve İPOTEK VERİLECEK</text>
  </threadedComment>
  <threadedComment ref="L275" dT="2025-03-22T10:24:45.42" personId="{688B0EB5-E433-4948-8C03-A2AA95A6B6D6}" id="{016DA346-4D36-4ACA-BF42-E8668A9363FA}">
    <text>Bilal AKTAŞ Rezerve İPOTEK VERİLECEK</text>
  </threadedComment>
  <threadedComment ref="M283" dT="2025-08-21T06:36:18.65" personId="{E34E5BF0-477F-4D98-B160-94A7C97ED439}" id="{F1F28991-E693-4916-9DC2-C73AEDBB573A}">
    <text>GÜLCAN SÜMER ADINA REZERVE TAPU BAŞVURUSU YAPILDI</text>
  </threadedComment>
  <threadedComment ref="M306" dT="2025-05-24T13:01:47.02" personId="{E34E5BF0-477F-4D98-B160-94A7C97ED439}" id="{B3EDC6DF-AE81-433C-999A-AC52EA0E57FA}">
    <text>Mazhar beye kaporası alındı</text>
  </threadedComment>
  <threadedComment ref="M359" dT="2025-07-08T11:44:04.22" personId="{E34E5BF0-477F-4D98-B160-94A7C97ED439}" id="{BA6B37FE-4638-4434-80F7-BB8E7DFBD211}">
    <text>HÜSNÜ AKGÜN REZERVE TAPU BAŞVURUSU YAPILDI</text>
  </threadedComment>
  <threadedComment ref="M363" dT="2025-08-01T14:59:28.48" personId="{E34E5BF0-477F-4D98-B160-94A7C97ED439}" id="{4792E8AD-5E9F-42DC-9371-4D8DEED1015C}">
    <text>HİLMİ KAYNAMAZOĞLU REZERVE</text>
  </threadedComment>
  <threadedComment ref="M364" dT="2025-07-18T07:30:39.04" personId="{E34E5BF0-477F-4D98-B160-94A7C97ED439}" id="{58F8C2AA-8010-4DD1-8C78-AA93E188C93C}">
    <text>GÖRKEM HÖBELEKLİ REZERVE</text>
  </threadedComment>
  <threadedComment ref="M413" dT="2025-07-15T09:00:47.97" personId="{E34E5BF0-477F-4D98-B160-94A7C97ED439}" id="{86F46307-CC6B-4766-AA9E-184C55535B51}">
    <text>BAYRAM SÜVER ADINA REZERVE</text>
  </threadedComment>
  <threadedComment ref="M422" dT="2025-09-13T08:00:06.35" personId="{E34E5BF0-477F-4D98-B160-94A7C97ED439}" id="{AE45CA97-4D68-4312-8F10-BA6B139AD181}">
    <text>TANER SEZER E REZERVE</text>
  </threadedComment>
  <threadedComment ref="M429" dT="2025-09-13T08:00:17.22" personId="{E34E5BF0-477F-4D98-B160-94A7C97ED439}" id="{D419680A-C5E5-41B1-BCCD-E680012106AA}">
    <text>TANER SEZER E REZERVE</text>
  </threadedComment>
  <threadedComment ref="M582" dT="2025-04-18T10:16:52.44" personId="{688B0EB5-E433-4948-8C03-A2AA95A6B6D6}" id="{134279C6-1556-46F8-B47E-C95FDB39DA3B}">
    <text>MURAT ASLAN'A REZERVE BAŞVURU YAPILDI</text>
  </threadedComment>
  <threadedComment ref="M589" dT="2025-07-15T11:36:39.95" personId="{E34E5BF0-477F-4D98-B160-94A7C97ED439}" id="{9C5AA83F-E90E-4625-BA38-B72093C7C23F}">
    <text>ELA / CİHAN ÇİÇEK REZERVE</text>
  </threadedComment>
  <threadedComment ref="M640" dT="2025-09-04T10:05:55.74" personId="{E34E5BF0-477F-4D98-B160-94A7C97ED439}" id="{36633CFB-CD2C-48FB-A794-FE05B25733D6}">
    <text>MEHMET ALİ YAMAN'A REZERVE</text>
  </threadedComment>
  <threadedComment ref="M650" dT="2025-09-04T10:05:42.38" personId="{E34E5BF0-477F-4D98-B160-94A7C97ED439}" id="{776F85EB-806F-4DEF-90DE-6FADE96A6D97}">
    <text>MEHMET ALİ YAMAN'A REZERVE</text>
  </threadedComment>
  <threadedComment ref="M687" dT="2025-08-18T14:41:13.89" personId="{E34E5BF0-477F-4D98-B160-94A7C97ED439}" id="{94412E8C-1C06-4AD8-BAEC-C3880C550A5A}">
    <text xml:space="preserve">HASAN UYSAL: YAHYA TURAN ADINA REZERVE KAPORA ALINDI </text>
  </threadedComment>
  <threadedComment ref="AE763" dT="2025-04-09T14:31:29.53" personId="{E34E5BF0-477F-4D98-B160-94A7C97ED439}" id="{9014FE5F-7BED-4C0F-A96D-1D41ECE99249}">
    <text>TAPU ERSİN UÇAN ÜZERİNDE</text>
  </threadedComment>
  <threadedComment ref="M784" dT="2025-07-01T15:06:18.55" personId="{E34E5BF0-477F-4D98-B160-94A7C97ED439}" id="{93A12527-0757-424F-B50E-F88F509DFC78}">
    <text>HALKBANKA İPOTEKLİ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rselsorgu.tkgm.gov.tr/" TargetMode="External"/><Relationship Id="rId21" Type="http://schemas.openxmlformats.org/officeDocument/2006/relationships/hyperlink" Target="https://parselsorgu.tkgm.gov.tr/" TargetMode="External"/><Relationship Id="rId42" Type="http://schemas.openxmlformats.org/officeDocument/2006/relationships/hyperlink" Target="https://parselsorgu.tkgm.gov.tr/" TargetMode="External"/><Relationship Id="rId63" Type="http://schemas.openxmlformats.org/officeDocument/2006/relationships/hyperlink" Target="https://parselsorgu.tkgm.gov.tr/" TargetMode="External"/><Relationship Id="rId84" Type="http://schemas.openxmlformats.org/officeDocument/2006/relationships/hyperlink" Target="https://parselsorgu.tkgm.gov.tr/" TargetMode="External"/><Relationship Id="rId138" Type="http://schemas.openxmlformats.org/officeDocument/2006/relationships/hyperlink" Target="https://parselsorgu.tkgm.gov.tr/" TargetMode="External"/><Relationship Id="rId107" Type="http://schemas.openxmlformats.org/officeDocument/2006/relationships/hyperlink" Target="https://parselsorgu.tkgm.gov.tr/" TargetMode="External"/><Relationship Id="rId11" Type="http://schemas.openxmlformats.org/officeDocument/2006/relationships/hyperlink" Target="https://parselsorgu.tkgm.gov.tr/" TargetMode="External"/><Relationship Id="rId32" Type="http://schemas.openxmlformats.org/officeDocument/2006/relationships/hyperlink" Target="https://parselsorgu.tkgm.gov.tr/" TargetMode="External"/><Relationship Id="rId53" Type="http://schemas.openxmlformats.org/officeDocument/2006/relationships/hyperlink" Target="https://parselsorgu.tkgm.gov.tr/" TargetMode="External"/><Relationship Id="rId74" Type="http://schemas.openxmlformats.org/officeDocument/2006/relationships/hyperlink" Target="https://parselsorgu.tkgm.gov.tr/" TargetMode="External"/><Relationship Id="rId128" Type="http://schemas.openxmlformats.org/officeDocument/2006/relationships/hyperlink" Target="https://parselsorgu.tkgm.gov.tr/" TargetMode="External"/><Relationship Id="rId149" Type="http://schemas.openxmlformats.org/officeDocument/2006/relationships/hyperlink" Target="https://parselsorgu.tkgm.gov.tr/" TargetMode="External"/><Relationship Id="rId5" Type="http://schemas.openxmlformats.org/officeDocument/2006/relationships/hyperlink" Target="https://parselsorgu.tkgm.gov.tr/" TargetMode="External"/><Relationship Id="rId95" Type="http://schemas.openxmlformats.org/officeDocument/2006/relationships/hyperlink" Target="https://parselsorgu.tkgm.gov.tr/" TargetMode="External"/><Relationship Id="rId22" Type="http://schemas.openxmlformats.org/officeDocument/2006/relationships/hyperlink" Target="https://parselsorgu.tkgm.gov.tr/" TargetMode="External"/><Relationship Id="rId27" Type="http://schemas.openxmlformats.org/officeDocument/2006/relationships/hyperlink" Target="https://parselsorgu.tkgm.gov.tr/" TargetMode="External"/><Relationship Id="rId43" Type="http://schemas.openxmlformats.org/officeDocument/2006/relationships/hyperlink" Target="https://parselsorgu.tkgm.gov.tr/" TargetMode="External"/><Relationship Id="rId48" Type="http://schemas.openxmlformats.org/officeDocument/2006/relationships/hyperlink" Target="https://parselsorgu.tkgm.gov.tr/" TargetMode="External"/><Relationship Id="rId64" Type="http://schemas.openxmlformats.org/officeDocument/2006/relationships/hyperlink" Target="https://parselsorgu.tkgm.gov.tr/" TargetMode="External"/><Relationship Id="rId69" Type="http://schemas.openxmlformats.org/officeDocument/2006/relationships/hyperlink" Target="https://parselsorgu.tkgm.gov.tr/" TargetMode="External"/><Relationship Id="rId113" Type="http://schemas.openxmlformats.org/officeDocument/2006/relationships/hyperlink" Target="https://parselsorgu.tkgm.gov.tr/" TargetMode="External"/><Relationship Id="rId118" Type="http://schemas.openxmlformats.org/officeDocument/2006/relationships/hyperlink" Target="https://parselsorgu.tkgm.gov.tr/" TargetMode="External"/><Relationship Id="rId134" Type="http://schemas.openxmlformats.org/officeDocument/2006/relationships/hyperlink" Target="https://f457/" TargetMode="External"/><Relationship Id="rId139" Type="http://schemas.openxmlformats.org/officeDocument/2006/relationships/hyperlink" Target="https://parselsorgu.tkgm.gov.tr/" TargetMode="External"/><Relationship Id="rId80" Type="http://schemas.openxmlformats.org/officeDocument/2006/relationships/hyperlink" Target="https://parselsorgu.tkgm.gov.tr/" TargetMode="External"/><Relationship Id="rId85" Type="http://schemas.openxmlformats.org/officeDocument/2006/relationships/hyperlink" Target="https://parselsorgu.tkgm.gov.tr/" TargetMode="External"/><Relationship Id="rId150" Type="http://schemas.openxmlformats.org/officeDocument/2006/relationships/vmlDrawing" Target="../drawings/vmlDrawing1.vml"/><Relationship Id="rId12" Type="http://schemas.openxmlformats.org/officeDocument/2006/relationships/hyperlink" Target="https://parselsorgu.tkgm.gov.tr/" TargetMode="External"/><Relationship Id="rId17" Type="http://schemas.openxmlformats.org/officeDocument/2006/relationships/hyperlink" Target="https://parselsorgu.tkgm.gov.tr/" TargetMode="External"/><Relationship Id="rId33" Type="http://schemas.openxmlformats.org/officeDocument/2006/relationships/hyperlink" Target="https://parselsorgu.tkgm.gov.tr/" TargetMode="External"/><Relationship Id="rId38" Type="http://schemas.openxmlformats.org/officeDocument/2006/relationships/hyperlink" Target="https://parselsorgu.tkgm.gov.tr/" TargetMode="External"/><Relationship Id="rId59" Type="http://schemas.openxmlformats.org/officeDocument/2006/relationships/hyperlink" Target="https://parselsorgu.tkgm.gov.tr/" TargetMode="External"/><Relationship Id="rId103" Type="http://schemas.openxmlformats.org/officeDocument/2006/relationships/hyperlink" Target="https://parselsorgu.tkgm.gov.tr/" TargetMode="External"/><Relationship Id="rId108" Type="http://schemas.openxmlformats.org/officeDocument/2006/relationships/hyperlink" Target="https://parselsorgu.tkgm.gov.tr/" TargetMode="External"/><Relationship Id="rId124" Type="http://schemas.openxmlformats.org/officeDocument/2006/relationships/hyperlink" Target="https://parselsorgu.tkgm.gov.tr/" TargetMode="External"/><Relationship Id="rId129" Type="http://schemas.openxmlformats.org/officeDocument/2006/relationships/hyperlink" Target="https://parselsorgu.tkgm.gov.tr/" TargetMode="External"/><Relationship Id="rId54" Type="http://schemas.openxmlformats.org/officeDocument/2006/relationships/hyperlink" Target="https://parselsorgu.tkgm.gov.tr/" TargetMode="External"/><Relationship Id="rId70" Type="http://schemas.openxmlformats.org/officeDocument/2006/relationships/hyperlink" Target="https://parselsorgu.tkgm.gov.tr/" TargetMode="External"/><Relationship Id="rId75" Type="http://schemas.openxmlformats.org/officeDocument/2006/relationships/hyperlink" Target="https://parselsorgu.tkgm.gov.tr/" TargetMode="External"/><Relationship Id="rId91" Type="http://schemas.openxmlformats.org/officeDocument/2006/relationships/hyperlink" Target="https://parselsorgu.tkgm.gov.tr/" TargetMode="External"/><Relationship Id="rId96" Type="http://schemas.openxmlformats.org/officeDocument/2006/relationships/hyperlink" Target="https://parselsorgu.tkgm.gov.tr/" TargetMode="External"/><Relationship Id="rId140" Type="http://schemas.openxmlformats.org/officeDocument/2006/relationships/hyperlink" Target="https://parselsorgu.tkgm.gov.tr/" TargetMode="External"/><Relationship Id="rId145" Type="http://schemas.openxmlformats.org/officeDocument/2006/relationships/hyperlink" Target="https://parselsorgu.tkgm.gov.tr/" TargetMode="External"/><Relationship Id="rId1" Type="http://schemas.openxmlformats.org/officeDocument/2006/relationships/hyperlink" Target="https://drive.google.com/drive/folders/1QcsakwS6rK3SiQFkDmT26nPU_W4xRYWb" TargetMode="External"/><Relationship Id="rId6" Type="http://schemas.openxmlformats.org/officeDocument/2006/relationships/hyperlink" Target="https://parselsorgu.tkgm.gov.tr/" TargetMode="External"/><Relationship Id="rId23" Type="http://schemas.openxmlformats.org/officeDocument/2006/relationships/hyperlink" Target="https://parselsorgu.tkgm.gov.tr/" TargetMode="External"/><Relationship Id="rId28" Type="http://schemas.openxmlformats.org/officeDocument/2006/relationships/hyperlink" Target="https://parselsorgu.tkgm.gov.tr/" TargetMode="External"/><Relationship Id="rId49" Type="http://schemas.openxmlformats.org/officeDocument/2006/relationships/hyperlink" Target="https://parselsorgu.tkgm.gov.tr/" TargetMode="External"/><Relationship Id="rId114" Type="http://schemas.openxmlformats.org/officeDocument/2006/relationships/hyperlink" Target="https://parselsorgu.tkgm.gov.tr/" TargetMode="External"/><Relationship Id="rId119" Type="http://schemas.openxmlformats.org/officeDocument/2006/relationships/hyperlink" Target="https://parselsorgu.tkgm.gov.tr/" TargetMode="External"/><Relationship Id="rId44" Type="http://schemas.openxmlformats.org/officeDocument/2006/relationships/hyperlink" Target="https://parselsorgu.tkgm.gov.tr/" TargetMode="External"/><Relationship Id="rId60" Type="http://schemas.openxmlformats.org/officeDocument/2006/relationships/hyperlink" Target="https://parselsorgu.tkgm.gov.tr/" TargetMode="External"/><Relationship Id="rId65" Type="http://schemas.openxmlformats.org/officeDocument/2006/relationships/hyperlink" Target="https://parselsorgu.tkgm.gov.tr/" TargetMode="External"/><Relationship Id="rId81" Type="http://schemas.openxmlformats.org/officeDocument/2006/relationships/hyperlink" Target="https://parselsorgu.tkgm.gov.tr/" TargetMode="External"/><Relationship Id="rId86" Type="http://schemas.openxmlformats.org/officeDocument/2006/relationships/hyperlink" Target="https://parselsorgu.tkgm.gov.tr/" TargetMode="External"/><Relationship Id="rId130" Type="http://schemas.openxmlformats.org/officeDocument/2006/relationships/hyperlink" Target="https://parselsorgu.tkgm.gov.tr/" TargetMode="External"/><Relationship Id="rId135" Type="http://schemas.openxmlformats.org/officeDocument/2006/relationships/hyperlink" Target="https://parselsorgu.tkgm.gov.tr/" TargetMode="External"/><Relationship Id="rId151" Type="http://schemas.openxmlformats.org/officeDocument/2006/relationships/comments" Target="../comments1.xml"/><Relationship Id="rId13" Type="http://schemas.openxmlformats.org/officeDocument/2006/relationships/hyperlink" Target="https://parselsorgu.tkgm.gov.tr/" TargetMode="External"/><Relationship Id="rId18" Type="http://schemas.openxmlformats.org/officeDocument/2006/relationships/hyperlink" Target="https://parselsorgu.tkgm.gov.tr/" TargetMode="External"/><Relationship Id="rId39" Type="http://schemas.openxmlformats.org/officeDocument/2006/relationships/hyperlink" Target="https://parselsorgu.tkgm.gov.tr/" TargetMode="External"/><Relationship Id="rId109" Type="http://schemas.openxmlformats.org/officeDocument/2006/relationships/hyperlink" Target="https://parselsorgu.tkgm.gov.tr/" TargetMode="External"/><Relationship Id="rId34" Type="http://schemas.openxmlformats.org/officeDocument/2006/relationships/hyperlink" Target="https://parselsorgu.tkgm.gov.tr/" TargetMode="External"/><Relationship Id="rId50" Type="http://schemas.openxmlformats.org/officeDocument/2006/relationships/hyperlink" Target="https://parselsorgu.tkgm.gov.tr/" TargetMode="External"/><Relationship Id="rId55" Type="http://schemas.openxmlformats.org/officeDocument/2006/relationships/hyperlink" Target="https://parselsorgu.tkgm.gov.tr/" TargetMode="External"/><Relationship Id="rId76" Type="http://schemas.openxmlformats.org/officeDocument/2006/relationships/hyperlink" Target="https://parselsorgu.tkgm.gov.tr/" TargetMode="External"/><Relationship Id="rId97" Type="http://schemas.openxmlformats.org/officeDocument/2006/relationships/hyperlink" Target="https://parselsorgu.tkgm.gov.tr/" TargetMode="External"/><Relationship Id="rId104" Type="http://schemas.openxmlformats.org/officeDocument/2006/relationships/hyperlink" Target="https://parselsorgu.tkgm.gov.tr/" TargetMode="External"/><Relationship Id="rId120" Type="http://schemas.openxmlformats.org/officeDocument/2006/relationships/hyperlink" Target="https://parselsorgu.tkgm.gov.tr/" TargetMode="External"/><Relationship Id="rId125" Type="http://schemas.openxmlformats.org/officeDocument/2006/relationships/hyperlink" Target="https://parselsorgu.tkgm.gov.tr/" TargetMode="External"/><Relationship Id="rId141" Type="http://schemas.openxmlformats.org/officeDocument/2006/relationships/hyperlink" Target="https://drive.google.com/drive/u/1/folders/14GIs2Iw1Q7R1Xxo2bTaAAVjPv-RfiLBO" TargetMode="External"/><Relationship Id="rId146" Type="http://schemas.openxmlformats.org/officeDocument/2006/relationships/hyperlink" Target="https://parselsorgu.tkgm.gov.tr/" TargetMode="External"/><Relationship Id="rId7" Type="http://schemas.openxmlformats.org/officeDocument/2006/relationships/hyperlink" Target="https://parselsorgu.tkgm.gov.tr/" TargetMode="External"/><Relationship Id="rId71" Type="http://schemas.openxmlformats.org/officeDocument/2006/relationships/hyperlink" Target="https://parselsorgu.tkgm.gov.tr/" TargetMode="External"/><Relationship Id="rId92" Type="http://schemas.openxmlformats.org/officeDocument/2006/relationships/hyperlink" Target="https://parselsorgu.tkgm.gov.tr/" TargetMode="External"/><Relationship Id="rId2" Type="http://schemas.openxmlformats.org/officeDocument/2006/relationships/hyperlink" Target="https://drive.google.com/drive/folders/1QcsakwS6rK3SiQFkDmT26nPU_W4xRYWb" TargetMode="External"/><Relationship Id="rId29" Type="http://schemas.openxmlformats.org/officeDocument/2006/relationships/hyperlink" Target="https://parselsorgu.tkgm.gov.tr/" TargetMode="External"/><Relationship Id="rId24" Type="http://schemas.openxmlformats.org/officeDocument/2006/relationships/hyperlink" Target="https://parselsorgu.tkgm.gov.tr/" TargetMode="External"/><Relationship Id="rId40" Type="http://schemas.openxmlformats.org/officeDocument/2006/relationships/hyperlink" Target="https://parselsorgu.tkgm.gov.tr/" TargetMode="External"/><Relationship Id="rId45" Type="http://schemas.openxmlformats.org/officeDocument/2006/relationships/hyperlink" Target="https://parselsorgu.tkgm.gov.tr/" TargetMode="External"/><Relationship Id="rId66" Type="http://schemas.openxmlformats.org/officeDocument/2006/relationships/hyperlink" Target="https://parselsorgu.tkgm.gov.tr/" TargetMode="External"/><Relationship Id="rId87" Type="http://schemas.openxmlformats.org/officeDocument/2006/relationships/hyperlink" Target="https://parselsorgu.tkgm.gov.tr/" TargetMode="External"/><Relationship Id="rId110" Type="http://schemas.openxmlformats.org/officeDocument/2006/relationships/hyperlink" Target="https://parselsorgu.tkgm.gov.tr/" TargetMode="External"/><Relationship Id="rId115" Type="http://schemas.openxmlformats.org/officeDocument/2006/relationships/hyperlink" Target="https://parselsorgu.tkgm.gov.tr/" TargetMode="External"/><Relationship Id="rId131" Type="http://schemas.openxmlformats.org/officeDocument/2006/relationships/hyperlink" Target="https://parselsorgu.tkgm.gov.tr/" TargetMode="External"/><Relationship Id="rId136" Type="http://schemas.openxmlformats.org/officeDocument/2006/relationships/hyperlink" Target="https://parselsorgu.tkgm.gov.tr/" TargetMode="External"/><Relationship Id="rId61" Type="http://schemas.openxmlformats.org/officeDocument/2006/relationships/hyperlink" Target="https://parselsorgu.tkgm.gov.tr/" TargetMode="External"/><Relationship Id="rId82" Type="http://schemas.openxmlformats.org/officeDocument/2006/relationships/hyperlink" Target="https://parselsorgu.tkgm.gov.tr/" TargetMode="External"/><Relationship Id="rId19" Type="http://schemas.openxmlformats.org/officeDocument/2006/relationships/hyperlink" Target="https://parselsorgu.tkgm.gov.tr/" TargetMode="External"/><Relationship Id="rId14" Type="http://schemas.openxmlformats.org/officeDocument/2006/relationships/hyperlink" Target="https://parselsorgu.tkgm.gov.tr/" TargetMode="External"/><Relationship Id="rId30" Type="http://schemas.openxmlformats.org/officeDocument/2006/relationships/hyperlink" Target="https://parselsorgu.tkgm.gov.tr/" TargetMode="External"/><Relationship Id="rId35" Type="http://schemas.openxmlformats.org/officeDocument/2006/relationships/hyperlink" Target="https://parselsorgu.tkgm.gov.tr/" TargetMode="External"/><Relationship Id="rId56" Type="http://schemas.openxmlformats.org/officeDocument/2006/relationships/hyperlink" Target="https://parselsorgu.tkgm.gov.tr/" TargetMode="External"/><Relationship Id="rId77" Type="http://schemas.openxmlformats.org/officeDocument/2006/relationships/hyperlink" Target="https://parselsorgu.tkgm.gov.tr/" TargetMode="External"/><Relationship Id="rId100" Type="http://schemas.openxmlformats.org/officeDocument/2006/relationships/hyperlink" Target="https://parselsorgu.tkgm.gov.tr/" TargetMode="External"/><Relationship Id="rId105" Type="http://schemas.openxmlformats.org/officeDocument/2006/relationships/hyperlink" Target="https://parselsorgu.tkgm.gov.tr/" TargetMode="External"/><Relationship Id="rId126" Type="http://schemas.openxmlformats.org/officeDocument/2006/relationships/hyperlink" Target="https://parselsorgu.tkgm.gov.tr/" TargetMode="External"/><Relationship Id="rId147" Type="http://schemas.openxmlformats.org/officeDocument/2006/relationships/hyperlink" Target="https://parselsorgu.tkgm.gov.tr/" TargetMode="External"/><Relationship Id="rId8" Type="http://schemas.openxmlformats.org/officeDocument/2006/relationships/hyperlink" Target="https://parselsorgu.tkgm.gov.tr/" TargetMode="External"/><Relationship Id="rId51" Type="http://schemas.openxmlformats.org/officeDocument/2006/relationships/hyperlink" Target="https://parselsorgu.tkgm.gov.tr/" TargetMode="External"/><Relationship Id="rId72" Type="http://schemas.openxmlformats.org/officeDocument/2006/relationships/hyperlink" Target="https://parselsorgu.tkgm.gov.tr/" TargetMode="External"/><Relationship Id="rId93" Type="http://schemas.openxmlformats.org/officeDocument/2006/relationships/hyperlink" Target="https://parselsorgu.tkgm.gov.tr/" TargetMode="External"/><Relationship Id="rId98" Type="http://schemas.openxmlformats.org/officeDocument/2006/relationships/hyperlink" Target="https://parselsorgu.tkgm.gov.tr/" TargetMode="External"/><Relationship Id="rId121" Type="http://schemas.openxmlformats.org/officeDocument/2006/relationships/hyperlink" Target="https://parselsorgu.tkgm.gov.tr/" TargetMode="External"/><Relationship Id="rId142" Type="http://schemas.openxmlformats.org/officeDocument/2006/relationships/hyperlink" Target="https://parselsorgu.tkgm.gov.tr/" TargetMode="External"/><Relationship Id="rId3" Type="http://schemas.openxmlformats.org/officeDocument/2006/relationships/hyperlink" Target="https://drive.google.com/drive/folders/1QcsakwS6rK3SiQFkDmT26nPU_W4xRYWb" TargetMode="External"/><Relationship Id="rId25" Type="http://schemas.openxmlformats.org/officeDocument/2006/relationships/hyperlink" Target="https://parselsorgu.tkgm.gov.tr/" TargetMode="External"/><Relationship Id="rId46" Type="http://schemas.openxmlformats.org/officeDocument/2006/relationships/hyperlink" Target="https://parselsorgu.tkgm.gov.tr/" TargetMode="External"/><Relationship Id="rId67" Type="http://schemas.openxmlformats.org/officeDocument/2006/relationships/hyperlink" Target="https://parselsorgu.tkgm.gov.tr/" TargetMode="External"/><Relationship Id="rId116" Type="http://schemas.openxmlformats.org/officeDocument/2006/relationships/hyperlink" Target="https://parselsorgu.tkgm.gov.tr/" TargetMode="External"/><Relationship Id="rId137" Type="http://schemas.openxmlformats.org/officeDocument/2006/relationships/hyperlink" Target="https://parselsorgu.tkgm.gov.tr/" TargetMode="External"/><Relationship Id="rId20" Type="http://schemas.openxmlformats.org/officeDocument/2006/relationships/hyperlink" Target="https://parselsorgu.tkgm.gov.tr/" TargetMode="External"/><Relationship Id="rId41" Type="http://schemas.openxmlformats.org/officeDocument/2006/relationships/hyperlink" Target="https://parselsorgu.tkgm.gov.tr/" TargetMode="External"/><Relationship Id="rId62" Type="http://schemas.openxmlformats.org/officeDocument/2006/relationships/hyperlink" Target="https://parselsorgu.tkgm.gov.tr/" TargetMode="External"/><Relationship Id="rId83" Type="http://schemas.openxmlformats.org/officeDocument/2006/relationships/hyperlink" Target="https://parselsorgu.tkgm.gov.tr/" TargetMode="External"/><Relationship Id="rId88" Type="http://schemas.openxmlformats.org/officeDocument/2006/relationships/hyperlink" Target="https://parselsorgu.tkgm.gov.tr/" TargetMode="External"/><Relationship Id="rId111" Type="http://schemas.openxmlformats.org/officeDocument/2006/relationships/hyperlink" Target="https://parselsorgu.tkgm.gov.tr/" TargetMode="External"/><Relationship Id="rId132" Type="http://schemas.openxmlformats.org/officeDocument/2006/relationships/hyperlink" Target="https://parselsorgu.tkgm.gov.tr/" TargetMode="External"/><Relationship Id="rId15" Type="http://schemas.openxmlformats.org/officeDocument/2006/relationships/hyperlink" Target="https://parselsorgu.tkgm.gov.tr/" TargetMode="External"/><Relationship Id="rId36" Type="http://schemas.openxmlformats.org/officeDocument/2006/relationships/hyperlink" Target="https://parselsorgu.tkgm.gov.tr/" TargetMode="External"/><Relationship Id="rId57" Type="http://schemas.openxmlformats.org/officeDocument/2006/relationships/hyperlink" Target="https://parselsorgu.tkgm.gov.tr/" TargetMode="External"/><Relationship Id="rId106" Type="http://schemas.openxmlformats.org/officeDocument/2006/relationships/hyperlink" Target="https://parselsorgu.tkgm.gov.tr/" TargetMode="External"/><Relationship Id="rId127" Type="http://schemas.openxmlformats.org/officeDocument/2006/relationships/hyperlink" Target="https://parselsorgu.tkgm.gov.tr/" TargetMode="External"/><Relationship Id="rId10" Type="http://schemas.openxmlformats.org/officeDocument/2006/relationships/hyperlink" Target="https://parselsorgu.tkgm.gov.tr/" TargetMode="External"/><Relationship Id="rId31" Type="http://schemas.openxmlformats.org/officeDocument/2006/relationships/hyperlink" Target="https://parselsorgu.tkgm.gov.tr/" TargetMode="External"/><Relationship Id="rId52" Type="http://schemas.openxmlformats.org/officeDocument/2006/relationships/hyperlink" Target="https://parselsorgu.tkgm.gov.tr/" TargetMode="External"/><Relationship Id="rId73" Type="http://schemas.openxmlformats.org/officeDocument/2006/relationships/hyperlink" Target="https://parselsorgu.tkgm.gov.tr/" TargetMode="External"/><Relationship Id="rId78" Type="http://schemas.openxmlformats.org/officeDocument/2006/relationships/hyperlink" Target="https://parselsorgu.tkgm.gov.tr/" TargetMode="External"/><Relationship Id="rId94" Type="http://schemas.openxmlformats.org/officeDocument/2006/relationships/hyperlink" Target="https://parselsorgu.tkgm.gov.tr/" TargetMode="External"/><Relationship Id="rId99" Type="http://schemas.openxmlformats.org/officeDocument/2006/relationships/hyperlink" Target="https://parselsorgu.tkgm.gov.tr/" TargetMode="External"/><Relationship Id="rId101" Type="http://schemas.openxmlformats.org/officeDocument/2006/relationships/hyperlink" Target="https://parselsorgu.tkgm.gov.tr/" TargetMode="External"/><Relationship Id="rId122" Type="http://schemas.openxmlformats.org/officeDocument/2006/relationships/hyperlink" Target="https://parselsorgu.tkgm.gov.tr/" TargetMode="External"/><Relationship Id="rId143" Type="http://schemas.openxmlformats.org/officeDocument/2006/relationships/hyperlink" Target="https://parselsorgu.tkgm.gov.tr/" TargetMode="External"/><Relationship Id="rId148" Type="http://schemas.openxmlformats.org/officeDocument/2006/relationships/hyperlink" Target="https://parselsorgu.tkgm.gov.tr/" TargetMode="External"/><Relationship Id="rId4" Type="http://schemas.openxmlformats.org/officeDocument/2006/relationships/hyperlink" Target="https://parselsorgu.tkgm.gov.tr/" TargetMode="External"/><Relationship Id="rId9" Type="http://schemas.openxmlformats.org/officeDocument/2006/relationships/hyperlink" Target="https://parselsorgu.tkgm.gov.tr/" TargetMode="External"/><Relationship Id="rId26" Type="http://schemas.openxmlformats.org/officeDocument/2006/relationships/hyperlink" Target="https://parselsorgu.tkgm.gov.tr/" TargetMode="External"/><Relationship Id="rId47" Type="http://schemas.openxmlformats.org/officeDocument/2006/relationships/hyperlink" Target="https://parselsorgu.tkgm.gov.tr/" TargetMode="External"/><Relationship Id="rId68" Type="http://schemas.openxmlformats.org/officeDocument/2006/relationships/hyperlink" Target="https://parselsorgu.tkgm.gov.tr/" TargetMode="External"/><Relationship Id="rId89" Type="http://schemas.openxmlformats.org/officeDocument/2006/relationships/hyperlink" Target="https://parselsorgu.tkgm.gov.tr/" TargetMode="External"/><Relationship Id="rId112" Type="http://schemas.openxmlformats.org/officeDocument/2006/relationships/hyperlink" Target="https://parselsorgu.tkgm.gov.tr/" TargetMode="External"/><Relationship Id="rId133" Type="http://schemas.openxmlformats.org/officeDocument/2006/relationships/hyperlink" Target="https://parselsorgu.tkgm.gov.tr/" TargetMode="External"/><Relationship Id="rId16" Type="http://schemas.openxmlformats.org/officeDocument/2006/relationships/hyperlink" Target="https://parselsorgu.tkgm.gov.tr/" TargetMode="External"/><Relationship Id="rId37" Type="http://schemas.openxmlformats.org/officeDocument/2006/relationships/hyperlink" Target="https://parselsorgu.tkgm.gov.tr/" TargetMode="External"/><Relationship Id="rId58" Type="http://schemas.openxmlformats.org/officeDocument/2006/relationships/hyperlink" Target="https://parselsorgu.tkgm.gov.tr/" TargetMode="External"/><Relationship Id="rId79" Type="http://schemas.openxmlformats.org/officeDocument/2006/relationships/hyperlink" Target="https://parselsorgu.tkgm.gov.tr/" TargetMode="External"/><Relationship Id="rId102" Type="http://schemas.openxmlformats.org/officeDocument/2006/relationships/hyperlink" Target="https://parselsorgu.tkgm.gov.tr/" TargetMode="External"/><Relationship Id="rId123" Type="http://schemas.openxmlformats.org/officeDocument/2006/relationships/hyperlink" Target="https://parselsorgu.tkgm.gov.tr/" TargetMode="External"/><Relationship Id="rId144" Type="http://schemas.openxmlformats.org/officeDocument/2006/relationships/hyperlink" Target="https://parselsorgu.tkgm.gov.tr/" TargetMode="External"/><Relationship Id="rId90" Type="http://schemas.openxmlformats.org/officeDocument/2006/relationships/hyperlink" Target="https://parselsorgu.tkgm.gov.tr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rselsorgu.tkgm.gov.tr/" TargetMode="External"/><Relationship Id="rId21" Type="http://schemas.openxmlformats.org/officeDocument/2006/relationships/hyperlink" Target="https://parselsorgu.tkgm.gov.tr/" TargetMode="External"/><Relationship Id="rId42" Type="http://schemas.openxmlformats.org/officeDocument/2006/relationships/hyperlink" Target="https://parselsorgu.tkgm.gov.tr/" TargetMode="External"/><Relationship Id="rId63" Type="http://schemas.openxmlformats.org/officeDocument/2006/relationships/hyperlink" Target="https://parselsorgu.tkgm.gov.tr/" TargetMode="External"/><Relationship Id="rId84" Type="http://schemas.openxmlformats.org/officeDocument/2006/relationships/hyperlink" Target="https://parselsorgu.tkgm.gov.tr/" TargetMode="External"/><Relationship Id="rId138" Type="http://schemas.openxmlformats.org/officeDocument/2006/relationships/hyperlink" Target="https://parselsorgu.tkgm.gov.tr/" TargetMode="External"/><Relationship Id="rId159" Type="http://schemas.openxmlformats.org/officeDocument/2006/relationships/hyperlink" Target="https://parselsorgu.tkgm.gov.tr/" TargetMode="External"/><Relationship Id="rId170" Type="http://schemas.openxmlformats.org/officeDocument/2006/relationships/hyperlink" Target="https://parselsorgu.tkgm.gov.tr/" TargetMode="External"/><Relationship Id="rId191" Type="http://schemas.openxmlformats.org/officeDocument/2006/relationships/hyperlink" Target="https://parselsorgu.tkgm.gov.tr/" TargetMode="External"/><Relationship Id="rId205" Type="http://schemas.openxmlformats.org/officeDocument/2006/relationships/hyperlink" Target="https://parselsorgu.tkgm.gov.tr/" TargetMode="External"/><Relationship Id="rId107" Type="http://schemas.openxmlformats.org/officeDocument/2006/relationships/hyperlink" Target="https://parselsorgu.tkgm.gov.tr/" TargetMode="External"/><Relationship Id="rId11" Type="http://schemas.openxmlformats.org/officeDocument/2006/relationships/hyperlink" Target="https://parselsorgu.tkgm.gov.tr/" TargetMode="External"/><Relationship Id="rId32" Type="http://schemas.openxmlformats.org/officeDocument/2006/relationships/hyperlink" Target="https://parselsorgu.tkgm.gov.tr/" TargetMode="External"/><Relationship Id="rId53" Type="http://schemas.openxmlformats.org/officeDocument/2006/relationships/hyperlink" Target="https://parselsorgu.tkgm.gov.tr/" TargetMode="External"/><Relationship Id="rId74" Type="http://schemas.openxmlformats.org/officeDocument/2006/relationships/hyperlink" Target="https://parselsorgu.tkgm.gov.tr/" TargetMode="External"/><Relationship Id="rId128" Type="http://schemas.openxmlformats.org/officeDocument/2006/relationships/hyperlink" Target="https://parselsorgu.tkgm.gov.tr/" TargetMode="External"/><Relationship Id="rId149" Type="http://schemas.openxmlformats.org/officeDocument/2006/relationships/hyperlink" Target="https://parselsorgu.tkgm.gov.tr/" TargetMode="External"/><Relationship Id="rId5" Type="http://schemas.openxmlformats.org/officeDocument/2006/relationships/hyperlink" Target="https://f457/" TargetMode="External"/><Relationship Id="rId95" Type="http://schemas.openxmlformats.org/officeDocument/2006/relationships/hyperlink" Target="https://parselsorgu.tkgm.gov.tr/" TargetMode="External"/><Relationship Id="rId160" Type="http://schemas.openxmlformats.org/officeDocument/2006/relationships/hyperlink" Target="https://parselsorgu.tkgm.gov.tr/" TargetMode="External"/><Relationship Id="rId181" Type="http://schemas.openxmlformats.org/officeDocument/2006/relationships/hyperlink" Target="https://parselsorgu.tkgm.gov.tr/" TargetMode="External"/><Relationship Id="rId216" Type="http://schemas.openxmlformats.org/officeDocument/2006/relationships/hyperlink" Target="https://parselsorgu.tkgm.gov.tr/" TargetMode="External"/><Relationship Id="rId22" Type="http://schemas.openxmlformats.org/officeDocument/2006/relationships/hyperlink" Target="https://parselsorgu.tkgm.gov.tr/" TargetMode="External"/><Relationship Id="rId43" Type="http://schemas.openxmlformats.org/officeDocument/2006/relationships/hyperlink" Target="https://parselsorgu.tkgm.gov.tr/" TargetMode="External"/><Relationship Id="rId64" Type="http://schemas.openxmlformats.org/officeDocument/2006/relationships/hyperlink" Target="https://parselsorgu.tkgm.gov.tr/" TargetMode="External"/><Relationship Id="rId118" Type="http://schemas.openxmlformats.org/officeDocument/2006/relationships/hyperlink" Target="https://parselsorgu.tkgm.gov.tr/" TargetMode="External"/><Relationship Id="rId139" Type="http://schemas.openxmlformats.org/officeDocument/2006/relationships/hyperlink" Target="https://parselsorgu.tkgm.gov.tr/" TargetMode="External"/><Relationship Id="rId85" Type="http://schemas.openxmlformats.org/officeDocument/2006/relationships/hyperlink" Target="https://parselsorgu.tkgm.gov.tr/" TargetMode="External"/><Relationship Id="rId150" Type="http://schemas.openxmlformats.org/officeDocument/2006/relationships/hyperlink" Target="https://parselsorgu.tkgm.gov.tr/" TargetMode="External"/><Relationship Id="rId171" Type="http://schemas.openxmlformats.org/officeDocument/2006/relationships/hyperlink" Target="https://parselsorgu.tkgm.gov.tr/" TargetMode="External"/><Relationship Id="rId192" Type="http://schemas.openxmlformats.org/officeDocument/2006/relationships/hyperlink" Target="https://parselsorgu.tkgm.gov.tr/" TargetMode="External"/><Relationship Id="rId206" Type="http://schemas.openxmlformats.org/officeDocument/2006/relationships/hyperlink" Target="https://parselsorgu.tkgm.gov.tr/" TargetMode="External"/><Relationship Id="rId12" Type="http://schemas.openxmlformats.org/officeDocument/2006/relationships/hyperlink" Target="https://parselsorgu.tkgm.gov.tr/" TargetMode="External"/><Relationship Id="rId33" Type="http://schemas.openxmlformats.org/officeDocument/2006/relationships/hyperlink" Target="https://parselsorgu.tkgm.gov.tr/" TargetMode="External"/><Relationship Id="rId108" Type="http://schemas.openxmlformats.org/officeDocument/2006/relationships/hyperlink" Target="https://parselsorgu.tkgm.gov.tr/" TargetMode="External"/><Relationship Id="rId129" Type="http://schemas.openxmlformats.org/officeDocument/2006/relationships/hyperlink" Target="https://parselsorgu.tkgm.gov.tr/" TargetMode="External"/><Relationship Id="rId54" Type="http://schemas.openxmlformats.org/officeDocument/2006/relationships/hyperlink" Target="https://parselsorgu.tkgm.gov.tr/" TargetMode="External"/><Relationship Id="rId75" Type="http://schemas.openxmlformats.org/officeDocument/2006/relationships/hyperlink" Target="https://parselsorgu.tkgm.gov.tr/" TargetMode="External"/><Relationship Id="rId96" Type="http://schemas.openxmlformats.org/officeDocument/2006/relationships/hyperlink" Target="https://parselsorgu.tkgm.gov.tr/" TargetMode="External"/><Relationship Id="rId140" Type="http://schemas.openxmlformats.org/officeDocument/2006/relationships/hyperlink" Target="https://parselsorgu.tkgm.gov.tr/" TargetMode="External"/><Relationship Id="rId161" Type="http://schemas.openxmlformats.org/officeDocument/2006/relationships/hyperlink" Target="https://parselsorgu.tkgm.gov.tr/" TargetMode="External"/><Relationship Id="rId182" Type="http://schemas.openxmlformats.org/officeDocument/2006/relationships/hyperlink" Target="https://parselsorgu.tkgm.gov.tr/" TargetMode="External"/><Relationship Id="rId217" Type="http://schemas.openxmlformats.org/officeDocument/2006/relationships/hyperlink" Target="https://parselsorgu.tkgm.gov.tr/" TargetMode="External"/><Relationship Id="rId6" Type="http://schemas.openxmlformats.org/officeDocument/2006/relationships/hyperlink" Target="https://parselsorgu.tkgm.gov.tr/" TargetMode="External"/><Relationship Id="rId23" Type="http://schemas.openxmlformats.org/officeDocument/2006/relationships/hyperlink" Target="https://parselsorgu.tkgm.gov.tr/" TargetMode="External"/><Relationship Id="rId119" Type="http://schemas.openxmlformats.org/officeDocument/2006/relationships/hyperlink" Target="https://parselsorgu.tkgm.gov.tr/" TargetMode="External"/><Relationship Id="rId44" Type="http://schemas.openxmlformats.org/officeDocument/2006/relationships/hyperlink" Target="https://parselsorgu.tkgm.gov.tr/" TargetMode="External"/><Relationship Id="rId65" Type="http://schemas.openxmlformats.org/officeDocument/2006/relationships/hyperlink" Target="https://parselsorgu.tkgm.gov.tr/" TargetMode="External"/><Relationship Id="rId86" Type="http://schemas.openxmlformats.org/officeDocument/2006/relationships/hyperlink" Target="https://parselsorgu.tkgm.gov.tr/" TargetMode="External"/><Relationship Id="rId130" Type="http://schemas.openxmlformats.org/officeDocument/2006/relationships/hyperlink" Target="https://parselsorgu.tkgm.gov.tr/" TargetMode="External"/><Relationship Id="rId151" Type="http://schemas.openxmlformats.org/officeDocument/2006/relationships/hyperlink" Target="https://parselsorgu.tkgm.gov.tr/" TargetMode="External"/><Relationship Id="rId172" Type="http://schemas.openxmlformats.org/officeDocument/2006/relationships/hyperlink" Target="https://parselsorgu.tkgm.gov.tr/" TargetMode="External"/><Relationship Id="rId193" Type="http://schemas.openxmlformats.org/officeDocument/2006/relationships/hyperlink" Target="https://parselsorgu.tkgm.gov.tr/" TargetMode="External"/><Relationship Id="rId207" Type="http://schemas.openxmlformats.org/officeDocument/2006/relationships/hyperlink" Target="https://parselsorgu.tkgm.gov.tr/" TargetMode="External"/><Relationship Id="rId13" Type="http://schemas.openxmlformats.org/officeDocument/2006/relationships/hyperlink" Target="https://parselsorgu.tkgm.gov.tr/" TargetMode="External"/><Relationship Id="rId109" Type="http://schemas.openxmlformats.org/officeDocument/2006/relationships/hyperlink" Target="https://parselsorgu.tkgm.gov.tr/" TargetMode="External"/><Relationship Id="rId34" Type="http://schemas.openxmlformats.org/officeDocument/2006/relationships/hyperlink" Target="https://parselsorgu.tkgm.gov.tr/" TargetMode="External"/><Relationship Id="rId55" Type="http://schemas.openxmlformats.org/officeDocument/2006/relationships/hyperlink" Target="https://parselsorgu.tkgm.gov.tr/" TargetMode="External"/><Relationship Id="rId76" Type="http://schemas.openxmlformats.org/officeDocument/2006/relationships/hyperlink" Target="https://parselsorgu.tkgm.gov.tr/" TargetMode="External"/><Relationship Id="rId97" Type="http://schemas.openxmlformats.org/officeDocument/2006/relationships/hyperlink" Target="https://parselsorgu.tkgm.gov.tr/" TargetMode="External"/><Relationship Id="rId120" Type="http://schemas.openxmlformats.org/officeDocument/2006/relationships/hyperlink" Target="https://parselsorgu.tkgm.gov.tr/" TargetMode="External"/><Relationship Id="rId141" Type="http://schemas.openxmlformats.org/officeDocument/2006/relationships/hyperlink" Target="https://parselsorgu.tkgm.gov.tr/" TargetMode="External"/><Relationship Id="rId7" Type="http://schemas.openxmlformats.org/officeDocument/2006/relationships/hyperlink" Target="https://parselsorgu.tkgm.gov.tr/" TargetMode="External"/><Relationship Id="rId162" Type="http://schemas.openxmlformats.org/officeDocument/2006/relationships/hyperlink" Target="https://parselsorgu.tkgm.gov.tr/" TargetMode="External"/><Relationship Id="rId183" Type="http://schemas.openxmlformats.org/officeDocument/2006/relationships/hyperlink" Target="https://parselsorgu.tkgm.gov.tr/" TargetMode="External"/><Relationship Id="rId24" Type="http://schemas.openxmlformats.org/officeDocument/2006/relationships/hyperlink" Target="https://parselsorgu.tkgm.gov.tr/" TargetMode="External"/><Relationship Id="rId45" Type="http://schemas.openxmlformats.org/officeDocument/2006/relationships/hyperlink" Target="https://parselsorgu.tkgm.gov.tr/" TargetMode="External"/><Relationship Id="rId66" Type="http://schemas.openxmlformats.org/officeDocument/2006/relationships/hyperlink" Target="https://parselsorgu.tkgm.gov.tr/" TargetMode="External"/><Relationship Id="rId87" Type="http://schemas.openxmlformats.org/officeDocument/2006/relationships/hyperlink" Target="https://parselsorgu.tkgm.gov.tr/" TargetMode="External"/><Relationship Id="rId110" Type="http://schemas.openxmlformats.org/officeDocument/2006/relationships/hyperlink" Target="https://parselsorgu.tkgm.gov.tr/" TargetMode="External"/><Relationship Id="rId131" Type="http://schemas.openxmlformats.org/officeDocument/2006/relationships/hyperlink" Target="https://parselsorgu.tkgm.gov.tr/" TargetMode="External"/><Relationship Id="rId152" Type="http://schemas.openxmlformats.org/officeDocument/2006/relationships/hyperlink" Target="https://parselsorgu.tkgm.gov.tr/" TargetMode="External"/><Relationship Id="rId173" Type="http://schemas.openxmlformats.org/officeDocument/2006/relationships/hyperlink" Target="https://parselsorgu.tkgm.gov.tr/" TargetMode="External"/><Relationship Id="rId194" Type="http://schemas.openxmlformats.org/officeDocument/2006/relationships/hyperlink" Target="https://parselsorgu.tkgm.gov.tr/" TargetMode="External"/><Relationship Id="rId208" Type="http://schemas.openxmlformats.org/officeDocument/2006/relationships/hyperlink" Target="https://parselsorgu.tkgm.gov.tr/" TargetMode="External"/><Relationship Id="rId14" Type="http://schemas.openxmlformats.org/officeDocument/2006/relationships/hyperlink" Target="https://parselsorgu.tkgm.gov.tr/" TargetMode="External"/><Relationship Id="rId30" Type="http://schemas.openxmlformats.org/officeDocument/2006/relationships/hyperlink" Target="https://parselsorgu.tkgm.gov.tr/" TargetMode="External"/><Relationship Id="rId35" Type="http://schemas.openxmlformats.org/officeDocument/2006/relationships/hyperlink" Target="https://parselsorgu.tkgm.gov.tr/" TargetMode="External"/><Relationship Id="rId56" Type="http://schemas.openxmlformats.org/officeDocument/2006/relationships/hyperlink" Target="https://parselsorgu.tkgm.gov.tr/" TargetMode="External"/><Relationship Id="rId77" Type="http://schemas.openxmlformats.org/officeDocument/2006/relationships/hyperlink" Target="https://parselsorgu.tkgm.gov.tr/" TargetMode="External"/><Relationship Id="rId100" Type="http://schemas.openxmlformats.org/officeDocument/2006/relationships/hyperlink" Target="https://parselsorgu.tkgm.gov.tr/" TargetMode="External"/><Relationship Id="rId105" Type="http://schemas.openxmlformats.org/officeDocument/2006/relationships/hyperlink" Target="https://parselsorgu.tkgm.gov.tr/" TargetMode="External"/><Relationship Id="rId126" Type="http://schemas.openxmlformats.org/officeDocument/2006/relationships/hyperlink" Target="https://parselsorgu.tkgm.gov.tr/" TargetMode="External"/><Relationship Id="rId147" Type="http://schemas.openxmlformats.org/officeDocument/2006/relationships/hyperlink" Target="https://parselsorgu.tkgm.gov.tr/" TargetMode="External"/><Relationship Id="rId168" Type="http://schemas.openxmlformats.org/officeDocument/2006/relationships/hyperlink" Target="https://parselsorgu.tkgm.gov.tr/" TargetMode="External"/><Relationship Id="rId8" Type="http://schemas.openxmlformats.org/officeDocument/2006/relationships/hyperlink" Target="https://parselsorgu.tkgm.gov.tr/" TargetMode="External"/><Relationship Id="rId51" Type="http://schemas.openxmlformats.org/officeDocument/2006/relationships/hyperlink" Target="https://parselsorgu.tkgm.gov.tr/" TargetMode="External"/><Relationship Id="rId72" Type="http://schemas.openxmlformats.org/officeDocument/2006/relationships/hyperlink" Target="https://parselsorgu.tkgm.gov.tr/" TargetMode="External"/><Relationship Id="rId93" Type="http://schemas.openxmlformats.org/officeDocument/2006/relationships/hyperlink" Target="https://parselsorgu.tkgm.gov.tr/" TargetMode="External"/><Relationship Id="rId98" Type="http://schemas.openxmlformats.org/officeDocument/2006/relationships/hyperlink" Target="https://parselsorgu.tkgm.gov.tr/" TargetMode="External"/><Relationship Id="rId121" Type="http://schemas.openxmlformats.org/officeDocument/2006/relationships/hyperlink" Target="https://parselsorgu.tkgm.gov.tr/" TargetMode="External"/><Relationship Id="rId142" Type="http://schemas.openxmlformats.org/officeDocument/2006/relationships/hyperlink" Target="https://parselsorgu.tkgm.gov.tr/" TargetMode="External"/><Relationship Id="rId163" Type="http://schemas.openxmlformats.org/officeDocument/2006/relationships/hyperlink" Target="https://parselsorgu.tkgm.gov.tr/" TargetMode="External"/><Relationship Id="rId184" Type="http://schemas.openxmlformats.org/officeDocument/2006/relationships/hyperlink" Target="https://parselsorgu.tkgm.gov.tr/" TargetMode="External"/><Relationship Id="rId189" Type="http://schemas.openxmlformats.org/officeDocument/2006/relationships/hyperlink" Target="https://parselsorgu.tkgm.gov.tr/" TargetMode="External"/><Relationship Id="rId3" Type="http://schemas.openxmlformats.org/officeDocument/2006/relationships/hyperlink" Target="https://drive.google.com/drive/folders/1QcsakwS6rK3SiQFkDmT26nPU_W4xRYWb" TargetMode="External"/><Relationship Id="rId214" Type="http://schemas.openxmlformats.org/officeDocument/2006/relationships/hyperlink" Target="https://parselsorgu.tkgm.gov.tr/" TargetMode="External"/><Relationship Id="rId25" Type="http://schemas.openxmlformats.org/officeDocument/2006/relationships/hyperlink" Target="https://parselsorgu.tkgm.gov.tr/" TargetMode="External"/><Relationship Id="rId46" Type="http://schemas.openxmlformats.org/officeDocument/2006/relationships/hyperlink" Target="https://parselsorgu.tkgm.gov.tr/" TargetMode="External"/><Relationship Id="rId67" Type="http://schemas.openxmlformats.org/officeDocument/2006/relationships/hyperlink" Target="https://parselsorgu.tkgm.gov.tr/" TargetMode="External"/><Relationship Id="rId116" Type="http://schemas.openxmlformats.org/officeDocument/2006/relationships/hyperlink" Target="https://parselsorgu.tkgm.gov.tr/" TargetMode="External"/><Relationship Id="rId137" Type="http://schemas.openxmlformats.org/officeDocument/2006/relationships/hyperlink" Target="https://parselsorgu.tkgm.gov.tr/" TargetMode="External"/><Relationship Id="rId158" Type="http://schemas.openxmlformats.org/officeDocument/2006/relationships/hyperlink" Target="https://parselsorgu.tkgm.gov.tr/" TargetMode="External"/><Relationship Id="rId20" Type="http://schemas.openxmlformats.org/officeDocument/2006/relationships/hyperlink" Target="https://parselsorgu.tkgm.gov.tr/" TargetMode="External"/><Relationship Id="rId41" Type="http://schemas.openxmlformats.org/officeDocument/2006/relationships/hyperlink" Target="https://parselsorgu.tkgm.gov.tr/" TargetMode="External"/><Relationship Id="rId62" Type="http://schemas.openxmlformats.org/officeDocument/2006/relationships/hyperlink" Target="https://parselsorgu.tkgm.gov.tr/" TargetMode="External"/><Relationship Id="rId83" Type="http://schemas.openxmlformats.org/officeDocument/2006/relationships/hyperlink" Target="https://parselsorgu.tkgm.gov.tr/" TargetMode="External"/><Relationship Id="rId88" Type="http://schemas.openxmlformats.org/officeDocument/2006/relationships/hyperlink" Target="https://parselsorgu.tkgm.gov.tr/" TargetMode="External"/><Relationship Id="rId111" Type="http://schemas.openxmlformats.org/officeDocument/2006/relationships/hyperlink" Target="https://parselsorgu.tkgm.gov.tr/" TargetMode="External"/><Relationship Id="rId132" Type="http://schemas.openxmlformats.org/officeDocument/2006/relationships/hyperlink" Target="https://parselsorgu.tkgm.gov.tr/" TargetMode="External"/><Relationship Id="rId153" Type="http://schemas.openxmlformats.org/officeDocument/2006/relationships/hyperlink" Target="https://parselsorgu.tkgm.gov.tr/" TargetMode="External"/><Relationship Id="rId174" Type="http://schemas.openxmlformats.org/officeDocument/2006/relationships/hyperlink" Target="https://parselsorgu.tkgm.gov.tr/" TargetMode="External"/><Relationship Id="rId179" Type="http://schemas.openxmlformats.org/officeDocument/2006/relationships/hyperlink" Target="https://parselsorgu.tkgm.gov.tr/" TargetMode="External"/><Relationship Id="rId195" Type="http://schemas.openxmlformats.org/officeDocument/2006/relationships/hyperlink" Target="https://parselsorgu.tkgm.gov.tr/" TargetMode="External"/><Relationship Id="rId209" Type="http://schemas.openxmlformats.org/officeDocument/2006/relationships/hyperlink" Target="https://parselsorgu.tkgm.gov.tr/" TargetMode="External"/><Relationship Id="rId190" Type="http://schemas.openxmlformats.org/officeDocument/2006/relationships/hyperlink" Target="https://parselsorgu.tkgm.gov.tr/" TargetMode="External"/><Relationship Id="rId204" Type="http://schemas.openxmlformats.org/officeDocument/2006/relationships/hyperlink" Target="https://parselsorgu.tkgm.gov.tr/" TargetMode="External"/><Relationship Id="rId15" Type="http://schemas.openxmlformats.org/officeDocument/2006/relationships/hyperlink" Target="https://parselsorgu.tkgm.gov.tr/" TargetMode="External"/><Relationship Id="rId36" Type="http://schemas.openxmlformats.org/officeDocument/2006/relationships/hyperlink" Target="https://parselsorgu.tkgm.gov.tr/" TargetMode="External"/><Relationship Id="rId57" Type="http://schemas.openxmlformats.org/officeDocument/2006/relationships/hyperlink" Target="https://parselsorgu.tkgm.gov.tr/" TargetMode="External"/><Relationship Id="rId106" Type="http://schemas.openxmlformats.org/officeDocument/2006/relationships/hyperlink" Target="https://parselsorgu.tkgm.gov.tr/" TargetMode="External"/><Relationship Id="rId127" Type="http://schemas.openxmlformats.org/officeDocument/2006/relationships/hyperlink" Target="https://parselsorgu.tkgm.gov.tr/" TargetMode="External"/><Relationship Id="rId10" Type="http://schemas.openxmlformats.org/officeDocument/2006/relationships/hyperlink" Target="https://parselsorgu.tkgm.gov.tr/" TargetMode="External"/><Relationship Id="rId31" Type="http://schemas.openxmlformats.org/officeDocument/2006/relationships/hyperlink" Target="https://parselsorgu.tkgm.gov.tr/" TargetMode="External"/><Relationship Id="rId52" Type="http://schemas.openxmlformats.org/officeDocument/2006/relationships/hyperlink" Target="https://parselsorgu.tkgm.gov.tr/" TargetMode="External"/><Relationship Id="rId73" Type="http://schemas.openxmlformats.org/officeDocument/2006/relationships/hyperlink" Target="https://parselsorgu.tkgm.gov.tr/" TargetMode="External"/><Relationship Id="rId78" Type="http://schemas.openxmlformats.org/officeDocument/2006/relationships/hyperlink" Target="https://parselsorgu.tkgm.gov.tr/" TargetMode="External"/><Relationship Id="rId94" Type="http://schemas.openxmlformats.org/officeDocument/2006/relationships/hyperlink" Target="https://parselsorgu.tkgm.gov.tr/" TargetMode="External"/><Relationship Id="rId99" Type="http://schemas.openxmlformats.org/officeDocument/2006/relationships/hyperlink" Target="https://parselsorgu.tkgm.gov.tr/" TargetMode="External"/><Relationship Id="rId101" Type="http://schemas.openxmlformats.org/officeDocument/2006/relationships/hyperlink" Target="https://parselsorgu.tkgm.gov.tr/" TargetMode="External"/><Relationship Id="rId122" Type="http://schemas.openxmlformats.org/officeDocument/2006/relationships/hyperlink" Target="https://parselsorgu.tkgm.gov.tr/" TargetMode="External"/><Relationship Id="rId143" Type="http://schemas.openxmlformats.org/officeDocument/2006/relationships/hyperlink" Target="https://parselsorgu.tkgm.gov.tr/" TargetMode="External"/><Relationship Id="rId148" Type="http://schemas.openxmlformats.org/officeDocument/2006/relationships/hyperlink" Target="https://parselsorgu.tkgm.gov.tr/" TargetMode="External"/><Relationship Id="rId164" Type="http://schemas.openxmlformats.org/officeDocument/2006/relationships/hyperlink" Target="https://parselsorgu.tkgm.gov.tr/" TargetMode="External"/><Relationship Id="rId169" Type="http://schemas.openxmlformats.org/officeDocument/2006/relationships/hyperlink" Target="https://parselsorgu.tkgm.gov.tr/" TargetMode="External"/><Relationship Id="rId185" Type="http://schemas.openxmlformats.org/officeDocument/2006/relationships/hyperlink" Target="https://parselsorgu.tkgm.gov.tr/" TargetMode="External"/><Relationship Id="rId4" Type="http://schemas.openxmlformats.org/officeDocument/2006/relationships/hyperlink" Target="https://drive.google.com/drive/folders/1QcsakwS6rK3SiQFkDmT26nPU_W4xRYWb" TargetMode="External"/><Relationship Id="rId9" Type="http://schemas.openxmlformats.org/officeDocument/2006/relationships/hyperlink" Target="https://parselsorgu.tkgm.gov.tr/" TargetMode="External"/><Relationship Id="rId180" Type="http://schemas.openxmlformats.org/officeDocument/2006/relationships/hyperlink" Target="https://parselsorgu.tkgm.gov.tr/" TargetMode="External"/><Relationship Id="rId210" Type="http://schemas.openxmlformats.org/officeDocument/2006/relationships/hyperlink" Target="https://parselsorgu.tkgm.gov.tr/" TargetMode="External"/><Relationship Id="rId215" Type="http://schemas.openxmlformats.org/officeDocument/2006/relationships/hyperlink" Target="https://parselsorgu.tkgm.gov.tr/" TargetMode="External"/><Relationship Id="rId26" Type="http://schemas.openxmlformats.org/officeDocument/2006/relationships/hyperlink" Target="https://parselsorgu.tkgm.gov.tr/" TargetMode="External"/><Relationship Id="rId47" Type="http://schemas.openxmlformats.org/officeDocument/2006/relationships/hyperlink" Target="https://parselsorgu.tkgm.gov.tr/" TargetMode="External"/><Relationship Id="rId68" Type="http://schemas.openxmlformats.org/officeDocument/2006/relationships/hyperlink" Target="https://parselsorgu.tkgm.gov.tr/" TargetMode="External"/><Relationship Id="rId89" Type="http://schemas.openxmlformats.org/officeDocument/2006/relationships/hyperlink" Target="https://parselsorgu.tkgm.gov.tr/" TargetMode="External"/><Relationship Id="rId112" Type="http://schemas.openxmlformats.org/officeDocument/2006/relationships/hyperlink" Target="https://parselsorgu.tkgm.gov.tr/" TargetMode="External"/><Relationship Id="rId133" Type="http://schemas.openxmlformats.org/officeDocument/2006/relationships/hyperlink" Target="https://parselsorgu.tkgm.gov.tr/" TargetMode="External"/><Relationship Id="rId154" Type="http://schemas.openxmlformats.org/officeDocument/2006/relationships/hyperlink" Target="https://parselsorgu.tkgm.gov.tr/" TargetMode="External"/><Relationship Id="rId175" Type="http://schemas.openxmlformats.org/officeDocument/2006/relationships/hyperlink" Target="https://parselsorgu.tkgm.gov.tr/" TargetMode="External"/><Relationship Id="rId196" Type="http://schemas.openxmlformats.org/officeDocument/2006/relationships/hyperlink" Target="https://parselsorgu.tkgm.gov.tr/" TargetMode="External"/><Relationship Id="rId200" Type="http://schemas.openxmlformats.org/officeDocument/2006/relationships/hyperlink" Target="https://parselsorgu.tkgm.gov.tr/" TargetMode="External"/><Relationship Id="rId16" Type="http://schemas.openxmlformats.org/officeDocument/2006/relationships/hyperlink" Target="https://parselsorgu.tkgm.gov.tr/" TargetMode="External"/><Relationship Id="rId37" Type="http://schemas.openxmlformats.org/officeDocument/2006/relationships/hyperlink" Target="https://parselsorgu.tkgm.gov.tr/" TargetMode="External"/><Relationship Id="rId58" Type="http://schemas.openxmlformats.org/officeDocument/2006/relationships/hyperlink" Target="https://parselsorgu.tkgm.gov.tr/" TargetMode="External"/><Relationship Id="rId79" Type="http://schemas.openxmlformats.org/officeDocument/2006/relationships/hyperlink" Target="https://parselsorgu.tkgm.gov.tr/" TargetMode="External"/><Relationship Id="rId102" Type="http://schemas.openxmlformats.org/officeDocument/2006/relationships/hyperlink" Target="https://parselsorgu.tkgm.gov.tr/" TargetMode="External"/><Relationship Id="rId123" Type="http://schemas.openxmlformats.org/officeDocument/2006/relationships/hyperlink" Target="https://parselsorgu.tkgm.gov.tr/" TargetMode="External"/><Relationship Id="rId144" Type="http://schemas.openxmlformats.org/officeDocument/2006/relationships/hyperlink" Target="https://parselsorgu.tkgm.gov.tr/" TargetMode="External"/><Relationship Id="rId90" Type="http://schemas.openxmlformats.org/officeDocument/2006/relationships/hyperlink" Target="https://parselsorgu.tkgm.gov.tr/" TargetMode="External"/><Relationship Id="rId165" Type="http://schemas.openxmlformats.org/officeDocument/2006/relationships/hyperlink" Target="https://parselsorgu.tkgm.gov.tr/" TargetMode="External"/><Relationship Id="rId186" Type="http://schemas.openxmlformats.org/officeDocument/2006/relationships/hyperlink" Target="https://parselsorgu.tkgm.gov.tr/" TargetMode="External"/><Relationship Id="rId211" Type="http://schemas.openxmlformats.org/officeDocument/2006/relationships/hyperlink" Target="https://parselsorgu.tkgm.gov.tr/" TargetMode="External"/><Relationship Id="rId27" Type="http://schemas.openxmlformats.org/officeDocument/2006/relationships/hyperlink" Target="https://parselsorgu.tkgm.gov.tr/" TargetMode="External"/><Relationship Id="rId48" Type="http://schemas.openxmlformats.org/officeDocument/2006/relationships/hyperlink" Target="https://parselsorgu.tkgm.gov.tr/" TargetMode="External"/><Relationship Id="rId69" Type="http://schemas.openxmlformats.org/officeDocument/2006/relationships/hyperlink" Target="https://parselsorgu.tkgm.gov.tr/" TargetMode="External"/><Relationship Id="rId113" Type="http://schemas.openxmlformats.org/officeDocument/2006/relationships/hyperlink" Target="https://parselsorgu.tkgm.gov.tr/" TargetMode="External"/><Relationship Id="rId134" Type="http://schemas.openxmlformats.org/officeDocument/2006/relationships/hyperlink" Target="https://parselsorgu.tkgm.gov.tr/" TargetMode="External"/><Relationship Id="rId80" Type="http://schemas.openxmlformats.org/officeDocument/2006/relationships/hyperlink" Target="https://parselsorgu.tkgm.gov.tr/" TargetMode="External"/><Relationship Id="rId155" Type="http://schemas.openxmlformats.org/officeDocument/2006/relationships/hyperlink" Target="https://parselsorgu.tkgm.gov.tr/" TargetMode="External"/><Relationship Id="rId176" Type="http://schemas.openxmlformats.org/officeDocument/2006/relationships/hyperlink" Target="https://parselsorgu.tkgm.gov.tr/" TargetMode="External"/><Relationship Id="rId197" Type="http://schemas.openxmlformats.org/officeDocument/2006/relationships/hyperlink" Target="https://parselsorgu.tkgm.gov.tr/" TargetMode="External"/><Relationship Id="rId201" Type="http://schemas.openxmlformats.org/officeDocument/2006/relationships/hyperlink" Target="https://parselsorgu.tkgm.gov.tr/" TargetMode="External"/><Relationship Id="rId17" Type="http://schemas.openxmlformats.org/officeDocument/2006/relationships/hyperlink" Target="https://parselsorgu.tkgm.gov.tr/" TargetMode="External"/><Relationship Id="rId38" Type="http://schemas.openxmlformats.org/officeDocument/2006/relationships/hyperlink" Target="https://parselsorgu.tkgm.gov.tr/" TargetMode="External"/><Relationship Id="rId59" Type="http://schemas.openxmlformats.org/officeDocument/2006/relationships/hyperlink" Target="https://parselsorgu.tkgm.gov.tr/" TargetMode="External"/><Relationship Id="rId103" Type="http://schemas.openxmlformats.org/officeDocument/2006/relationships/hyperlink" Target="https://parselsorgu.tkgm.gov.tr/" TargetMode="External"/><Relationship Id="rId124" Type="http://schemas.openxmlformats.org/officeDocument/2006/relationships/hyperlink" Target="https://parselsorgu.tkgm.gov.tr/" TargetMode="External"/><Relationship Id="rId70" Type="http://schemas.openxmlformats.org/officeDocument/2006/relationships/hyperlink" Target="https://parselsorgu.tkgm.gov.tr/" TargetMode="External"/><Relationship Id="rId91" Type="http://schemas.openxmlformats.org/officeDocument/2006/relationships/hyperlink" Target="https://parselsorgu.tkgm.gov.tr/" TargetMode="External"/><Relationship Id="rId145" Type="http://schemas.openxmlformats.org/officeDocument/2006/relationships/hyperlink" Target="https://parselsorgu.tkgm.gov.tr/" TargetMode="External"/><Relationship Id="rId166" Type="http://schemas.openxmlformats.org/officeDocument/2006/relationships/hyperlink" Target="https://parselsorgu.tkgm.gov.tr/" TargetMode="External"/><Relationship Id="rId187" Type="http://schemas.openxmlformats.org/officeDocument/2006/relationships/hyperlink" Target="https://parselsorgu.tkgm.gov.tr/" TargetMode="External"/><Relationship Id="rId1" Type="http://schemas.openxmlformats.org/officeDocument/2006/relationships/hyperlink" Target="https://drive.google.com/drive/u/1/folders/14GIs2Iw1Q7R1Xxo2bTaAAVjPv-RfiLBO" TargetMode="External"/><Relationship Id="rId212" Type="http://schemas.openxmlformats.org/officeDocument/2006/relationships/hyperlink" Target="https://parselsorgu.tkgm.gov.tr/" TargetMode="External"/><Relationship Id="rId28" Type="http://schemas.openxmlformats.org/officeDocument/2006/relationships/hyperlink" Target="https://parselsorgu.tkgm.gov.tr/" TargetMode="External"/><Relationship Id="rId49" Type="http://schemas.openxmlformats.org/officeDocument/2006/relationships/hyperlink" Target="https://parselsorgu.tkgm.gov.tr/" TargetMode="External"/><Relationship Id="rId114" Type="http://schemas.openxmlformats.org/officeDocument/2006/relationships/hyperlink" Target="https://parselsorgu.tkgm.gov.tr/" TargetMode="External"/><Relationship Id="rId60" Type="http://schemas.openxmlformats.org/officeDocument/2006/relationships/hyperlink" Target="https://parselsorgu.tkgm.gov.tr/" TargetMode="External"/><Relationship Id="rId81" Type="http://schemas.openxmlformats.org/officeDocument/2006/relationships/hyperlink" Target="https://parselsorgu.tkgm.gov.tr/" TargetMode="External"/><Relationship Id="rId135" Type="http://schemas.openxmlformats.org/officeDocument/2006/relationships/hyperlink" Target="https://parselsorgu.tkgm.gov.tr/" TargetMode="External"/><Relationship Id="rId156" Type="http://schemas.openxmlformats.org/officeDocument/2006/relationships/hyperlink" Target="https://parselsorgu.tkgm.gov.tr/" TargetMode="External"/><Relationship Id="rId177" Type="http://schemas.openxmlformats.org/officeDocument/2006/relationships/hyperlink" Target="https://parselsorgu.tkgm.gov.tr/" TargetMode="External"/><Relationship Id="rId198" Type="http://schemas.openxmlformats.org/officeDocument/2006/relationships/hyperlink" Target="https://parselsorgu.tkgm.gov.tr/" TargetMode="External"/><Relationship Id="rId202" Type="http://schemas.openxmlformats.org/officeDocument/2006/relationships/hyperlink" Target="https://parselsorgu.tkgm.gov.tr/" TargetMode="External"/><Relationship Id="rId18" Type="http://schemas.openxmlformats.org/officeDocument/2006/relationships/hyperlink" Target="https://parselsorgu.tkgm.gov.tr/" TargetMode="External"/><Relationship Id="rId39" Type="http://schemas.openxmlformats.org/officeDocument/2006/relationships/hyperlink" Target="https://parselsorgu.tkgm.gov.tr/" TargetMode="External"/><Relationship Id="rId50" Type="http://schemas.openxmlformats.org/officeDocument/2006/relationships/hyperlink" Target="https://parselsorgu.tkgm.gov.tr/" TargetMode="External"/><Relationship Id="rId104" Type="http://schemas.openxmlformats.org/officeDocument/2006/relationships/hyperlink" Target="https://parselsorgu.tkgm.gov.tr/" TargetMode="External"/><Relationship Id="rId125" Type="http://schemas.openxmlformats.org/officeDocument/2006/relationships/hyperlink" Target="https://parselsorgu.tkgm.gov.tr/" TargetMode="External"/><Relationship Id="rId146" Type="http://schemas.openxmlformats.org/officeDocument/2006/relationships/hyperlink" Target="https://parselsorgu.tkgm.gov.tr/" TargetMode="External"/><Relationship Id="rId167" Type="http://schemas.openxmlformats.org/officeDocument/2006/relationships/hyperlink" Target="https://parselsorgu.tkgm.gov.tr/" TargetMode="External"/><Relationship Id="rId188" Type="http://schemas.openxmlformats.org/officeDocument/2006/relationships/hyperlink" Target="https://parselsorgu.tkgm.gov.tr/" TargetMode="External"/><Relationship Id="rId71" Type="http://schemas.openxmlformats.org/officeDocument/2006/relationships/hyperlink" Target="https://parselsorgu.tkgm.gov.tr/" TargetMode="External"/><Relationship Id="rId92" Type="http://schemas.openxmlformats.org/officeDocument/2006/relationships/hyperlink" Target="https://parselsorgu.tkgm.gov.tr/" TargetMode="External"/><Relationship Id="rId213" Type="http://schemas.openxmlformats.org/officeDocument/2006/relationships/hyperlink" Target="https://parselsorgu.tkgm.gov.tr/" TargetMode="External"/><Relationship Id="rId2" Type="http://schemas.openxmlformats.org/officeDocument/2006/relationships/hyperlink" Target="https://drive.google.com/drive/folders/1QcsakwS6rK3SiQFkDmT26nPU_W4xRYWb" TargetMode="External"/><Relationship Id="rId29" Type="http://schemas.openxmlformats.org/officeDocument/2006/relationships/hyperlink" Target="https://parselsorgu.tkgm.gov.tr/" TargetMode="External"/><Relationship Id="rId40" Type="http://schemas.openxmlformats.org/officeDocument/2006/relationships/hyperlink" Target="https://parselsorgu.tkgm.gov.tr/" TargetMode="External"/><Relationship Id="rId115" Type="http://schemas.openxmlformats.org/officeDocument/2006/relationships/hyperlink" Target="https://parselsorgu.tkgm.gov.tr/" TargetMode="External"/><Relationship Id="rId136" Type="http://schemas.openxmlformats.org/officeDocument/2006/relationships/hyperlink" Target="https://parselsorgu.tkgm.gov.tr/" TargetMode="External"/><Relationship Id="rId157" Type="http://schemas.openxmlformats.org/officeDocument/2006/relationships/hyperlink" Target="https://parselsorgu.tkgm.gov.tr/" TargetMode="External"/><Relationship Id="rId178" Type="http://schemas.openxmlformats.org/officeDocument/2006/relationships/hyperlink" Target="https://parselsorgu.tkgm.gov.tr/" TargetMode="External"/><Relationship Id="rId61" Type="http://schemas.openxmlformats.org/officeDocument/2006/relationships/hyperlink" Target="https://parselsorgu.tkgm.gov.tr/" TargetMode="External"/><Relationship Id="rId82" Type="http://schemas.openxmlformats.org/officeDocument/2006/relationships/hyperlink" Target="https://parselsorgu.tkgm.gov.tr/" TargetMode="External"/><Relationship Id="rId199" Type="http://schemas.openxmlformats.org/officeDocument/2006/relationships/hyperlink" Target="https://parselsorgu.tkgm.gov.tr/" TargetMode="External"/><Relationship Id="rId203" Type="http://schemas.openxmlformats.org/officeDocument/2006/relationships/hyperlink" Target="https://parselsorgu.tkgm.gov.tr/" TargetMode="External"/><Relationship Id="rId19" Type="http://schemas.openxmlformats.org/officeDocument/2006/relationships/hyperlink" Target="https://parselsorgu.tkgm.gov.tr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epsiemlak.com/manisa-sehzadeler-tepecik-satilik/imarli-konut/136598-1003" TargetMode="External"/><Relationship Id="rId117" Type="http://schemas.openxmlformats.org/officeDocument/2006/relationships/hyperlink" Target="https://www.sahibinden.com/ilan/emlak-arsa-satilik-aydin-yenipazar-alhan-mah-satilik-mustakil-tapulu-imarli-arsa-1254034358/detay/" TargetMode="External"/><Relationship Id="rId21" Type="http://schemas.openxmlformats.org/officeDocument/2006/relationships/hyperlink" Target="https://bereketlitopraklar.com.tr/balikesir-karesi-davutlar-mahallesinde-satilik-imarli-arsa-113-ada-21-parsel" TargetMode="External"/><Relationship Id="rId42" Type="http://schemas.openxmlformats.org/officeDocument/2006/relationships/hyperlink" Target="https://bereketlitopraklar.com.tr/manisa-demirci-kulalar-mahallesinde-satilik-tarla-128-ada-2-parsel" TargetMode="External"/><Relationship Id="rId47" Type="http://schemas.openxmlformats.org/officeDocument/2006/relationships/hyperlink" Target="https://www.sahibinden.com/ilan/emlak-arsa-satilik-balikesir-kepsut-kayaeli-satilik-tarla-1220475793/detay/" TargetMode="External"/><Relationship Id="rId63" Type="http://schemas.openxmlformats.org/officeDocument/2006/relationships/hyperlink" Target="https://www.hepsiemlak.com/balikesir-karesi-davutlar-satilik/imarli-konut/136598-1685" TargetMode="External"/><Relationship Id="rId68" Type="http://schemas.openxmlformats.org/officeDocument/2006/relationships/hyperlink" Target="https://www.hepsiemlak.com/balikesir-kepsut-kayaeli-satilik/imarli-konut/136598-1564" TargetMode="External"/><Relationship Id="rId84" Type="http://schemas.openxmlformats.org/officeDocument/2006/relationships/hyperlink" Target="https://parselsorgu.tkgm.gov.tr/" TargetMode="External"/><Relationship Id="rId89" Type="http://schemas.openxmlformats.org/officeDocument/2006/relationships/hyperlink" Target="https://parselsorgu.tkgm.gov.tr/" TargetMode="External"/><Relationship Id="rId112" Type="http://schemas.openxmlformats.org/officeDocument/2006/relationships/hyperlink" Target="https://www.sahibinden.com/ilan/emlak-arsa-satilik-balikesir-dursunbey-yukarimusalar-da-satilik-imarli-arsa-1248750111/detay/" TargetMode="External"/><Relationship Id="rId16" Type="http://schemas.openxmlformats.org/officeDocument/2006/relationships/hyperlink" Target="https://bereketlitopraklar.com.tr/balikesir-sindirgi-armutlu-mahallesinde-satilik-imarli-arsa-102-ada-1-parsel" TargetMode="External"/><Relationship Id="rId107" Type="http://schemas.openxmlformats.org/officeDocument/2006/relationships/hyperlink" Target="https://bereketlitopraklar.com.tr/canakkale-biga-kahvetepe-mahallesi-satilik-imarli-arsa-0-ada-816-parsel" TargetMode="External"/><Relationship Id="rId11" Type="http://schemas.openxmlformats.org/officeDocument/2006/relationships/hyperlink" Target="https://parselsorgu.tkgm.gov.tr/" TargetMode="External"/><Relationship Id="rId32" Type="http://schemas.openxmlformats.org/officeDocument/2006/relationships/hyperlink" Target="https://bereketlitopraklar.com.tr/balikesir-karesi-toybelen-mahallesinde-satilik-imarli-arsa-120-ada-14-parsel" TargetMode="External"/><Relationship Id="rId37" Type="http://schemas.openxmlformats.org/officeDocument/2006/relationships/hyperlink" Target="https://bereketlitopraklar.com.tr/balikesir-kepsut-kayaeli-mahallesinde-satilik-tarla-173-ada-282-parsel" TargetMode="External"/><Relationship Id="rId53" Type="http://schemas.openxmlformats.org/officeDocument/2006/relationships/hyperlink" Target="https://www.hepsiemlak.com/balikesir-ivrindi-gozlucayir-satilik/imarli-konut/136598-1527" TargetMode="External"/><Relationship Id="rId58" Type="http://schemas.openxmlformats.org/officeDocument/2006/relationships/hyperlink" Target="https://www.hepsiemlak.com/balikesir-sindirgi-ibiller-satilik/imarli-konut/136598-1661" TargetMode="External"/><Relationship Id="rId74" Type="http://schemas.openxmlformats.org/officeDocument/2006/relationships/hyperlink" Target="https://parselsorgu.tkgm.gov.tr/" TargetMode="External"/><Relationship Id="rId79" Type="http://schemas.openxmlformats.org/officeDocument/2006/relationships/hyperlink" Target="https://bereketlitopraklar.com.tr/balikesir-sindirgi-derecikoren-mahallesinde-satilik-imarli-arsa-205-ada-5-parsel" TargetMode="External"/><Relationship Id="rId102" Type="http://schemas.openxmlformats.org/officeDocument/2006/relationships/hyperlink" Target="https://www.sahibinden.com/ilan/emlak-arsa-satilik-balikesir-karesi-buyukpinar-mah-satilik-mustakil-imarli-arsa-1237631783/detay/" TargetMode="External"/><Relationship Id="rId123" Type="http://schemas.openxmlformats.org/officeDocument/2006/relationships/hyperlink" Target="https://hesabim.hepsiemlak.com/portfoy/45778404/detay" TargetMode="External"/><Relationship Id="rId5" Type="http://schemas.openxmlformats.org/officeDocument/2006/relationships/hyperlink" Target="https://parselsorgu.tkgm.gov.tr/" TargetMode="External"/><Relationship Id="rId90" Type="http://schemas.openxmlformats.org/officeDocument/2006/relationships/hyperlink" Target="https://parselsorgu.tkgm.gov.tr/" TargetMode="External"/><Relationship Id="rId95" Type="http://schemas.openxmlformats.org/officeDocument/2006/relationships/hyperlink" Target="https://www.sahibinden.com/ilan/emlak-arsa-satilik-balikesir-karesi-kuvayimilliye-mahallesinde-satilik-imarli-arsa-1232386736/detay/" TargetMode="External"/><Relationship Id="rId22" Type="http://schemas.openxmlformats.org/officeDocument/2006/relationships/hyperlink" Target="https://bereketlitopraklar.com.tr/balikesir-altieylul-dinkciler-mahallesinde-satilik-3-kat-imarli-arsa-13131-ada-6-parsel" TargetMode="External"/><Relationship Id="rId27" Type="http://schemas.openxmlformats.org/officeDocument/2006/relationships/hyperlink" Target="https://www.hepsiemlak.com/canakkale-yenice-karakoy-satilik/imarli-konut/136598-903" TargetMode="External"/><Relationship Id="rId43" Type="http://schemas.openxmlformats.org/officeDocument/2006/relationships/hyperlink" Target="https://bereketlitopraklar.com.tr/manisa-sehzadeler-tepecik-mahallesinde-satilik-imarli-arsa-106-ada-3-parsel" TargetMode="External"/><Relationship Id="rId48" Type="http://schemas.openxmlformats.org/officeDocument/2006/relationships/hyperlink" Target="https://www.sahibinden.com/ilan/emlak-arsa-satilik-manisa-demirci-bardakcida-2-kat-konut-imarli-satilik-arsa-1232319721/detay/" TargetMode="External"/><Relationship Id="rId64" Type="http://schemas.openxmlformats.org/officeDocument/2006/relationships/hyperlink" Target="https://www.hepsiemlak.com/antalya-finike-karsiyaka-satilik/imarli-konut/136598-907" TargetMode="External"/><Relationship Id="rId69" Type="http://schemas.openxmlformats.org/officeDocument/2006/relationships/hyperlink" Target="https://hesabim.hepsiemlak.com/portfoy/detay?realtyId=43992815" TargetMode="External"/><Relationship Id="rId113" Type="http://schemas.openxmlformats.org/officeDocument/2006/relationships/hyperlink" Target="https://www.sahibinden.com/ilan/emlak-arsa-satilik-balikesir-dursunbey-delice-mahallesi-satilik-imarli-arsa-1250536976/detay/" TargetMode="External"/><Relationship Id="rId118" Type="http://schemas.openxmlformats.org/officeDocument/2006/relationships/hyperlink" Target="https://bereketlitopraklar.com.tr/aydin-yenipazar-alhan-mahallesi-nde-satilik-imarli-arsa-104-ada-3-parsel" TargetMode="External"/><Relationship Id="rId80" Type="http://schemas.openxmlformats.org/officeDocument/2006/relationships/hyperlink" Target="https://bereketlitopraklar.com.tr/balikesir-karesi-kalaycilar-mahallesinde-satilik-imarli-arsa-105-ada-9-parsel" TargetMode="External"/><Relationship Id="rId85" Type="http://schemas.openxmlformats.org/officeDocument/2006/relationships/hyperlink" Target="https://parselsorgu.tkgm.gov.tr/" TargetMode="External"/><Relationship Id="rId12" Type="http://schemas.openxmlformats.org/officeDocument/2006/relationships/hyperlink" Target="https://parselsorgu.tkgm.gov.tr/" TargetMode="External"/><Relationship Id="rId17" Type="http://schemas.openxmlformats.org/officeDocument/2006/relationships/hyperlink" Target="https://www.hepsiemlak.com/balikesir-sindirgi-armutlu-satilik/imarli-konut/136598-1086" TargetMode="External"/><Relationship Id="rId33" Type="http://schemas.openxmlformats.org/officeDocument/2006/relationships/hyperlink" Target="https://bereketlitopraklar.com.tr/balikesir-karesi-kuvayi-milliye-mahallesinde-satilik-imarli-arsa-12477-ada-51-parsel" TargetMode="External"/><Relationship Id="rId38" Type="http://schemas.openxmlformats.org/officeDocument/2006/relationships/hyperlink" Target="https://bereketlitopraklar.com.tr/manisa-alasehir-kemaliye-mahallesinde-satilik-imarli-arsa-102-ada-3-parsel" TargetMode="External"/><Relationship Id="rId59" Type="http://schemas.openxmlformats.org/officeDocument/2006/relationships/hyperlink" Target="https://www.hepsiemlak.com/balikesir-karesi-naipli-satilik/imarli-konut/136598-1668" TargetMode="External"/><Relationship Id="rId103" Type="http://schemas.openxmlformats.org/officeDocument/2006/relationships/hyperlink" Target="https://www.sahibinden.com/ilan/emlak-arsa-satilik-canakkale-yenice-karakoy-mahallesinde-satilik-imarli-arsa-1237649650/detay/" TargetMode="External"/><Relationship Id="rId108" Type="http://schemas.openxmlformats.org/officeDocument/2006/relationships/hyperlink" Target="https://www.sahibinden.com/ilan/emlak-arsa-satilik-balikesir-susurluk-baliklidere-mah-satilik-mustakil-imarli-arsa-1246780393/detay/" TargetMode="External"/><Relationship Id="rId124" Type="http://schemas.openxmlformats.org/officeDocument/2006/relationships/hyperlink" Target="https://www.sahibinden.com/ilan/emlak-arsa-satilik-bereketli-topraklardan-karesi-tatlipinar-2kat-konut-imarli-arsa-1294812542/detay/" TargetMode="External"/><Relationship Id="rId54" Type="http://schemas.openxmlformats.org/officeDocument/2006/relationships/hyperlink" Target="https://www.hepsiemlak.com/izmir-dikili-katiralani-satilik/imarli-konut/136598-1520" TargetMode="External"/><Relationship Id="rId70" Type="http://schemas.openxmlformats.org/officeDocument/2006/relationships/hyperlink" Target="https://www.hepsiemlak.com/balikesir-karesi-maltepe-satilik/imarli-konut/136598-610" TargetMode="External"/><Relationship Id="rId75" Type="http://schemas.openxmlformats.org/officeDocument/2006/relationships/hyperlink" Target="https://www.hepsiemlak.com/eskisehir-mihaliccik-camikebir-satilik/imarli-konut/136598-1351" TargetMode="External"/><Relationship Id="rId91" Type="http://schemas.openxmlformats.org/officeDocument/2006/relationships/hyperlink" Target="https://parselsorgu.tkgm.gov.tr/" TargetMode="External"/><Relationship Id="rId96" Type="http://schemas.openxmlformats.org/officeDocument/2006/relationships/hyperlink" Target="https://www.sahibinden.com/ilan/emlak-arsa-satilik-balikesir-karesi-toybelen-mah-mustakil-satilik-imarli-arsa-1232389143/detay/" TargetMode="External"/><Relationship Id="rId1" Type="http://schemas.openxmlformats.org/officeDocument/2006/relationships/hyperlink" Target="https://parselsorgu.tkgm.gov.tr/" TargetMode="External"/><Relationship Id="rId6" Type="http://schemas.openxmlformats.org/officeDocument/2006/relationships/hyperlink" Target="https://parselsorgu.tkgm.gov.tr/" TargetMode="External"/><Relationship Id="rId23" Type="http://schemas.openxmlformats.org/officeDocument/2006/relationships/hyperlink" Target="https://www.hepsiemlak.com/aydin-germencik-camikebir-satilik/imarli-konut/136598-1439" TargetMode="External"/><Relationship Id="rId28" Type="http://schemas.openxmlformats.org/officeDocument/2006/relationships/hyperlink" Target="https://bereketlitopraklar.com.tr/balikesir-karesi-kirmizilar-mahallesinde-satilik-imarli-arsa-180-ada-13-parsel" TargetMode="External"/><Relationship Id="rId49" Type="http://schemas.openxmlformats.org/officeDocument/2006/relationships/hyperlink" Target="https://hesabim.hepsiemlak.com/portfoy/detay?realtyId=43988293" TargetMode="External"/><Relationship Id="rId114" Type="http://schemas.openxmlformats.org/officeDocument/2006/relationships/hyperlink" Target="https://www.sahibinden.com/ilan/emlak-arsa-satilik-canakkale-biga-kahvetepe-mahallesinde-satilik-imarli-arsa-1251837434/detay/" TargetMode="External"/><Relationship Id="rId119" Type="http://schemas.openxmlformats.org/officeDocument/2006/relationships/hyperlink" Target="https://www.hepsiemlak.com/ankara-gudul-guneyce-satilik/imarli-konut/136598-1778" TargetMode="External"/><Relationship Id="rId44" Type="http://schemas.openxmlformats.org/officeDocument/2006/relationships/hyperlink" Target="https://bereketlitopraklar.com.tr/antalya-finike-karsiyakada-mahallesinde-satilik-imarli-arsa-446-ada-11-parsel" TargetMode="External"/><Relationship Id="rId60" Type="http://schemas.openxmlformats.org/officeDocument/2006/relationships/hyperlink" Target="https://parselsorgu.tkgm.gov.tr/" TargetMode="External"/><Relationship Id="rId65" Type="http://schemas.openxmlformats.org/officeDocument/2006/relationships/hyperlink" Target="https://www.hepsiemlak.com/izmir-dikili-islamlar-satilik/konutticaret/136598-1580" TargetMode="External"/><Relationship Id="rId81" Type="http://schemas.openxmlformats.org/officeDocument/2006/relationships/hyperlink" Target="https://parselsorgu.tkgm.gov.tr/" TargetMode="External"/><Relationship Id="rId86" Type="http://schemas.openxmlformats.org/officeDocument/2006/relationships/hyperlink" Target="https://bereketlitopraklar.com.tr/balikesir-susurluk-resadiye-mahallesinde-satilik-imarli-arsa-157-ada-2-parsel" TargetMode="External"/><Relationship Id="rId13" Type="http://schemas.openxmlformats.org/officeDocument/2006/relationships/hyperlink" Target="https://parselsorgu.tkgm.gov.tr/" TargetMode="External"/><Relationship Id="rId18" Type="http://schemas.openxmlformats.org/officeDocument/2006/relationships/hyperlink" Target="https://bereketlitopraklar.com.tr/balikesir-dursunbey-celikler-mahallesinde-satilik-imarli-arsa-116-ada-69-parsel" TargetMode="External"/><Relationship Id="rId39" Type="http://schemas.openxmlformats.org/officeDocument/2006/relationships/hyperlink" Target="https://bereketlitopraklar.com.tr/manisa-alasehir-killik-mahallesinde-satilik-imarli-arsa-105-ada-16-parsel" TargetMode="External"/><Relationship Id="rId109" Type="http://schemas.openxmlformats.org/officeDocument/2006/relationships/hyperlink" Target="https://www.hepsiemlak.com/balikesir-susurluk-muradiye-satilik/imarli-konut/136598-1758" TargetMode="External"/><Relationship Id="rId34" Type="http://schemas.openxmlformats.org/officeDocument/2006/relationships/hyperlink" Target="https://bereketlitopraklar.com.tr/balikesir-sindirgi-kinik-mahallesinde-satilik-tarla-315-ada-13-parsel" TargetMode="External"/><Relationship Id="rId50" Type="http://schemas.openxmlformats.org/officeDocument/2006/relationships/hyperlink" Target="https://www.hepsiemlak.com/balikesir-dursunbey-celikler-satilik/imarli-konut/136598-1609" TargetMode="External"/><Relationship Id="rId55" Type="http://schemas.openxmlformats.org/officeDocument/2006/relationships/hyperlink" Target="https://www.hepsiemlak.com/balikesir-dursunbey-asagimusalar-satilik/imarli-konut/136598-1511" TargetMode="External"/><Relationship Id="rId76" Type="http://schemas.openxmlformats.org/officeDocument/2006/relationships/hyperlink" Target="https://parselsorgu.tkgm.gov.tr/" TargetMode="External"/><Relationship Id="rId97" Type="http://schemas.openxmlformats.org/officeDocument/2006/relationships/hyperlink" Target="https://www.sahibinden.com/ilan/emlak-arsa-satilik-bursa-orhangazi-gedelek-mahallesi-satilik-tek-tapu-tarla-1232388851/detay/" TargetMode="External"/><Relationship Id="rId104" Type="http://schemas.openxmlformats.org/officeDocument/2006/relationships/hyperlink" Target="https://www.sahibinden.com/ilan/emlak-arsa-satilik-bursa-nilufer-dagyenice-mahallesinde-satilik-tarla-1241593281/detay" TargetMode="External"/><Relationship Id="rId120" Type="http://schemas.openxmlformats.org/officeDocument/2006/relationships/hyperlink" Target="https://www.sahibinden.com/ilan/emlak-arsa-satilik-bereketli-topraklar-dan-gudul-guneyce-mah.satilik-imarli-arsa-1250555803/detay/" TargetMode="External"/><Relationship Id="rId125" Type="http://schemas.openxmlformats.org/officeDocument/2006/relationships/vmlDrawing" Target="../drawings/vmlDrawing2.vml"/><Relationship Id="rId7" Type="http://schemas.openxmlformats.org/officeDocument/2006/relationships/hyperlink" Target="https://parselsorgu.tkgm.gov.tr/" TargetMode="External"/><Relationship Id="rId71" Type="http://schemas.openxmlformats.org/officeDocument/2006/relationships/hyperlink" Target="https://www.sahibinden.com/ilan/emlak-arsa-satilik-balikesir-ivrindi-erdel-mahallesinde-satilik-imarli-arsa-1232427636/detay/" TargetMode="External"/><Relationship Id="rId92" Type="http://schemas.openxmlformats.org/officeDocument/2006/relationships/hyperlink" Target="https://bereketlitopraklar.com.tr/manisa-alasehir-yesilyurt-mahallesinde-satilik-imarli-arsa-313-ada-8-parsel" TargetMode="External"/><Relationship Id="rId2" Type="http://schemas.openxmlformats.org/officeDocument/2006/relationships/hyperlink" Target="https://parselsorgu.tkgm.gov.tr/" TargetMode="External"/><Relationship Id="rId29" Type="http://schemas.openxmlformats.org/officeDocument/2006/relationships/hyperlink" Target="https://bereketlitopraklar.com.tr/balikesir-karesi-maltepe-mahallesinde-satilik-imarli-arsa-11633-ada-11-parsel" TargetMode="External"/><Relationship Id="rId24" Type="http://schemas.openxmlformats.org/officeDocument/2006/relationships/hyperlink" Target="https://www.hepsiemlak.com/manisa-akhisar-tutenli-satilik/imarli-konut/136598-1541" TargetMode="External"/><Relationship Id="rId40" Type="http://schemas.openxmlformats.org/officeDocument/2006/relationships/hyperlink" Target="https://bereketlitopraklar.com.tr/manisa-demirci-boyacik-mahallesinde-satilik-bahce-215-ada-20-parsel" TargetMode="External"/><Relationship Id="rId45" Type="http://schemas.openxmlformats.org/officeDocument/2006/relationships/hyperlink" Target="https://www.bereketlitopraklar.com.tr/izmir-dikili-islamlar-mahallesinde-satilik-deniz-manzarali-arsa-101-ada-2-parsel" TargetMode="External"/><Relationship Id="rId66" Type="http://schemas.openxmlformats.org/officeDocument/2006/relationships/hyperlink" Target="https://www.sahibinden.com/ilan/emlak-arsa-satilik-balikesir-karesi-kirmizilar-mah-satilik-mustakil-imarli-arsa-1232382044/detay/" TargetMode="External"/><Relationship Id="rId87" Type="http://schemas.openxmlformats.org/officeDocument/2006/relationships/hyperlink" Target="https://parselsorgu.tkgm.gov.tr/" TargetMode="External"/><Relationship Id="rId110" Type="http://schemas.openxmlformats.org/officeDocument/2006/relationships/hyperlink" Target="https://www.sahibinden.com/ilan/emlak-arsa-satilik-balikesir-susurluk-muradiye-mahallesinde-satilik-imarli-arsa-1248042055/detay/" TargetMode="External"/><Relationship Id="rId115" Type="http://schemas.openxmlformats.org/officeDocument/2006/relationships/hyperlink" Target="https://www.sahibinden.com/ilan/emlak-arsa-satilik-izmir-dikili-islamlar-mahallesinde-satilik-imarli-arsa-1220786730/detay/" TargetMode="External"/><Relationship Id="rId61" Type="http://schemas.openxmlformats.org/officeDocument/2006/relationships/hyperlink" Target="https://parselsorgu.tkgm.gov.tr/" TargetMode="External"/><Relationship Id="rId82" Type="http://schemas.openxmlformats.org/officeDocument/2006/relationships/hyperlink" Target="https://www.hepsiemlak.com/balikesir-sindirgi-kocasinan-satilik/imarli-konut/136598-1011" TargetMode="External"/><Relationship Id="rId19" Type="http://schemas.openxmlformats.org/officeDocument/2006/relationships/hyperlink" Target="https://bereketlitopraklar.com.tr/manisa-demirci-bardakci-mahallesinde-satilik-imarli-arsa-108-ada-6-parsel" TargetMode="External"/><Relationship Id="rId14" Type="http://schemas.openxmlformats.org/officeDocument/2006/relationships/hyperlink" Target="https://parselsorgu.tkgm.gov.tr/" TargetMode="External"/><Relationship Id="rId30" Type="http://schemas.openxmlformats.org/officeDocument/2006/relationships/hyperlink" Target="https://bereketlitopraklar.com.tr/balikesir-karesi-naipli-mahallesinde-satilik-imarli-arsa-113-ada-5-parsel" TargetMode="External"/><Relationship Id="rId35" Type="http://schemas.openxmlformats.org/officeDocument/2006/relationships/hyperlink" Target="https://bereketlitopraklar.com.tr/balikesir-ivrindi-erdel-mahallesinde-satilik-imarli-arsa-266-ada-9-parsel" TargetMode="External"/><Relationship Id="rId56" Type="http://schemas.openxmlformats.org/officeDocument/2006/relationships/hyperlink" Target="https://www.hepsiemlak.com/balikesir-dursunbey-delice-satilik/imarli-konut/136598-1651" TargetMode="External"/><Relationship Id="rId77" Type="http://schemas.openxmlformats.org/officeDocument/2006/relationships/hyperlink" Target="https://parselsorgu.tkgm.gov.tr/" TargetMode="External"/><Relationship Id="rId100" Type="http://schemas.openxmlformats.org/officeDocument/2006/relationships/hyperlink" Target="https://www.sahibinden.com/ilan/emlak-arsa-satilik-balikesir-karesi-maltepe-mah-satilik-mustakil-imarli-arsa-1232403027/detay/" TargetMode="External"/><Relationship Id="rId105" Type="http://schemas.openxmlformats.org/officeDocument/2006/relationships/hyperlink" Target="https://www.hepsiemlak.com/bursa-nilufer-dagyenice-satilik/tarla/136598-1750" TargetMode="External"/><Relationship Id="rId126" Type="http://schemas.openxmlformats.org/officeDocument/2006/relationships/comments" Target="../comments2.xml"/><Relationship Id="rId8" Type="http://schemas.openxmlformats.org/officeDocument/2006/relationships/hyperlink" Target="https://parselsorgu.tkgm.gov.tr/" TargetMode="External"/><Relationship Id="rId51" Type="http://schemas.openxmlformats.org/officeDocument/2006/relationships/hyperlink" Target="https://www.hepsiemlak.com/balikesir-sindirgi-kinik-satilik/imarli-konut/136598-1536" TargetMode="External"/><Relationship Id="rId72" Type="http://schemas.openxmlformats.org/officeDocument/2006/relationships/hyperlink" Target="https://www.sahibinden.com/ilan/emlak-arsa-satilik-balikesir-dursunbey-celikler-mahallesinde-satilik-imarli-arsa-1226877731/detay/" TargetMode="External"/><Relationship Id="rId93" Type="http://schemas.openxmlformats.org/officeDocument/2006/relationships/hyperlink" Target="https://www.sahibinden.com/ilan/emlak-arsa-satilik-balikesir-dursunbey-asagimusalar-da-satilik-mustakil-imarli-arsa-1232329009/detay/" TargetMode="External"/><Relationship Id="rId98" Type="http://schemas.openxmlformats.org/officeDocument/2006/relationships/hyperlink" Target="https://www.sahibinden.com/ilan/emlak-arsa-satilik-izmir-dikili-katiralani-mah-satilik-mustakil-tapulu-imarli-arsa-1232393664/detay/" TargetMode="External"/><Relationship Id="rId121" Type="http://schemas.openxmlformats.org/officeDocument/2006/relationships/hyperlink" Target="https://www.hepsiemlak.com/balikesir-karesi-turplu-satilik/imarli-konut/136598-1783" TargetMode="External"/><Relationship Id="rId3" Type="http://schemas.openxmlformats.org/officeDocument/2006/relationships/hyperlink" Target="https://parselsorgu.tkgm.gov.tr/" TargetMode="External"/><Relationship Id="rId25" Type="http://schemas.openxmlformats.org/officeDocument/2006/relationships/hyperlink" Target="https://www.hepsiemlak.com/manisa-demirci-kulalar-satilik/imarli-konut/136598-968" TargetMode="External"/><Relationship Id="rId46" Type="http://schemas.openxmlformats.org/officeDocument/2006/relationships/hyperlink" Target="https://www.bereketlitopraklar.com.tr/balikesir-susurluk-ilicabogazi-mahallesinde-satilik-imarli-arsa-103-ada-28-parsel" TargetMode="External"/><Relationship Id="rId67" Type="http://schemas.openxmlformats.org/officeDocument/2006/relationships/hyperlink" Target="https://www.hepsiemlak.com/balikesir-ivrindi-erdel-satilik/imarli-konut/136598-1555" TargetMode="External"/><Relationship Id="rId116" Type="http://schemas.openxmlformats.org/officeDocument/2006/relationships/hyperlink" Target="https://www.sahibinden.com/ilan/emlak-arsa-satilik-balikesir-karesi-turplu-mahallesinde-satilik-imarli-arsa-1253856946/detay/" TargetMode="External"/><Relationship Id="rId20" Type="http://schemas.openxmlformats.org/officeDocument/2006/relationships/hyperlink" Target="https://bereketlitopraklar.com.tr/balikesir-karesi-buyukpinar-mahallesinde-satilik-imarli-arsa-140-ada-1-parsel" TargetMode="External"/><Relationship Id="rId41" Type="http://schemas.openxmlformats.org/officeDocument/2006/relationships/hyperlink" Target="https://bereketlitopraklar.com.tr/manisa-demirci-huduk-mahallesinde-satilik-tarla-169-ada-6-parsel" TargetMode="External"/><Relationship Id="rId62" Type="http://schemas.openxmlformats.org/officeDocument/2006/relationships/hyperlink" Target="https://parselsorgu.tkgm.gov.tr/" TargetMode="External"/><Relationship Id="rId83" Type="http://schemas.openxmlformats.org/officeDocument/2006/relationships/hyperlink" Target="https://bereketlitopraklar.com.tr/balikesir-sindirgi-kocasinan-mahallesinde-satilik-imarli-arsa-146-ada-6-parsel" TargetMode="External"/><Relationship Id="rId88" Type="http://schemas.openxmlformats.org/officeDocument/2006/relationships/hyperlink" Target="https://drive.google.com/drive/u/1/folders/14GIs2Iw1Q7R1Xxo2bTaAAVjPv-RfiLBO" TargetMode="External"/><Relationship Id="rId111" Type="http://schemas.openxmlformats.org/officeDocument/2006/relationships/hyperlink" Target="https://www.hepsiemlak.com/balikesir-dursunbey-yukarimusalar-satilik/imarli-konut/136598-1761" TargetMode="External"/><Relationship Id="rId15" Type="http://schemas.openxmlformats.org/officeDocument/2006/relationships/hyperlink" Target="https://parselsorgu.tkgm.gov.tr/" TargetMode="External"/><Relationship Id="rId36" Type="http://schemas.openxmlformats.org/officeDocument/2006/relationships/hyperlink" Target="https://bereketlitopraklar.com.tr/balikesir-ivrindi-gozlucayir-mahallesinde-satilik-imarli-arsa-165-ada-58-parsel" TargetMode="External"/><Relationship Id="rId57" Type="http://schemas.openxmlformats.org/officeDocument/2006/relationships/hyperlink" Target="https://www.hepsiemlak.com/balikesir-karesi-buyukpinar-satilik/imarli-konut/136598-1653" TargetMode="External"/><Relationship Id="rId106" Type="http://schemas.openxmlformats.org/officeDocument/2006/relationships/hyperlink" Target="https://www.sahibinden.com/ilan/emlak-arsa-satilik-balikesir-sindirgi-ibiller-mah-satilik-mustakil-imarli-arsa-1237644891/detay/" TargetMode="External"/><Relationship Id="rId127" Type="http://schemas.microsoft.com/office/2017/10/relationships/threadedComment" Target="../threadedComments/threadedComment1.xml"/><Relationship Id="rId10" Type="http://schemas.openxmlformats.org/officeDocument/2006/relationships/hyperlink" Target="https://parselsorgu.tkgm.gov.tr/" TargetMode="External"/><Relationship Id="rId31" Type="http://schemas.openxmlformats.org/officeDocument/2006/relationships/hyperlink" Target="https://bereketlitopraklar.com.tr/balikesir-karesi-tatlipinar-mahallesinde-satilik-imarli-arsa-178-ada-18-parsel" TargetMode="External"/><Relationship Id="rId52" Type="http://schemas.openxmlformats.org/officeDocument/2006/relationships/hyperlink" Target="https://www.hepsiemlak.com/balikesir-karesi-toybelen-satilik/imarli-konut/136598-1540" TargetMode="External"/><Relationship Id="rId73" Type="http://schemas.openxmlformats.org/officeDocument/2006/relationships/hyperlink" Target="https://www.sahibinden.com/ilan/emlak-arsa-satilik-balikesir-sindirgi-kinik-mah-satilik-mustakil-imarli-arsa-1232340780/detay/" TargetMode="External"/><Relationship Id="rId78" Type="http://schemas.openxmlformats.org/officeDocument/2006/relationships/hyperlink" Target="https://www.hepsiemlak.com/balikesir-sindirgi-derecikoren-satilik/imarli-konut/136598-999" TargetMode="External"/><Relationship Id="rId94" Type="http://schemas.openxmlformats.org/officeDocument/2006/relationships/hyperlink" Target="https://www.sahibinden.com/ilan/emlak-arsa-satilik-balikesir-ivrindi-gozlucayir-mah-mustakil-satilik-imarli-arsa-1232384869/detay/" TargetMode="External"/><Relationship Id="rId99" Type="http://schemas.openxmlformats.org/officeDocument/2006/relationships/hyperlink" Target="https://www.sahibinden.com/ilan/emlak-arsa-satilik-balikesir-karesi-naipli-de-satilik-imarli-arsa-1232403029/detay/" TargetMode="External"/><Relationship Id="rId101" Type="http://schemas.openxmlformats.org/officeDocument/2006/relationships/hyperlink" Target="https://www.sahibinden.com/ilan/emlak-arsa-satilik-manisa-alasehir-kemaliye-mahallesinde-satilik-konut-imarli-arsa-1237613693/detay/" TargetMode="External"/><Relationship Id="rId122" Type="http://schemas.openxmlformats.org/officeDocument/2006/relationships/hyperlink" Target="https://www.sahibinden.com/ilan/emlak-arsa-satilik-bereketli-topraklar-dan-aydin-soke-de-satilik-imarli-arsa-1289507920/detay/" TargetMode="External"/><Relationship Id="rId4" Type="http://schemas.openxmlformats.org/officeDocument/2006/relationships/hyperlink" Target="https://parselsorgu.tkgm.gov.tr/" TargetMode="External"/><Relationship Id="rId9" Type="http://schemas.openxmlformats.org/officeDocument/2006/relationships/hyperlink" Target="https://parselsorgu.tkgm.gov.tr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91E9-F63D-4523-85A9-4BE655397C77}">
  <dimension ref="A1:R1190"/>
  <sheetViews>
    <sheetView workbookViewId="0">
      <selection activeCell="B7" sqref="B7"/>
    </sheetView>
  </sheetViews>
  <sheetFormatPr defaultColWidth="11.44140625" defaultRowHeight="14.4"/>
  <cols>
    <col min="3" max="3" width="13" customWidth="1"/>
    <col min="4" max="4" width="9.5546875" customWidth="1"/>
    <col min="5" max="5" width="8.6640625" customWidth="1"/>
    <col min="6" max="6" width="7.109375" customWidth="1"/>
    <col min="7" max="7" width="16" customWidth="1"/>
    <col min="8" max="8" width="19.109375" customWidth="1"/>
    <col min="9" max="9" width="27" bestFit="1" customWidth="1"/>
    <col min="10" max="10" width="49.33203125" bestFit="1" customWidth="1"/>
    <col min="11" max="11" width="12.6640625" customWidth="1"/>
    <col min="12" max="12" width="27" style="25" bestFit="1" customWidth="1"/>
    <col min="13" max="13" width="17.6640625" customWidth="1"/>
    <col min="15" max="15" width="18" style="25" customWidth="1"/>
    <col min="16" max="16" width="20.33203125" customWidth="1"/>
    <col min="17" max="17" width="11.6640625" customWidth="1"/>
    <col min="18" max="18" width="26.109375" bestFit="1" customWidth="1"/>
  </cols>
  <sheetData>
    <row r="1" spans="1:18">
      <c r="A1" s="105" t="s">
        <v>0</v>
      </c>
      <c r="B1" s="105" t="s">
        <v>1</v>
      </c>
      <c r="C1" s="105" t="s">
        <v>2</v>
      </c>
      <c r="D1" s="106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18" t="s">
        <v>8</v>
      </c>
      <c r="J1" s="118" t="s">
        <v>9</v>
      </c>
      <c r="K1" s="105" t="s">
        <v>10</v>
      </c>
      <c r="L1" s="127" t="s">
        <v>11</v>
      </c>
      <c r="M1" s="118" t="s">
        <v>12</v>
      </c>
      <c r="N1" s="105" t="s">
        <v>10</v>
      </c>
      <c r="O1" s="127" t="s">
        <v>11</v>
      </c>
      <c r="P1" s="118" t="s">
        <v>13</v>
      </c>
      <c r="Q1" s="105" t="s">
        <v>10</v>
      </c>
      <c r="R1" s="105" t="s">
        <v>11</v>
      </c>
    </row>
    <row r="2" spans="1:18">
      <c r="A2" s="8" t="s">
        <v>14</v>
      </c>
      <c r="B2" s="8" t="s">
        <v>15</v>
      </c>
      <c r="C2" s="8" t="s">
        <v>16</v>
      </c>
      <c r="D2" s="8">
        <v>303.39</v>
      </c>
      <c r="E2" s="8">
        <v>159</v>
      </c>
      <c r="F2" s="1">
        <v>8</v>
      </c>
      <c r="G2" s="1" t="str">
        <f>C2&amp;E2&amp;F2</f>
        <v>REŞADİYE1598</v>
      </c>
      <c r="H2" s="1"/>
      <c r="I2" s="9" t="e">
        <f>IF(VLOOKUP(G2,'Bereketli Satış'!J:AK,5,0)="","",VLOOKUP(G2,'Bereketli Satış'!J:AK,5,0))</f>
        <v>#N/A</v>
      </c>
      <c r="J2" s="9" t="e">
        <f>IF(VLOOKUP(G2,'Bereketli Satış'!J:AK,28,0)="","",VLOOKUP(G2,'Bereketli Satış'!J:AK,28,0))</f>
        <v>#N/A</v>
      </c>
      <c r="K2" s="9"/>
      <c r="L2" s="128"/>
      <c r="M2" s="100" t="e">
        <f>IF(VLOOKUP(G2,'Bereketli Satış'!J:AK,30,0)="","",VLOOKUP(G2,'Bereketli Satış'!J:AK,30,0))</f>
        <v>#N/A</v>
      </c>
      <c r="N2" s="100"/>
      <c r="O2" s="100"/>
      <c r="P2" s="9" t="e">
        <f>IF(VLOOKUP(G2,'Bereketli Satış'!J:AK,32,0)="","",VLOOKUP(G2,'Bereketli Satış'!J:AK,32,0))</f>
        <v>#N/A</v>
      </c>
      <c r="Q2" s="100"/>
      <c r="R2" s="100"/>
    </row>
    <row r="3" spans="1:18">
      <c r="A3" s="8" t="s">
        <v>14</v>
      </c>
      <c r="B3" s="8" t="s">
        <v>15</v>
      </c>
      <c r="C3" s="8" t="s">
        <v>16</v>
      </c>
      <c r="D3" s="8">
        <v>312.8</v>
      </c>
      <c r="E3" s="8">
        <v>158</v>
      </c>
      <c r="F3" s="1">
        <v>8</v>
      </c>
      <c r="G3" s="1" t="str">
        <f t="shared" ref="G3:G66" si="0">C3&amp;E3&amp;F3</f>
        <v>REŞADİYE1588</v>
      </c>
      <c r="H3" s="1"/>
      <c r="I3" s="9" t="e">
        <f>IF(VLOOKUP(G3,'Bereketli Satış'!J:AK,5,0)="","",VLOOKUP(G3,'Bereketli Satış'!J:AK,5,0))</f>
        <v>#N/A</v>
      </c>
      <c r="J3" s="9" t="e">
        <f>IF(VLOOKUP(G3,'Bereketli Satış'!J:AK,28,0)="","",VLOOKUP(G3,'Bereketli Satış'!J:AK,28,0))</f>
        <v>#N/A</v>
      </c>
      <c r="K3" s="100"/>
      <c r="L3" s="128"/>
      <c r="M3" s="100" t="e">
        <f>IF(VLOOKUP(G3,'Bereketli Satış'!J:AK,30,0)="","",VLOOKUP(G3,'Bereketli Satış'!J:AK,30,0))</f>
        <v>#N/A</v>
      </c>
      <c r="N3" s="100"/>
      <c r="O3" s="100"/>
      <c r="P3" s="9" t="e">
        <f>IF(VLOOKUP(G3,'Bereketli Satış'!J:AK,32,0)="","",VLOOKUP(G3,'Bereketli Satış'!J:AK,32,0))</f>
        <v>#N/A</v>
      </c>
      <c r="Q3" s="100"/>
      <c r="R3" s="100"/>
    </row>
    <row r="4" spans="1:18">
      <c r="A4" s="8" t="s">
        <v>14</v>
      </c>
      <c r="B4" s="8" t="s">
        <v>15</v>
      </c>
      <c r="C4" s="8" t="s">
        <v>16</v>
      </c>
      <c r="D4" s="8">
        <v>387.93</v>
      </c>
      <c r="E4" s="8">
        <v>159</v>
      </c>
      <c r="F4" s="1">
        <v>7</v>
      </c>
      <c r="G4" s="1" t="str">
        <f t="shared" si="0"/>
        <v>REŞADİYE1597</v>
      </c>
      <c r="H4" s="1"/>
      <c r="I4" s="9" t="e">
        <f>IF(VLOOKUP(G4,'Bereketli Satış'!J:AK,5,0)="","",VLOOKUP(G4,'Bereketli Satış'!J:AK,5,0))</f>
        <v>#N/A</v>
      </c>
      <c r="J4" s="9" t="e">
        <f>IF(VLOOKUP(G4,'Bereketli Satış'!J:AK,28,0)="","",VLOOKUP(G4,'Bereketli Satış'!J:AK,28,0))</f>
        <v>#N/A</v>
      </c>
      <c r="K4" s="100"/>
      <c r="L4" s="128"/>
      <c r="M4" s="100" t="e">
        <f>IF(VLOOKUP(G4,'Bereketli Satış'!J:AK,30,0)="","",VLOOKUP(G4,'Bereketli Satış'!J:AK,30,0))</f>
        <v>#N/A</v>
      </c>
      <c r="N4" s="9"/>
      <c r="O4" s="9"/>
      <c r="P4" s="9" t="e">
        <f>IF(VLOOKUP(G4,'Bereketli Satış'!J:AK,32,0)="","",VLOOKUP(G4,'Bereketli Satış'!J:AK,32,0))</f>
        <v>#N/A</v>
      </c>
      <c r="Q4" s="9"/>
      <c r="R4" s="9"/>
    </row>
    <row r="5" spans="1:18">
      <c r="A5" s="8" t="s">
        <v>14</v>
      </c>
      <c r="B5" s="8" t="s">
        <v>15</v>
      </c>
      <c r="C5" s="8" t="s">
        <v>16</v>
      </c>
      <c r="D5" s="8">
        <v>298</v>
      </c>
      <c r="E5" s="8">
        <v>163</v>
      </c>
      <c r="F5" s="1">
        <v>15</v>
      </c>
      <c r="G5" s="1" t="str">
        <f t="shared" si="0"/>
        <v>REŞADİYE16315</v>
      </c>
      <c r="H5" s="1"/>
      <c r="I5" s="9" t="e">
        <f>IF(VLOOKUP(G5,'Bereketli Satış'!J:AK,5,0)="","",VLOOKUP(G5,'Bereketli Satış'!J:AK,5,0))</f>
        <v>#N/A</v>
      </c>
      <c r="J5" s="9" t="e">
        <f>IF(VLOOKUP(G5,'Bereketli Satış'!J:AK,28,0)="","",VLOOKUP(G5,'Bereketli Satış'!J:AK,28,0))</f>
        <v>#N/A</v>
      </c>
      <c r="K5" s="9"/>
      <c r="L5" s="128"/>
      <c r="M5" s="100" t="e">
        <f>IF(VLOOKUP(G5,'Bereketli Satış'!J:AK,30,0)="","",VLOOKUP(G5,'Bereketli Satış'!J:AK,30,0))</f>
        <v>#N/A</v>
      </c>
      <c r="N5" s="100"/>
      <c r="O5" s="100"/>
      <c r="P5" s="9" t="e">
        <f>IF(VLOOKUP(G5,'Bereketli Satış'!J:AK,32,0)="","",VLOOKUP(G5,'Bereketli Satış'!J:AK,32,0))</f>
        <v>#N/A</v>
      </c>
      <c r="Q5" s="100"/>
      <c r="R5" s="100"/>
    </row>
    <row r="6" spans="1:18">
      <c r="A6" s="8" t="s">
        <v>14</v>
      </c>
      <c r="B6" s="8" t="s">
        <v>15</v>
      </c>
      <c r="C6" s="8" t="s">
        <v>16</v>
      </c>
      <c r="D6" s="8">
        <v>406.75</v>
      </c>
      <c r="E6" s="8">
        <v>159</v>
      </c>
      <c r="F6" s="1">
        <v>6</v>
      </c>
      <c r="G6" s="1" t="str">
        <f t="shared" si="0"/>
        <v>REŞADİYE1596</v>
      </c>
      <c r="H6" s="1"/>
      <c r="I6" s="9" t="e">
        <f>IF(VLOOKUP(G6,'Bereketli Satış'!J:AK,5,0)="","",VLOOKUP(G6,'Bereketli Satış'!J:AK,5,0))</f>
        <v>#N/A</v>
      </c>
      <c r="J6" s="9" t="e">
        <f>IF(VLOOKUP(G6,'Bereketli Satış'!J:AK,28,0)="","",VLOOKUP(G6,'Bereketli Satış'!J:AK,28,0))</f>
        <v>#N/A</v>
      </c>
      <c r="K6" s="100"/>
      <c r="L6" s="128"/>
      <c r="M6" s="100" t="e">
        <f>IF(VLOOKUP(G6,'Bereketli Satış'!J:AK,30,0)="","",VLOOKUP(G6,'Bereketli Satış'!J:AK,30,0))</f>
        <v>#N/A</v>
      </c>
      <c r="N6" s="100"/>
      <c r="O6" s="100"/>
      <c r="P6" s="9" t="e">
        <f>IF(VLOOKUP(G6,'Bereketli Satış'!J:AK,32,0)="","",VLOOKUP(G6,'Bereketli Satış'!J:AK,32,0))</f>
        <v>#N/A</v>
      </c>
      <c r="Q6" s="100"/>
      <c r="R6" s="100"/>
    </row>
    <row r="7" spans="1:18">
      <c r="A7" s="8" t="s">
        <v>14</v>
      </c>
      <c r="B7" s="8" t="s">
        <v>15</v>
      </c>
      <c r="C7" s="8" t="s">
        <v>16</v>
      </c>
      <c r="D7" s="8">
        <v>283.58999999999997</v>
      </c>
      <c r="E7" s="8">
        <v>169</v>
      </c>
      <c r="F7" s="1">
        <v>7</v>
      </c>
      <c r="G7" s="1" t="str">
        <f t="shared" si="0"/>
        <v>REŞADİYE1697</v>
      </c>
      <c r="H7" s="1"/>
      <c r="I7" s="9" t="e">
        <f>IF(VLOOKUP(G7,'Bereketli Satış'!J:AK,5,0)="","",VLOOKUP(G7,'Bereketli Satış'!J:AK,5,0))</f>
        <v>#N/A</v>
      </c>
      <c r="J7" s="9" t="e">
        <f>IF(VLOOKUP(G7,'Bereketli Satış'!J:AK,28,0)="","",VLOOKUP(G7,'Bereketli Satış'!J:AK,28,0))</f>
        <v>#N/A</v>
      </c>
      <c r="K7" s="100"/>
      <c r="L7" s="128"/>
      <c r="M7" s="100" t="e">
        <f>IF(VLOOKUP(G7,'Bereketli Satış'!J:AK,30,0)="","",VLOOKUP(G7,'Bereketli Satış'!J:AK,30,0))</f>
        <v>#N/A</v>
      </c>
      <c r="N7" s="100"/>
      <c r="O7" s="100"/>
      <c r="P7" s="9" t="e">
        <f>IF(VLOOKUP(G7,'Bereketli Satış'!J:AK,32,0)="","",VLOOKUP(G7,'Bereketli Satış'!J:AK,32,0))</f>
        <v>#N/A</v>
      </c>
      <c r="Q7" s="100"/>
      <c r="R7" s="100"/>
    </row>
    <row r="8" spans="1:18">
      <c r="A8" s="8" t="s">
        <v>14</v>
      </c>
      <c r="B8" s="8" t="s">
        <v>15</v>
      </c>
      <c r="C8" s="8" t="s">
        <v>16</v>
      </c>
      <c r="D8" s="8">
        <v>283.58999999999997</v>
      </c>
      <c r="E8" s="8">
        <v>169</v>
      </c>
      <c r="F8" s="1">
        <v>8</v>
      </c>
      <c r="G8" s="1" t="str">
        <f t="shared" si="0"/>
        <v>REŞADİYE1698</v>
      </c>
      <c r="H8" s="1"/>
      <c r="I8" s="9" t="e">
        <f>IF(VLOOKUP(G8,'Bereketli Satış'!J:AK,5,0)="","",VLOOKUP(G8,'Bereketli Satış'!J:AK,5,0))</f>
        <v>#N/A</v>
      </c>
      <c r="J8" s="9" t="e">
        <f>IF(VLOOKUP(G8,'Bereketli Satış'!J:AK,28,0)="","",VLOOKUP(G8,'Bereketli Satış'!J:AK,28,0))</f>
        <v>#N/A</v>
      </c>
      <c r="K8" s="100"/>
      <c r="L8" s="128"/>
      <c r="M8" s="100" t="e">
        <f>IF(VLOOKUP(G8,'Bereketli Satış'!J:AK,30,0)="","",VLOOKUP(G8,'Bereketli Satış'!J:AK,30,0))</f>
        <v>#N/A</v>
      </c>
      <c r="N8" s="9"/>
      <c r="O8" s="9"/>
      <c r="P8" s="9" t="e">
        <f>IF(VLOOKUP(G8,'Bereketli Satış'!J:AK,32,0)="","",VLOOKUP(G8,'Bereketli Satış'!J:AK,32,0))</f>
        <v>#N/A</v>
      </c>
      <c r="Q8" s="9"/>
      <c r="R8" s="9"/>
    </row>
    <row r="9" spans="1:18">
      <c r="A9" s="8" t="s">
        <v>14</v>
      </c>
      <c r="B9" s="8" t="s">
        <v>15</v>
      </c>
      <c r="C9" s="8" t="s">
        <v>16</v>
      </c>
      <c r="D9" s="8">
        <v>510.06</v>
      </c>
      <c r="E9" s="8">
        <v>178</v>
      </c>
      <c r="F9" s="1">
        <v>11</v>
      </c>
      <c r="G9" s="1" t="str">
        <f t="shared" si="0"/>
        <v>REŞADİYE17811</v>
      </c>
      <c r="H9" s="1"/>
      <c r="I9" s="9" t="e">
        <f>IF(VLOOKUP(G9,'Bereketli Satış'!J:AK,5,0)="","",VLOOKUP(G9,'Bereketli Satış'!J:AK,5,0))</f>
        <v>#N/A</v>
      </c>
      <c r="J9" s="9" t="e">
        <f>IF(VLOOKUP(G9,'Bereketli Satış'!J:AK,28,0)="","",VLOOKUP(G9,'Bereketli Satış'!J:AK,28,0))</f>
        <v>#N/A</v>
      </c>
      <c r="K9" s="9"/>
      <c r="L9" s="128"/>
      <c r="M9" s="100" t="e">
        <f>IF(VLOOKUP(G9,'Bereketli Satış'!J:AK,30,0)="","",VLOOKUP(G9,'Bereketli Satış'!J:AK,30,0))</f>
        <v>#N/A</v>
      </c>
      <c r="N9" s="100"/>
      <c r="O9" s="100"/>
      <c r="P9" s="9" t="e">
        <f>IF(VLOOKUP(G9,'Bereketli Satış'!J:AK,32,0)="","",VLOOKUP(G9,'Bereketli Satış'!J:AK,32,0))</f>
        <v>#N/A</v>
      </c>
      <c r="Q9" s="100"/>
      <c r="R9" s="100"/>
    </row>
    <row r="10" spans="1:18">
      <c r="A10" s="8" t="s">
        <v>14</v>
      </c>
      <c r="B10" s="8" t="s">
        <v>15</v>
      </c>
      <c r="C10" s="8" t="s">
        <v>16</v>
      </c>
      <c r="D10" s="8">
        <v>349.22</v>
      </c>
      <c r="E10" s="8">
        <v>158</v>
      </c>
      <c r="F10" s="1">
        <v>18</v>
      </c>
      <c r="G10" s="1" t="str">
        <f t="shared" si="0"/>
        <v>REŞADİYE15818</v>
      </c>
      <c r="H10" s="1"/>
      <c r="I10" s="9" t="e">
        <f>IF(VLOOKUP(G10,'Bereketli Satış'!J:AK,5,0)="","",VLOOKUP(G10,'Bereketli Satış'!J:AK,5,0))</f>
        <v>#N/A</v>
      </c>
      <c r="J10" s="9" t="e">
        <f>IF(VLOOKUP(G10,'Bereketli Satış'!J:AK,28,0)="","",VLOOKUP(G10,'Bereketli Satış'!J:AK,28,0))</f>
        <v>#N/A</v>
      </c>
      <c r="K10" s="100"/>
      <c r="L10" s="128"/>
      <c r="M10" s="100" t="e">
        <f>IF(VLOOKUP(G10,'Bereketli Satış'!J:AK,30,0)="","",VLOOKUP(G10,'Bereketli Satış'!J:AK,30,0))</f>
        <v>#N/A</v>
      </c>
      <c r="N10" s="100"/>
      <c r="O10" s="100"/>
      <c r="P10" s="9" t="e">
        <f>IF(VLOOKUP(G10,'Bereketli Satış'!J:AK,32,0)="","",VLOOKUP(G10,'Bereketli Satış'!J:AK,32,0))</f>
        <v>#N/A</v>
      </c>
      <c r="Q10" s="100"/>
      <c r="R10" s="100"/>
    </row>
    <row r="11" spans="1:18">
      <c r="A11" s="8" t="s">
        <v>14</v>
      </c>
      <c r="B11" s="8" t="s">
        <v>15</v>
      </c>
      <c r="C11" s="8" t="s">
        <v>16</v>
      </c>
      <c r="D11" s="8">
        <v>740.83</v>
      </c>
      <c r="E11" s="18">
        <v>162</v>
      </c>
      <c r="F11" s="8">
        <v>11</v>
      </c>
      <c r="G11" s="1" t="str">
        <f t="shared" si="0"/>
        <v>REŞADİYE16211</v>
      </c>
      <c r="H11" s="8"/>
      <c r="I11" s="9" t="e">
        <f>IF(VLOOKUP(G11,'Bereketli Satış'!J:AK,5,0)="","",VLOOKUP(G11,'Bereketli Satış'!J:AK,5,0))</f>
        <v>#N/A</v>
      </c>
      <c r="J11" s="9" t="e">
        <f>IF(VLOOKUP(G11,'Bereketli Satış'!J:AK,28,0)="","",VLOOKUP(G11,'Bereketli Satış'!J:AK,28,0))</f>
        <v>#N/A</v>
      </c>
      <c r="K11" s="100"/>
      <c r="L11" s="128"/>
      <c r="M11" s="100" t="e">
        <f>IF(VLOOKUP(G11,'Bereketli Satış'!J:AK,30,0)="","",VLOOKUP(G11,'Bereketli Satış'!J:AK,30,0))</f>
        <v>#N/A</v>
      </c>
      <c r="N11" s="100"/>
      <c r="O11" s="100"/>
      <c r="P11" s="9" t="e">
        <f>IF(VLOOKUP(G11,'Bereketli Satış'!J:AK,32,0)="","",VLOOKUP(G11,'Bereketli Satış'!J:AK,32,0))</f>
        <v>#N/A</v>
      </c>
      <c r="Q11" s="100"/>
      <c r="R11" s="100"/>
    </row>
    <row r="12" spans="1:18">
      <c r="A12" s="8" t="s">
        <v>14</v>
      </c>
      <c r="B12" s="8" t="s">
        <v>15</v>
      </c>
      <c r="C12" s="8" t="s">
        <v>16</v>
      </c>
      <c r="D12" s="8">
        <v>537.67999999999995</v>
      </c>
      <c r="E12" s="18">
        <v>162</v>
      </c>
      <c r="F12" s="8">
        <v>2</v>
      </c>
      <c r="G12" s="1" t="str">
        <f t="shared" si="0"/>
        <v>REŞADİYE1622</v>
      </c>
      <c r="H12" s="8"/>
      <c r="I12" s="9" t="e">
        <f>IF(VLOOKUP(G12,'Bereketli Satış'!J:AK,5,0)="","",VLOOKUP(G12,'Bereketli Satış'!J:AK,5,0))</f>
        <v>#N/A</v>
      </c>
      <c r="J12" s="9" t="e">
        <f>IF(VLOOKUP(G12,'Bereketli Satış'!J:AK,28,0)="","",VLOOKUP(G12,'Bereketli Satış'!J:AK,28,0))</f>
        <v>#N/A</v>
      </c>
      <c r="K12" s="100"/>
      <c r="L12" s="128"/>
      <c r="M12" s="100" t="e">
        <f>IF(VLOOKUP(G12,'Bereketli Satış'!J:AK,30,0)="","",VLOOKUP(G12,'Bereketli Satış'!J:AK,30,0))</f>
        <v>#N/A</v>
      </c>
      <c r="N12" s="100"/>
      <c r="O12" s="100"/>
      <c r="P12" s="9" t="e">
        <f>IF(VLOOKUP(G12,'Bereketli Satış'!J:AK,32,0)="","",VLOOKUP(G12,'Bereketli Satış'!J:AK,32,0))</f>
        <v>#N/A</v>
      </c>
      <c r="Q12" s="100"/>
      <c r="R12" s="100"/>
    </row>
    <row r="13" spans="1:18">
      <c r="A13" s="8" t="s">
        <v>14</v>
      </c>
      <c r="B13" s="8" t="s">
        <v>15</v>
      </c>
      <c r="C13" s="8" t="s">
        <v>16</v>
      </c>
      <c r="D13" s="8">
        <v>740.38</v>
      </c>
      <c r="E13" s="18">
        <v>163</v>
      </c>
      <c r="F13" s="8">
        <v>3</v>
      </c>
      <c r="G13" s="1" t="str">
        <f t="shared" si="0"/>
        <v>REŞADİYE1633</v>
      </c>
      <c r="H13" s="8"/>
      <c r="I13" s="9" t="e">
        <f>IF(VLOOKUP(G13,'Bereketli Satış'!J:AK,5,0)="","",VLOOKUP(G13,'Bereketli Satış'!J:AK,5,0))</f>
        <v>#N/A</v>
      </c>
      <c r="J13" s="9" t="e">
        <f>IF(VLOOKUP(G13,'Bereketli Satış'!J:AK,28,0)="","",VLOOKUP(G13,'Bereketli Satış'!J:AK,28,0))</f>
        <v>#N/A</v>
      </c>
      <c r="K13" s="100"/>
      <c r="L13" s="128"/>
      <c r="M13" s="100" t="e">
        <f>IF(VLOOKUP(G13,'Bereketli Satış'!J:AK,30,0)="","",VLOOKUP(G13,'Bereketli Satış'!J:AK,30,0))</f>
        <v>#N/A</v>
      </c>
      <c r="N13" s="9"/>
      <c r="O13" s="9"/>
      <c r="P13" s="9" t="e">
        <f>IF(VLOOKUP(G13,'Bereketli Satış'!J:AK,32,0)="","",VLOOKUP(G13,'Bereketli Satış'!J:AK,32,0))</f>
        <v>#N/A</v>
      </c>
      <c r="Q13" s="9"/>
      <c r="R13" s="9"/>
    </row>
    <row r="14" spans="1:18">
      <c r="A14" s="8" t="s">
        <v>14</v>
      </c>
      <c r="B14" s="8" t="s">
        <v>15</v>
      </c>
      <c r="C14" s="8" t="s">
        <v>16</v>
      </c>
      <c r="D14" s="8">
        <v>292.36</v>
      </c>
      <c r="E14" s="8">
        <v>169</v>
      </c>
      <c r="F14" s="1">
        <v>10</v>
      </c>
      <c r="G14" s="1" t="str">
        <f t="shared" si="0"/>
        <v>REŞADİYE16910</v>
      </c>
      <c r="H14" s="1"/>
      <c r="I14" s="9" t="e">
        <f>IF(VLOOKUP(G14,'Bereketli Satış'!J:AK,5,0)="","",VLOOKUP(G14,'Bereketli Satış'!J:AK,5,0))</f>
        <v>#N/A</v>
      </c>
      <c r="J14" s="9" t="e">
        <f>IF(VLOOKUP(G14,'Bereketli Satış'!J:AK,28,0)="","",VLOOKUP(G14,'Bereketli Satış'!J:AK,28,0))</f>
        <v>#N/A</v>
      </c>
      <c r="K14" s="9"/>
      <c r="L14" s="128"/>
      <c r="M14" s="100" t="e">
        <f>IF(VLOOKUP(G14,'Bereketli Satış'!J:AK,30,0)="","",VLOOKUP(G14,'Bereketli Satış'!J:AK,30,0))</f>
        <v>#N/A</v>
      </c>
      <c r="N14" s="100"/>
      <c r="O14" s="100"/>
      <c r="P14" s="9" t="e">
        <f>IF(VLOOKUP(G14,'Bereketli Satış'!J:AK,32,0)="","",VLOOKUP(G14,'Bereketli Satış'!J:AK,32,0))</f>
        <v>#N/A</v>
      </c>
      <c r="Q14" s="100"/>
      <c r="R14" s="100"/>
    </row>
    <row r="15" spans="1:18">
      <c r="A15" s="101" t="s">
        <v>14</v>
      </c>
      <c r="B15" s="8" t="s">
        <v>15</v>
      </c>
      <c r="C15" s="8" t="s">
        <v>16</v>
      </c>
      <c r="D15" s="8">
        <v>287.64</v>
      </c>
      <c r="E15" s="8">
        <v>160</v>
      </c>
      <c r="F15" s="1">
        <v>6</v>
      </c>
      <c r="G15" s="1" t="str">
        <f t="shared" si="0"/>
        <v>REŞADİYE1606</v>
      </c>
      <c r="H15" s="1"/>
      <c r="I15" s="9" t="e">
        <f>IF(VLOOKUP(G15,'Bereketli Satış'!J:AK,5,0)="","",VLOOKUP(G15,'Bereketli Satış'!J:AK,5,0))</f>
        <v>#N/A</v>
      </c>
      <c r="J15" s="9" t="e">
        <f>IF(VLOOKUP(G15,'Bereketli Satış'!J:AK,28,0)="","",VLOOKUP(G15,'Bereketli Satış'!J:AK,28,0))</f>
        <v>#N/A</v>
      </c>
      <c r="K15" s="100"/>
      <c r="L15" s="128"/>
      <c r="M15" s="100" t="e">
        <f>IF(VLOOKUP(G15,'Bereketli Satış'!J:AK,30,0)="","",VLOOKUP(G15,'Bereketli Satış'!J:AK,30,0))</f>
        <v>#N/A</v>
      </c>
      <c r="N15" s="100"/>
      <c r="O15" s="100"/>
      <c r="P15" s="9" t="e">
        <f>IF(VLOOKUP(G15,'Bereketli Satış'!J:AK,32,0)="","",VLOOKUP(G15,'Bereketli Satış'!J:AK,32,0))</f>
        <v>#N/A</v>
      </c>
      <c r="Q15" s="100"/>
      <c r="R15" s="100"/>
    </row>
    <row r="16" spans="1:18">
      <c r="A16" s="8" t="s">
        <v>14</v>
      </c>
      <c r="B16" s="8" t="s">
        <v>15</v>
      </c>
      <c r="C16" s="8" t="s">
        <v>16</v>
      </c>
      <c r="D16" s="8">
        <v>754.4</v>
      </c>
      <c r="E16" s="18">
        <v>181</v>
      </c>
      <c r="F16" s="8">
        <v>3</v>
      </c>
      <c r="G16" s="1" t="str">
        <f t="shared" si="0"/>
        <v>REŞADİYE1813</v>
      </c>
      <c r="H16" s="8"/>
      <c r="I16" s="9" t="e">
        <f>IF(VLOOKUP(G16,'Bereketli Satış'!J:AK,5,0)="","",VLOOKUP(G16,'Bereketli Satış'!J:AK,5,0))</f>
        <v>#N/A</v>
      </c>
      <c r="J16" s="9" t="e">
        <f>IF(VLOOKUP(G16,'Bereketli Satış'!J:AK,28,0)="","",VLOOKUP(G16,'Bereketli Satış'!J:AK,28,0))</f>
        <v>#N/A</v>
      </c>
      <c r="K16" s="100"/>
      <c r="L16" s="128"/>
      <c r="M16" s="100" t="e">
        <f>IF(VLOOKUP(G16,'Bereketli Satış'!J:AK,30,0)="","",VLOOKUP(G16,'Bereketli Satış'!J:AK,30,0))</f>
        <v>#N/A</v>
      </c>
      <c r="N16" s="100"/>
      <c r="O16" s="100"/>
      <c r="P16" s="9" t="e">
        <f>IF(VLOOKUP(G16,'Bereketli Satış'!J:AK,32,0)="","",VLOOKUP(G16,'Bereketli Satış'!J:AK,32,0))</f>
        <v>#N/A</v>
      </c>
      <c r="Q16" s="100"/>
      <c r="R16" s="100"/>
    </row>
    <row r="17" spans="1:18">
      <c r="A17" s="8" t="s">
        <v>14</v>
      </c>
      <c r="B17" s="8" t="s">
        <v>15</v>
      </c>
      <c r="C17" s="8" t="s">
        <v>16</v>
      </c>
      <c r="D17" s="8">
        <v>377.15</v>
      </c>
      <c r="E17" s="8">
        <v>166</v>
      </c>
      <c r="F17" s="1">
        <v>14</v>
      </c>
      <c r="G17" s="1" t="str">
        <f t="shared" si="0"/>
        <v>REŞADİYE16614</v>
      </c>
      <c r="H17" s="1"/>
      <c r="I17" s="9" t="e">
        <f>IF(VLOOKUP(G17,'Bereketli Satış'!J:AK,5,0)="","",VLOOKUP(G17,'Bereketli Satış'!J:AK,5,0))</f>
        <v>#N/A</v>
      </c>
      <c r="J17" s="9" t="e">
        <f>IF(VLOOKUP(G17,'Bereketli Satış'!J:AK,28,0)="","",VLOOKUP(G17,'Bereketli Satış'!J:AK,28,0))</f>
        <v>#N/A</v>
      </c>
      <c r="K17" s="100"/>
      <c r="L17" s="128"/>
      <c r="M17" s="100" t="e">
        <f>IF(VLOOKUP(G17,'Bereketli Satış'!J:AK,30,0)="","",VLOOKUP(G17,'Bereketli Satış'!J:AK,30,0))</f>
        <v>#N/A</v>
      </c>
      <c r="N17" s="100"/>
      <c r="O17" s="100"/>
      <c r="P17" s="9" t="e">
        <f>IF(VLOOKUP(G17,'Bereketli Satış'!J:AK,32,0)="","",VLOOKUP(G17,'Bereketli Satış'!J:AK,32,0))</f>
        <v>#N/A</v>
      </c>
      <c r="Q17" s="100"/>
      <c r="R17" s="100"/>
    </row>
    <row r="18" spans="1:18">
      <c r="A18" s="8" t="s">
        <v>14</v>
      </c>
      <c r="B18" s="8" t="s">
        <v>15</v>
      </c>
      <c r="C18" s="8" t="s">
        <v>16</v>
      </c>
      <c r="D18" s="8">
        <v>372.41</v>
      </c>
      <c r="E18" s="8">
        <v>167</v>
      </c>
      <c r="F18" s="1">
        <v>11</v>
      </c>
      <c r="G18" s="1" t="str">
        <f t="shared" si="0"/>
        <v>REŞADİYE16711</v>
      </c>
      <c r="H18" s="1"/>
      <c r="I18" s="9" t="e">
        <f>IF(VLOOKUP(G18,'Bereketli Satış'!J:AK,5,0)="","",VLOOKUP(G18,'Bereketli Satış'!J:AK,5,0))</f>
        <v>#N/A</v>
      </c>
      <c r="J18" s="9" t="e">
        <f>IF(VLOOKUP(G18,'Bereketli Satış'!J:AK,28,0)="","",VLOOKUP(G18,'Bereketli Satış'!J:AK,28,0))</f>
        <v>#N/A</v>
      </c>
      <c r="K18" s="100"/>
      <c r="L18" s="128"/>
      <c r="M18" s="100" t="e">
        <f>IF(VLOOKUP(G18,'Bereketli Satış'!J:AK,30,0)="","",VLOOKUP(G18,'Bereketli Satış'!J:AK,30,0))</f>
        <v>#N/A</v>
      </c>
      <c r="N18" s="9"/>
      <c r="O18" s="128"/>
      <c r="P18" s="9" t="e">
        <f>IF(VLOOKUP(G18,'Bereketli Satış'!J:AK,32,0)="","",VLOOKUP(G18,'Bereketli Satış'!J:AK,32,0))</f>
        <v>#N/A</v>
      </c>
      <c r="Q18" s="9"/>
      <c r="R18" s="9"/>
    </row>
    <row r="19" spans="1:18">
      <c r="A19" s="8" t="s">
        <v>14</v>
      </c>
      <c r="B19" s="8" t="s">
        <v>15</v>
      </c>
      <c r="C19" s="8" t="s">
        <v>16</v>
      </c>
      <c r="D19" s="8">
        <v>377</v>
      </c>
      <c r="E19" s="8">
        <v>171</v>
      </c>
      <c r="F19" s="1">
        <v>14</v>
      </c>
      <c r="G19" s="1" t="str">
        <f t="shared" si="0"/>
        <v>REŞADİYE17114</v>
      </c>
      <c r="H19" s="1"/>
      <c r="I19" s="9" t="e">
        <f>IF(VLOOKUP(G19,'Bereketli Satış'!J:AK,5,0)="","",VLOOKUP(G19,'Bereketli Satış'!J:AK,5,0))</f>
        <v>#N/A</v>
      </c>
      <c r="J19" s="9" t="e">
        <f>IF(VLOOKUP(G19,'Bereketli Satış'!J:AK,28,0)="","",VLOOKUP(G19,'Bereketli Satış'!J:AK,28,0))</f>
        <v>#N/A</v>
      </c>
      <c r="K19" s="9"/>
      <c r="L19" s="128"/>
      <c r="M19" s="100" t="e">
        <f>IF(VLOOKUP(G19,'Bereketli Satış'!J:AK,30,0)="","",VLOOKUP(G19,'Bereketli Satış'!J:AK,30,0))</f>
        <v>#N/A</v>
      </c>
      <c r="N19" s="100"/>
      <c r="O19" s="100"/>
      <c r="P19" s="9" t="e">
        <f>IF(VLOOKUP(G19,'Bereketli Satış'!J:AK,32,0)="","",VLOOKUP(G19,'Bereketli Satış'!J:AK,32,0))</f>
        <v>#N/A</v>
      </c>
      <c r="Q19" s="100"/>
      <c r="R19" s="100"/>
    </row>
    <row r="20" spans="1:18">
      <c r="A20" s="8" t="s">
        <v>14</v>
      </c>
      <c r="B20" s="8" t="s">
        <v>15</v>
      </c>
      <c r="C20" s="8" t="s">
        <v>16</v>
      </c>
      <c r="D20" s="8">
        <v>735.14</v>
      </c>
      <c r="E20" s="18">
        <v>165</v>
      </c>
      <c r="F20" s="8">
        <v>7</v>
      </c>
      <c r="G20" s="1" t="str">
        <f t="shared" si="0"/>
        <v>REŞADİYE1657</v>
      </c>
      <c r="H20" s="8"/>
      <c r="I20" s="9" t="e">
        <f>IF(VLOOKUP(G20,'Bereketli Satış'!J:AK,5,0)="","",VLOOKUP(G20,'Bereketli Satış'!J:AK,5,0))</f>
        <v>#N/A</v>
      </c>
      <c r="J20" s="9" t="e">
        <f>IF(VLOOKUP(G20,'Bereketli Satış'!J:AK,28,0)="","",VLOOKUP(G20,'Bereketli Satış'!J:AK,28,0))</f>
        <v>#N/A</v>
      </c>
      <c r="K20" s="100"/>
      <c r="L20" s="128"/>
      <c r="M20" s="100" t="e">
        <f>IF(VLOOKUP(G20,'Bereketli Satış'!J:AK,30,0)="","",VLOOKUP(G20,'Bereketli Satış'!J:AK,30,0))</f>
        <v>#N/A</v>
      </c>
      <c r="N20" s="100"/>
      <c r="O20" s="100"/>
      <c r="P20" s="9" t="e">
        <f>IF(VLOOKUP(G20,'Bereketli Satış'!J:AK,32,0)="","",VLOOKUP(G20,'Bereketli Satış'!J:AK,32,0))</f>
        <v>#N/A</v>
      </c>
      <c r="Q20" s="100"/>
      <c r="R20" s="100"/>
    </row>
    <row r="21" spans="1:18">
      <c r="A21" s="8" t="s">
        <v>14</v>
      </c>
      <c r="B21" s="8" t="s">
        <v>15</v>
      </c>
      <c r="C21" s="8" t="s">
        <v>16</v>
      </c>
      <c r="D21" s="8">
        <v>735.08</v>
      </c>
      <c r="E21" s="18">
        <v>163</v>
      </c>
      <c r="F21" s="8">
        <v>10</v>
      </c>
      <c r="G21" s="1" t="str">
        <f t="shared" si="0"/>
        <v>REŞADİYE16310</v>
      </c>
      <c r="H21" s="8"/>
      <c r="I21" s="9" t="e">
        <f>IF(VLOOKUP(G21,'Bereketli Satış'!J:AK,5,0)="","",VLOOKUP(G21,'Bereketli Satış'!J:AK,5,0))</f>
        <v>#N/A</v>
      </c>
      <c r="J21" s="9" t="e">
        <f>IF(VLOOKUP(G21,'Bereketli Satış'!J:AK,28,0)="","",VLOOKUP(G21,'Bereketli Satış'!J:AK,28,0))</f>
        <v>#N/A</v>
      </c>
      <c r="K21" s="100"/>
      <c r="L21" s="128"/>
      <c r="M21" s="100" t="e">
        <f>IF(VLOOKUP(G21,'Bereketli Satış'!J:AK,30,0)="","",VLOOKUP(G21,'Bereketli Satış'!J:AK,30,0))</f>
        <v>#N/A</v>
      </c>
      <c r="N21" s="100"/>
      <c r="O21" s="100"/>
      <c r="P21" s="9" t="e">
        <f>IF(VLOOKUP(G21,'Bereketli Satış'!J:AK,32,0)="","",VLOOKUP(G21,'Bereketli Satış'!J:AK,32,0))</f>
        <v>#N/A</v>
      </c>
      <c r="Q21" s="100"/>
      <c r="R21" s="100"/>
    </row>
    <row r="22" spans="1:18">
      <c r="A22" s="8" t="s">
        <v>14</v>
      </c>
      <c r="B22" s="8" t="s">
        <v>15</v>
      </c>
      <c r="C22" s="8" t="s">
        <v>16</v>
      </c>
      <c r="D22" s="8">
        <v>749.19</v>
      </c>
      <c r="E22" s="18">
        <v>180</v>
      </c>
      <c r="F22" s="8">
        <v>2</v>
      </c>
      <c r="G22" s="1" t="str">
        <f t="shared" si="0"/>
        <v>REŞADİYE1802</v>
      </c>
      <c r="H22" s="8"/>
      <c r="I22" s="9" t="e">
        <f>IF(VLOOKUP(G22,'Bereketli Satış'!J:AK,5,0)="","",VLOOKUP(G22,'Bereketli Satış'!J:AK,5,0))</f>
        <v>#N/A</v>
      </c>
      <c r="J22" s="9" t="e">
        <f>IF(VLOOKUP(G22,'Bereketli Satış'!J:AK,28,0)="","",VLOOKUP(G22,'Bereketli Satış'!J:AK,28,0))</f>
        <v>#N/A</v>
      </c>
      <c r="K22" s="100"/>
      <c r="L22" s="128"/>
      <c r="M22" s="100" t="e">
        <f>IF(VLOOKUP(G22,'Bereketli Satış'!J:AK,30,0)="","",VLOOKUP(G22,'Bereketli Satış'!J:AK,30,0))</f>
        <v>#N/A</v>
      </c>
      <c r="N22" s="100"/>
      <c r="O22" s="100"/>
      <c r="P22" s="9" t="e">
        <f>IF(VLOOKUP(G22,'Bereketli Satış'!J:AK,32,0)="","",VLOOKUP(G22,'Bereketli Satış'!J:AK,32,0))</f>
        <v>#N/A</v>
      </c>
      <c r="Q22" s="100"/>
      <c r="R22" s="100"/>
    </row>
    <row r="23" spans="1:18">
      <c r="A23" s="8" t="s">
        <v>14</v>
      </c>
      <c r="B23" s="8" t="s">
        <v>15</v>
      </c>
      <c r="C23" s="8" t="s">
        <v>16</v>
      </c>
      <c r="D23" s="8">
        <v>800.67</v>
      </c>
      <c r="E23" s="18">
        <v>159</v>
      </c>
      <c r="F23" s="8">
        <v>2</v>
      </c>
      <c r="G23" s="1" t="str">
        <f t="shared" si="0"/>
        <v>REŞADİYE1592</v>
      </c>
      <c r="H23" s="8"/>
      <c r="I23" s="9" t="e">
        <f>IF(VLOOKUP(G23,'Bereketli Satış'!J:AK,5,0)="","",VLOOKUP(G23,'Bereketli Satış'!J:AK,5,0))</f>
        <v>#N/A</v>
      </c>
      <c r="J23" s="9" t="e">
        <f>IF(VLOOKUP(G23,'Bereketli Satış'!J:AK,28,0)="","",VLOOKUP(G23,'Bereketli Satış'!J:AK,28,0))</f>
        <v>#N/A</v>
      </c>
      <c r="K23" s="100"/>
      <c r="L23" s="128"/>
      <c r="M23" s="100" t="e">
        <f>IF(VLOOKUP(G23,'Bereketli Satış'!J:AK,30,0)="","",VLOOKUP(G23,'Bereketli Satış'!J:AK,30,0))</f>
        <v>#N/A</v>
      </c>
      <c r="N23" s="100"/>
      <c r="O23" s="100"/>
      <c r="P23" s="9" t="e">
        <f>IF(VLOOKUP(G23,'Bereketli Satış'!J:AK,32,0)="","",VLOOKUP(G23,'Bereketli Satış'!J:AK,32,0))</f>
        <v>#N/A</v>
      </c>
      <c r="Q23" s="100"/>
      <c r="R23" s="100"/>
    </row>
    <row r="24" spans="1:18">
      <c r="A24" s="8" t="s">
        <v>14</v>
      </c>
      <c r="B24" s="8" t="s">
        <v>15</v>
      </c>
      <c r="C24" s="8" t="s">
        <v>16</v>
      </c>
      <c r="D24" s="8">
        <v>734.68</v>
      </c>
      <c r="E24" s="18">
        <v>163</v>
      </c>
      <c r="F24" s="8">
        <v>8</v>
      </c>
      <c r="G24" s="1" t="str">
        <f t="shared" si="0"/>
        <v>REŞADİYE1638</v>
      </c>
      <c r="H24" s="8"/>
      <c r="I24" s="9" t="e">
        <f>IF(VLOOKUP(G24,'Bereketli Satış'!J:AK,5,0)="","",VLOOKUP(G24,'Bereketli Satış'!J:AK,5,0))</f>
        <v>#N/A</v>
      </c>
      <c r="J24" s="9" t="e">
        <f>IF(VLOOKUP(G24,'Bereketli Satış'!J:AK,28,0)="","",VLOOKUP(G24,'Bereketli Satış'!J:AK,28,0))</f>
        <v>#N/A</v>
      </c>
      <c r="K24" s="100"/>
      <c r="L24" s="128"/>
      <c r="M24" s="100" t="e">
        <f>IF(VLOOKUP(G24,'Bereketli Satış'!J:AK,30,0)="","",VLOOKUP(G24,'Bereketli Satış'!J:AK,30,0))</f>
        <v>#N/A</v>
      </c>
      <c r="N24" s="100"/>
      <c r="O24" s="100"/>
      <c r="P24" s="9" t="e">
        <f>IF(VLOOKUP(G24,'Bereketli Satış'!J:AK,32,0)="","",VLOOKUP(G24,'Bereketli Satış'!J:AK,32,0))</f>
        <v>#N/A</v>
      </c>
      <c r="Q24" s="100"/>
      <c r="R24" s="100"/>
    </row>
    <row r="25" spans="1:18">
      <c r="A25" s="8" t="s">
        <v>14</v>
      </c>
      <c r="B25" s="8" t="s">
        <v>15</v>
      </c>
      <c r="C25" s="8" t="s">
        <v>16</v>
      </c>
      <c r="D25" s="8">
        <v>753.5</v>
      </c>
      <c r="E25" s="18">
        <v>168</v>
      </c>
      <c r="F25" s="8">
        <v>3</v>
      </c>
      <c r="G25" s="1" t="str">
        <f t="shared" si="0"/>
        <v>REŞADİYE1683</v>
      </c>
      <c r="H25" s="8"/>
      <c r="I25" s="9" t="e">
        <f>IF(VLOOKUP(G25,'Bereketli Satış'!J:AK,5,0)="","",VLOOKUP(G25,'Bereketli Satış'!J:AK,5,0))</f>
        <v>#N/A</v>
      </c>
      <c r="J25" s="9" t="e">
        <f>IF(VLOOKUP(G25,'Bereketli Satış'!J:AK,28,0)="","",VLOOKUP(G25,'Bereketli Satış'!J:AK,28,0))</f>
        <v>#N/A</v>
      </c>
      <c r="K25" s="100"/>
      <c r="L25" s="128"/>
      <c r="M25" s="100" t="e">
        <f>IF(VLOOKUP(G25,'Bereketli Satış'!J:AK,30,0)="","",VLOOKUP(G25,'Bereketli Satış'!J:AK,30,0))</f>
        <v>#N/A</v>
      </c>
      <c r="N25" s="9"/>
      <c r="O25" s="9"/>
      <c r="P25" s="9" t="e">
        <f>IF(VLOOKUP(G25,'Bereketli Satış'!J:AK,32,0)="","",VLOOKUP(G25,'Bereketli Satış'!J:AK,32,0))</f>
        <v>#N/A</v>
      </c>
      <c r="Q25" s="9"/>
      <c r="R25" s="9"/>
    </row>
    <row r="26" spans="1:18">
      <c r="A26" s="8" t="s">
        <v>14</v>
      </c>
      <c r="B26" s="8" t="s">
        <v>15</v>
      </c>
      <c r="C26" s="8" t="s">
        <v>16</v>
      </c>
      <c r="D26" s="8">
        <v>758.04</v>
      </c>
      <c r="E26" s="18">
        <v>171</v>
      </c>
      <c r="F26" s="8">
        <v>8</v>
      </c>
      <c r="G26" s="1" t="str">
        <f t="shared" si="0"/>
        <v>REŞADİYE1718</v>
      </c>
      <c r="H26" s="8"/>
      <c r="I26" s="9" t="e">
        <f>IF(VLOOKUP(G26,'Bereketli Satış'!J:AK,5,0)="","",VLOOKUP(G26,'Bereketli Satış'!J:AK,5,0))</f>
        <v>#N/A</v>
      </c>
      <c r="J26" s="9" t="e">
        <f>IF(VLOOKUP(G26,'Bereketli Satış'!J:AK,28,0)="","",VLOOKUP(G26,'Bereketli Satış'!J:AK,28,0))</f>
        <v>#N/A</v>
      </c>
      <c r="K26" s="9"/>
      <c r="L26" s="128"/>
      <c r="M26" s="100" t="e">
        <f>IF(VLOOKUP(G26,'Bereketli Satış'!J:AK,30,0)="","",VLOOKUP(G26,'Bereketli Satış'!J:AK,30,0))</f>
        <v>#N/A</v>
      </c>
      <c r="N26" s="100"/>
      <c r="O26" s="100"/>
      <c r="P26" s="9" t="e">
        <f>IF(VLOOKUP(G26,'Bereketli Satış'!J:AK,32,0)="","",VLOOKUP(G26,'Bereketli Satış'!J:AK,32,0))</f>
        <v>#N/A</v>
      </c>
      <c r="Q26" s="100"/>
      <c r="R26" s="100"/>
    </row>
    <row r="27" spans="1:18">
      <c r="A27" s="8" t="s">
        <v>14</v>
      </c>
      <c r="B27" s="8" t="s">
        <v>15</v>
      </c>
      <c r="C27" s="8" t="s">
        <v>16</v>
      </c>
      <c r="D27" s="8">
        <v>776.77</v>
      </c>
      <c r="E27" s="18">
        <v>181</v>
      </c>
      <c r="F27" s="8">
        <v>11</v>
      </c>
      <c r="G27" s="1" t="str">
        <f t="shared" si="0"/>
        <v>REŞADİYE18111</v>
      </c>
      <c r="H27" s="8"/>
      <c r="I27" s="9" t="e">
        <f>IF(VLOOKUP(G27,'Bereketli Satış'!J:AK,5,0)="","",VLOOKUP(G27,'Bereketli Satış'!J:AK,5,0))</f>
        <v>#N/A</v>
      </c>
      <c r="J27" s="9" t="e">
        <f>IF(VLOOKUP(G27,'Bereketli Satış'!J:AK,28,0)="","",VLOOKUP(G27,'Bereketli Satış'!J:AK,28,0))</f>
        <v>#N/A</v>
      </c>
      <c r="K27" s="100"/>
      <c r="L27" s="128"/>
      <c r="M27" s="100" t="e">
        <f>IF(VLOOKUP(G27,'Bereketli Satış'!J:AK,30,0)="","",VLOOKUP(G27,'Bereketli Satış'!J:AK,30,0))</f>
        <v>#N/A</v>
      </c>
      <c r="N27" s="100"/>
      <c r="O27" s="100"/>
      <c r="P27" s="9" t="e">
        <f>IF(VLOOKUP(G27,'Bereketli Satış'!J:AK,32,0)="","",VLOOKUP(G27,'Bereketli Satış'!J:AK,32,0))</f>
        <v>#N/A</v>
      </c>
      <c r="Q27" s="100"/>
      <c r="R27" s="100"/>
    </row>
    <row r="28" spans="1:18">
      <c r="A28" s="8" t="s">
        <v>14</v>
      </c>
      <c r="B28" s="8" t="s">
        <v>15</v>
      </c>
      <c r="C28" s="8" t="s">
        <v>16</v>
      </c>
      <c r="D28" s="8">
        <v>757.77</v>
      </c>
      <c r="E28" s="18">
        <v>170</v>
      </c>
      <c r="F28" s="8">
        <v>7</v>
      </c>
      <c r="G28" s="1" t="str">
        <f t="shared" si="0"/>
        <v>REŞADİYE1707</v>
      </c>
      <c r="H28" s="8"/>
      <c r="I28" s="9" t="e">
        <f>IF(VLOOKUP(G28,'Bereketli Satış'!J:AK,5,0)="","",VLOOKUP(G28,'Bereketli Satış'!J:AK,5,0))</f>
        <v>#N/A</v>
      </c>
      <c r="J28" s="9" t="e">
        <f>IF(VLOOKUP(G28,'Bereketli Satış'!J:AK,28,0)="","",VLOOKUP(G28,'Bereketli Satış'!J:AK,28,0))</f>
        <v>#N/A</v>
      </c>
      <c r="K28" s="100"/>
      <c r="L28" s="128"/>
      <c r="M28" s="100" t="e">
        <f>IF(VLOOKUP(G28,'Bereketli Satış'!J:AK,30,0)="","",VLOOKUP(G28,'Bereketli Satış'!J:AK,30,0))</f>
        <v>#N/A</v>
      </c>
      <c r="N28" s="9"/>
      <c r="O28" s="9"/>
      <c r="P28" s="9" t="e">
        <f>IF(VLOOKUP(G28,'Bereketli Satış'!J:AK,32,0)="","",VLOOKUP(G28,'Bereketli Satış'!J:AK,32,0))</f>
        <v>#N/A</v>
      </c>
      <c r="Q28" s="9"/>
      <c r="R28" s="9"/>
    </row>
    <row r="29" spans="1:18">
      <c r="A29" s="8" t="s">
        <v>14</v>
      </c>
      <c r="B29" s="8" t="s">
        <v>15</v>
      </c>
      <c r="C29" s="8" t="s">
        <v>16</v>
      </c>
      <c r="D29" s="8">
        <v>395.29</v>
      </c>
      <c r="E29" s="8">
        <v>166</v>
      </c>
      <c r="F29" s="1">
        <v>20</v>
      </c>
      <c r="G29" s="1" t="str">
        <f t="shared" si="0"/>
        <v>REŞADİYE16620</v>
      </c>
      <c r="H29" s="1"/>
      <c r="I29" s="9" t="e">
        <f>IF(VLOOKUP(G29,'Bereketli Satış'!J:AK,5,0)="","",VLOOKUP(G29,'Bereketli Satış'!J:AK,5,0))</f>
        <v>#N/A</v>
      </c>
      <c r="J29" s="9" t="e">
        <f>IF(VLOOKUP(G29,'Bereketli Satış'!J:AK,28,0)="","",VLOOKUP(G29,'Bereketli Satış'!J:AK,28,0))</f>
        <v>#N/A</v>
      </c>
      <c r="K29" s="9"/>
      <c r="L29" s="128"/>
      <c r="M29" s="100" t="e">
        <f>IF(VLOOKUP(G29,'Bereketli Satış'!J:AK,30,0)="","",VLOOKUP(G29,'Bereketli Satış'!J:AK,30,0))</f>
        <v>#N/A</v>
      </c>
      <c r="N29" s="9"/>
      <c r="O29" s="9"/>
      <c r="P29" s="9" t="e">
        <f>IF(VLOOKUP(G29,'Bereketli Satış'!J:AK,32,0)="","",VLOOKUP(G29,'Bereketli Satış'!J:AK,32,0))</f>
        <v>#N/A</v>
      </c>
      <c r="Q29" s="9"/>
      <c r="R29" s="9"/>
    </row>
    <row r="30" spans="1:18">
      <c r="A30" s="8" t="s">
        <v>14</v>
      </c>
      <c r="B30" s="8" t="s">
        <v>15</v>
      </c>
      <c r="C30" s="8" t="s">
        <v>16</v>
      </c>
      <c r="D30" s="8">
        <v>371.73</v>
      </c>
      <c r="E30" s="8">
        <v>168</v>
      </c>
      <c r="F30" s="1">
        <v>11</v>
      </c>
      <c r="G30" s="1" t="str">
        <f t="shared" si="0"/>
        <v>REŞADİYE16811</v>
      </c>
      <c r="H30" s="1"/>
      <c r="I30" s="9" t="e">
        <f>IF(VLOOKUP(G30,'Bereketli Satış'!J:AK,5,0)="","",VLOOKUP(G30,'Bereketli Satış'!J:AK,5,0))</f>
        <v>#N/A</v>
      </c>
      <c r="J30" s="9" t="e">
        <f>IF(VLOOKUP(G30,'Bereketli Satış'!J:AK,28,0)="","",VLOOKUP(G30,'Bereketli Satış'!J:AK,28,0))</f>
        <v>#N/A</v>
      </c>
      <c r="K30" s="9"/>
      <c r="L30" s="128"/>
      <c r="M30" s="100" t="e">
        <f>IF(VLOOKUP(G30,'Bereketli Satış'!J:AK,30,0)="","",VLOOKUP(G30,'Bereketli Satış'!J:AK,30,0))</f>
        <v>#N/A</v>
      </c>
      <c r="N30" s="100"/>
      <c r="O30" s="100"/>
      <c r="P30" s="9" t="e">
        <f>IF(VLOOKUP(G30,'Bereketli Satış'!J:AK,32,0)="","",VLOOKUP(G30,'Bereketli Satış'!J:AK,32,0))</f>
        <v>#N/A</v>
      </c>
      <c r="Q30" s="100"/>
      <c r="R30" s="100"/>
    </row>
    <row r="31" spans="1:18">
      <c r="A31" s="8" t="s">
        <v>14</v>
      </c>
      <c r="B31" s="8" t="s">
        <v>15</v>
      </c>
      <c r="C31" s="8" t="s">
        <v>16</v>
      </c>
      <c r="D31" s="8">
        <v>385.76</v>
      </c>
      <c r="E31" s="8">
        <v>165</v>
      </c>
      <c r="F31" s="1">
        <v>15</v>
      </c>
      <c r="G31" s="1" t="str">
        <f t="shared" si="0"/>
        <v>REŞADİYE16515</v>
      </c>
      <c r="H31" s="1"/>
      <c r="I31" s="9" t="e">
        <f>IF(VLOOKUP(G31,'Bereketli Satış'!J:AK,5,0)="","",VLOOKUP(G31,'Bereketli Satış'!J:AK,5,0))</f>
        <v>#N/A</v>
      </c>
      <c r="J31" s="9" t="e">
        <f>IF(VLOOKUP(G31,'Bereketli Satış'!J:AK,28,0)="","",VLOOKUP(G31,'Bereketli Satış'!J:AK,28,0))</f>
        <v>#N/A</v>
      </c>
      <c r="K31" s="100"/>
      <c r="L31" s="128"/>
      <c r="M31" s="100" t="e">
        <f>IF(VLOOKUP(G31,'Bereketli Satış'!J:AK,30,0)="","",VLOOKUP(G31,'Bereketli Satış'!J:AK,30,0))</f>
        <v>#N/A</v>
      </c>
      <c r="N31" s="100"/>
      <c r="O31" s="100"/>
      <c r="P31" s="9" t="e">
        <f>IF(VLOOKUP(G31,'Bereketli Satış'!J:AK,32,0)="","",VLOOKUP(G31,'Bereketli Satış'!J:AK,32,0))</f>
        <v>#N/A</v>
      </c>
      <c r="Q31" s="100"/>
      <c r="R31" s="100"/>
    </row>
    <row r="32" spans="1:18">
      <c r="A32" s="8" t="s">
        <v>14</v>
      </c>
      <c r="B32" s="8" t="s">
        <v>15</v>
      </c>
      <c r="C32" s="8" t="s">
        <v>16</v>
      </c>
      <c r="D32" s="8">
        <v>592.63</v>
      </c>
      <c r="E32" s="18">
        <v>169</v>
      </c>
      <c r="F32" s="8">
        <v>2</v>
      </c>
      <c r="G32" s="1" t="str">
        <f t="shared" si="0"/>
        <v>REŞADİYE1692</v>
      </c>
      <c r="H32" s="8"/>
      <c r="I32" s="9" t="e">
        <f>IF(VLOOKUP(G32,'Bereketli Satış'!J:AK,5,0)="","",VLOOKUP(G32,'Bereketli Satış'!J:AK,5,0))</f>
        <v>#N/A</v>
      </c>
      <c r="J32" s="9" t="e">
        <f>IF(VLOOKUP(G32,'Bereketli Satış'!J:AK,28,0)="","",VLOOKUP(G32,'Bereketli Satış'!J:AK,28,0))</f>
        <v>#N/A</v>
      </c>
      <c r="K32" s="100"/>
      <c r="L32" s="128"/>
      <c r="M32" s="100" t="e">
        <f>IF(VLOOKUP(G32,'Bereketli Satış'!J:AK,30,0)="","",VLOOKUP(G32,'Bereketli Satış'!J:AK,30,0))</f>
        <v>#N/A</v>
      </c>
      <c r="N32" s="100"/>
      <c r="O32" s="100"/>
      <c r="P32" s="9" t="e">
        <f>IF(VLOOKUP(G32,'Bereketli Satış'!J:AK,32,0)="","",VLOOKUP(G32,'Bereketli Satış'!J:AK,32,0))</f>
        <v>#N/A</v>
      </c>
      <c r="Q32" s="100"/>
      <c r="R32" s="100"/>
    </row>
    <row r="33" spans="1:18">
      <c r="A33" s="8" t="s">
        <v>14</v>
      </c>
      <c r="B33" s="8" t="s">
        <v>15</v>
      </c>
      <c r="C33" s="8" t="s">
        <v>16</v>
      </c>
      <c r="D33" s="8">
        <v>756.98</v>
      </c>
      <c r="E33" s="18">
        <v>162</v>
      </c>
      <c r="F33" s="8">
        <v>4</v>
      </c>
      <c r="G33" s="1" t="str">
        <f t="shared" si="0"/>
        <v>REŞADİYE1624</v>
      </c>
      <c r="H33" s="8"/>
      <c r="I33" s="9" t="e">
        <f>IF(VLOOKUP(G33,'Bereketli Satış'!J:AK,5,0)="","",VLOOKUP(G33,'Bereketli Satış'!J:AK,5,0))</f>
        <v>#N/A</v>
      </c>
      <c r="J33" s="9" t="e">
        <f>IF(VLOOKUP(G33,'Bereketli Satış'!J:AK,28,0)="","",VLOOKUP(G33,'Bereketli Satış'!J:AK,28,0))</f>
        <v>#N/A</v>
      </c>
      <c r="K33" s="100"/>
      <c r="L33" s="128"/>
      <c r="M33" s="100" t="e">
        <f>IF(VLOOKUP(G33,'Bereketli Satış'!J:AK,30,0)="","",VLOOKUP(G33,'Bereketli Satış'!J:AK,30,0))</f>
        <v>#N/A</v>
      </c>
      <c r="N33" s="9"/>
      <c r="O33" s="9"/>
      <c r="P33" s="9" t="e">
        <f>IF(VLOOKUP(G33,'Bereketli Satış'!J:AK,32,0)="","",VLOOKUP(G33,'Bereketli Satış'!J:AK,32,0))</f>
        <v>#N/A</v>
      </c>
      <c r="Q33" s="9"/>
      <c r="R33" s="9"/>
    </row>
    <row r="34" spans="1:18">
      <c r="A34" s="8" t="s">
        <v>14</v>
      </c>
      <c r="B34" s="8" t="s">
        <v>15</v>
      </c>
      <c r="C34" s="8" t="s">
        <v>16</v>
      </c>
      <c r="D34" s="8">
        <v>423.01</v>
      </c>
      <c r="E34" s="8">
        <v>178</v>
      </c>
      <c r="F34" s="1">
        <v>12</v>
      </c>
      <c r="G34" s="1" t="str">
        <f t="shared" si="0"/>
        <v>REŞADİYE17812</v>
      </c>
      <c r="H34" s="1"/>
      <c r="I34" s="9" t="e">
        <f>IF(VLOOKUP(G34,'Bereketli Satış'!J:AK,5,0)="","",VLOOKUP(G34,'Bereketli Satış'!J:AK,5,0))</f>
        <v>#N/A</v>
      </c>
      <c r="J34" s="9" t="e">
        <f>IF(VLOOKUP(G34,'Bereketli Satış'!J:AK,28,0)="","",VLOOKUP(G34,'Bereketli Satış'!J:AK,28,0))</f>
        <v>#N/A</v>
      </c>
      <c r="K34" s="9"/>
      <c r="L34" s="128"/>
      <c r="M34" s="100" t="e">
        <f>IF(VLOOKUP(G34,'Bereketli Satış'!J:AK,30,0)="","",VLOOKUP(G34,'Bereketli Satış'!J:AK,30,0))</f>
        <v>#N/A</v>
      </c>
      <c r="N34" s="100"/>
      <c r="O34" s="100"/>
      <c r="P34" s="9" t="e">
        <f>IF(VLOOKUP(G34,'Bereketli Satış'!J:AK,32,0)="","",VLOOKUP(G34,'Bereketli Satış'!J:AK,32,0))</f>
        <v>#N/A</v>
      </c>
      <c r="Q34" s="100"/>
      <c r="R34" s="100"/>
    </row>
    <row r="35" spans="1:18">
      <c r="A35" s="8" t="s">
        <v>14</v>
      </c>
      <c r="B35" s="8" t="s">
        <v>15</v>
      </c>
      <c r="C35" s="8" t="s">
        <v>16</v>
      </c>
      <c r="D35" s="8">
        <v>385.16</v>
      </c>
      <c r="E35" s="8">
        <v>165</v>
      </c>
      <c r="F35" s="1">
        <v>16</v>
      </c>
      <c r="G35" s="1" t="str">
        <f t="shared" si="0"/>
        <v>REŞADİYE16516</v>
      </c>
      <c r="H35" s="1"/>
      <c r="I35" s="9" t="e">
        <f>IF(VLOOKUP(G35,'Bereketli Satış'!J:AK,5,0)="","",VLOOKUP(G35,'Bereketli Satış'!J:AK,5,0))</f>
        <v>#N/A</v>
      </c>
      <c r="J35" s="9" t="e">
        <f>IF(VLOOKUP(G35,'Bereketli Satış'!J:AK,28,0)="","",VLOOKUP(G35,'Bereketli Satış'!J:AK,28,0))</f>
        <v>#N/A</v>
      </c>
      <c r="K35" s="100"/>
      <c r="L35" s="128"/>
      <c r="M35" s="100" t="e">
        <f>IF(VLOOKUP(G35,'Bereketli Satış'!J:AK,30,0)="","",VLOOKUP(G35,'Bereketli Satış'!J:AK,30,0))</f>
        <v>#N/A</v>
      </c>
      <c r="N35" s="9"/>
      <c r="O35" s="9"/>
      <c r="P35" s="9" t="e">
        <f>IF(VLOOKUP(G35,'Bereketli Satış'!J:AK,32,0)="","",VLOOKUP(G35,'Bereketli Satış'!J:AK,32,0))</f>
        <v>#N/A</v>
      </c>
      <c r="Q35" s="9"/>
      <c r="R35" s="9"/>
    </row>
    <row r="36" spans="1:18">
      <c r="A36" s="8" t="s">
        <v>14</v>
      </c>
      <c r="B36" s="8" t="s">
        <v>15</v>
      </c>
      <c r="C36" s="8" t="s">
        <v>16</v>
      </c>
      <c r="D36" s="8">
        <v>291.2</v>
      </c>
      <c r="E36" s="8">
        <v>169</v>
      </c>
      <c r="F36" s="1">
        <v>9</v>
      </c>
      <c r="G36" s="1" t="str">
        <f t="shared" si="0"/>
        <v>REŞADİYE1699</v>
      </c>
      <c r="H36" s="1"/>
      <c r="I36" s="9" t="e">
        <f>IF(VLOOKUP(G36,'Bereketli Satış'!J:AK,5,0)="","",VLOOKUP(G36,'Bereketli Satış'!J:AK,5,0))</f>
        <v>#N/A</v>
      </c>
      <c r="J36" s="9" t="e">
        <f>IF(VLOOKUP(G36,'Bereketli Satış'!J:AK,28,0)="","",VLOOKUP(G36,'Bereketli Satış'!J:AK,28,0))</f>
        <v>#N/A</v>
      </c>
      <c r="K36" s="9"/>
      <c r="L36" s="128"/>
      <c r="M36" s="100" t="e">
        <f>IF(VLOOKUP(G36,'Bereketli Satış'!J:AK,30,0)="","",VLOOKUP(G36,'Bereketli Satış'!J:AK,30,0))</f>
        <v>#N/A</v>
      </c>
      <c r="N36" s="100"/>
      <c r="O36" s="100"/>
      <c r="P36" s="9" t="e">
        <f>IF(VLOOKUP(G36,'Bereketli Satış'!J:AK,32,0)="","",VLOOKUP(G36,'Bereketli Satış'!J:AK,32,0))</f>
        <v>#N/A</v>
      </c>
      <c r="Q36" s="100"/>
      <c r="R36" s="100"/>
    </row>
    <row r="37" spans="1:18">
      <c r="A37" s="8" t="s">
        <v>14</v>
      </c>
      <c r="B37" s="8" t="s">
        <v>15</v>
      </c>
      <c r="C37" s="8" t="s">
        <v>16</v>
      </c>
      <c r="D37" s="8">
        <v>342.81</v>
      </c>
      <c r="E37" s="8">
        <v>158</v>
      </c>
      <c r="F37" s="1">
        <v>7</v>
      </c>
      <c r="G37" s="1" t="str">
        <f t="shared" si="0"/>
        <v>REŞADİYE1587</v>
      </c>
      <c r="H37" s="1"/>
      <c r="I37" s="9" t="e">
        <f>IF(VLOOKUP(G37,'Bereketli Satış'!J:AK,5,0)="","",VLOOKUP(G37,'Bereketli Satış'!J:AK,5,0))</f>
        <v>#N/A</v>
      </c>
      <c r="J37" s="9" t="e">
        <f>IF(VLOOKUP(G37,'Bereketli Satış'!J:AK,28,0)="","",VLOOKUP(G37,'Bereketli Satış'!J:AK,28,0))</f>
        <v>#N/A</v>
      </c>
      <c r="K37" s="100"/>
      <c r="L37" s="128"/>
      <c r="M37" s="100" t="e">
        <f>IF(VLOOKUP(G37,'Bereketli Satış'!J:AK,30,0)="","",VLOOKUP(G37,'Bereketli Satış'!J:AK,30,0))</f>
        <v>#N/A</v>
      </c>
      <c r="N37" s="100"/>
      <c r="O37" s="100"/>
      <c r="P37" s="9" t="e">
        <f>IF(VLOOKUP(G37,'Bereketli Satış'!J:AK,32,0)="","",VLOOKUP(G37,'Bereketli Satış'!J:AK,32,0))</f>
        <v>#N/A</v>
      </c>
      <c r="Q37" s="100"/>
      <c r="R37" s="100"/>
    </row>
    <row r="38" spans="1:18">
      <c r="A38" s="8" t="s">
        <v>14</v>
      </c>
      <c r="B38" s="8" t="s">
        <v>15</v>
      </c>
      <c r="C38" s="8" t="s">
        <v>16</v>
      </c>
      <c r="D38" s="8">
        <v>755.88</v>
      </c>
      <c r="E38" s="18">
        <v>168</v>
      </c>
      <c r="F38" s="8">
        <v>4</v>
      </c>
      <c r="G38" s="1" t="str">
        <f t="shared" si="0"/>
        <v>REŞADİYE1684</v>
      </c>
      <c r="H38" s="8"/>
      <c r="I38" s="9" t="e">
        <f>IF(VLOOKUP(G38,'Bereketli Satış'!J:AK,5,0)="","",VLOOKUP(G38,'Bereketli Satış'!J:AK,5,0))</f>
        <v>#N/A</v>
      </c>
      <c r="J38" s="9" t="e">
        <f>IF(VLOOKUP(G38,'Bereketli Satış'!J:AK,28,0)="","",VLOOKUP(G38,'Bereketli Satış'!J:AK,28,0))</f>
        <v>#N/A</v>
      </c>
      <c r="K38" s="100"/>
      <c r="L38" s="128"/>
      <c r="M38" s="100" t="e">
        <f>IF(VLOOKUP(G38,'Bereketli Satış'!J:AK,30,0)="","",VLOOKUP(G38,'Bereketli Satış'!J:AK,30,0))</f>
        <v>#N/A</v>
      </c>
      <c r="N38" s="9"/>
      <c r="O38" s="9"/>
      <c r="P38" s="9" t="e">
        <f>IF(VLOOKUP(G38,'Bereketli Satış'!J:AK,32,0)="","",VLOOKUP(G38,'Bereketli Satış'!J:AK,32,0))</f>
        <v>#N/A</v>
      </c>
      <c r="Q38" s="9"/>
      <c r="R38" s="9"/>
    </row>
    <row r="39" spans="1:18">
      <c r="A39" s="8" t="s">
        <v>14</v>
      </c>
      <c r="B39" s="8" t="s">
        <v>15</v>
      </c>
      <c r="C39" s="8" t="s">
        <v>16</v>
      </c>
      <c r="D39" s="8">
        <v>338</v>
      </c>
      <c r="E39" s="8">
        <v>170</v>
      </c>
      <c r="F39" s="1">
        <v>14</v>
      </c>
      <c r="G39" s="1" t="str">
        <f t="shared" si="0"/>
        <v>REŞADİYE17014</v>
      </c>
      <c r="H39" s="1"/>
      <c r="I39" s="9" t="e">
        <f>IF(VLOOKUP(G39,'Bereketli Satış'!J:AK,5,0)="","",VLOOKUP(G39,'Bereketli Satış'!J:AK,5,0))</f>
        <v>#N/A</v>
      </c>
      <c r="J39" s="9" t="e">
        <f>IF(VLOOKUP(G39,'Bereketli Satış'!J:AK,28,0)="","",VLOOKUP(G39,'Bereketli Satış'!J:AK,28,0))</f>
        <v>#N/A</v>
      </c>
      <c r="K39" s="9"/>
      <c r="L39" s="128"/>
      <c r="M39" s="100" t="e">
        <f>IF(VLOOKUP(G39,'Bereketli Satış'!J:AK,30,0)="","",VLOOKUP(G39,'Bereketli Satış'!J:AK,30,0))</f>
        <v>#N/A</v>
      </c>
      <c r="N39" s="100"/>
      <c r="O39" s="100"/>
      <c r="P39" s="9" t="e">
        <f>IF(VLOOKUP(G39,'Bereketli Satış'!J:AK,32,0)="","",VLOOKUP(G39,'Bereketli Satış'!J:AK,32,0))</f>
        <v>#N/A</v>
      </c>
      <c r="Q39" s="100"/>
      <c r="R39" s="100"/>
    </row>
    <row r="40" spans="1:18">
      <c r="A40" s="8" t="s">
        <v>14</v>
      </c>
      <c r="B40" s="8" t="s">
        <v>15</v>
      </c>
      <c r="C40" s="8" t="s">
        <v>16</v>
      </c>
      <c r="D40" s="8">
        <v>741.7</v>
      </c>
      <c r="E40" s="18">
        <v>181</v>
      </c>
      <c r="F40" s="8">
        <v>7</v>
      </c>
      <c r="G40" s="1" t="str">
        <f t="shared" si="0"/>
        <v>REŞADİYE1817</v>
      </c>
      <c r="H40" s="8"/>
      <c r="I40" s="9" t="e">
        <f>IF(VLOOKUP(G40,'Bereketli Satış'!J:AK,5,0)="","",VLOOKUP(G40,'Bereketli Satış'!J:AK,5,0))</f>
        <v>#N/A</v>
      </c>
      <c r="J40" s="9" t="e">
        <f>IF(VLOOKUP(G40,'Bereketli Satış'!J:AK,28,0)="","",VLOOKUP(G40,'Bereketli Satış'!J:AK,28,0))</f>
        <v>#N/A</v>
      </c>
      <c r="K40" s="100"/>
      <c r="L40" s="128"/>
      <c r="M40" s="100" t="e">
        <f>IF(VLOOKUP(G40,'Bereketli Satış'!J:AK,30,0)="","",VLOOKUP(G40,'Bereketli Satış'!J:AK,30,0))</f>
        <v>#N/A</v>
      </c>
      <c r="N40" s="100"/>
      <c r="O40" s="100"/>
      <c r="P40" s="9" t="e">
        <f>IF(VLOOKUP(G40,'Bereketli Satış'!J:AK,32,0)="","",VLOOKUP(G40,'Bereketli Satış'!J:AK,32,0))</f>
        <v>#N/A</v>
      </c>
      <c r="Q40" s="100"/>
      <c r="R40" s="100"/>
    </row>
    <row r="41" spans="1:18">
      <c r="A41" s="8" t="s">
        <v>14</v>
      </c>
      <c r="B41" s="8" t="s">
        <v>15</v>
      </c>
      <c r="C41" s="8" t="s">
        <v>16</v>
      </c>
      <c r="D41" s="8">
        <v>689.86</v>
      </c>
      <c r="E41" s="18">
        <v>168</v>
      </c>
      <c r="F41" s="8">
        <v>2</v>
      </c>
      <c r="G41" s="1" t="str">
        <f t="shared" si="0"/>
        <v>REŞADİYE1682</v>
      </c>
      <c r="H41" s="8"/>
      <c r="I41" s="9" t="e">
        <f>IF(VLOOKUP(G41,'Bereketli Satış'!J:AK,5,0)="","",VLOOKUP(G41,'Bereketli Satış'!J:AK,5,0))</f>
        <v>#N/A</v>
      </c>
      <c r="J41" s="9" t="e">
        <f>IF(VLOOKUP(G41,'Bereketli Satış'!J:AK,28,0)="","",VLOOKUP(G41,'Bereketli Satış'!J:AK,28,0))</f>
        <v>#N/A</v>
      </c>
      <c r="K41" s="100"/>
      <c r="L41" s="128"/>
      <c r="M41" s="100" t="e">
        <f>IF(VLOOKUP(G41,'Bereketli Satış'!J:AK,30,0)="","",VLOOKUP(G41,'Bereketli Satış'!J:AK,30,0))</f>
        <v>#N/A</v>
      </c>
      <c r="N41" s="100"/>
      <c r="O41" s="100"/>
      <c r="P41" s="9" t="e">
        <f>IF(VLOOKUP(G41,'Bereketli Satış'!J:AK,32,0)="","",VLOOKUP(G41,'Bereketli Satış'!J:AK,32,0))</f>
        <v>#N/A</v>
      </c>
      <c r="Q41" s="100"/>
      <c r="R41" s="100"/>
    </row>
    <row r="42" spans="1:18">
      <c r="A42" s="8" t="s">
        <v>14</v>
      </c>
      <c r="B42" s="8" t="s">
        <v>15</v>
      </c>
      <c r="C42" s="8" t="s">
        <v>16</v>
      </c>
      <c r="D42" s="8">
        <v>750.8</v>
      </c>
      <c r="E42" s="18">
        <v>163</v>
      </c>
      <c r="F42" s="8">
        <v>4</v>
      </c>
      <c r="G42" s="1" t="str">
        <f t="shared" si="0"/>
        <v>REŞADİYE1634</v>
      </c>
      <c r="H42" s="8"/>
      <c r="I42" s="9" t="e">
        <f>IF(VLOOKUP(G42,'Bereketli Satış'!J:AK,5,0)="","",VLOOKUP(G42,'Bereketli Satış'!J:AK,5,0))</f>
        <v>#N/A</v>
      </c>
      <c r="J42" s="9" t="e">
        <f>IF(VLOOKUP(G42,'Bereketli Satış'!J:AK,28,0)="","",VLOOKUP(G42,'Bereketli Satış'!J:AK,28,0))</f>
        <v>#N/A</v>
      </c>
      <c r="K42" s="100"/>
      <c r="L42" s="128"/>
      <c r="M42" s="100" t="e">
        <f>IF(VLOOKUP(G42,'Bereketli Satış'!J:AK,30,0)="","",VLOOKUP(G42,'Bereketli Satış'!J:AK,30,0))</f>
        <v>#N/A</v>
      </c>
      <c r="N42" s="100"/>
      <c r="O42" s="100"/>
      <c r="P42" s="9" t="e">
        <f>IF(VLOOKUP(G42,'Bereketli Satış'!J:AK,32,0)="","",VLOOKUP(G42,'Bereketli Satış'!J:AK,32,0))</f>
        <v>#N/A</v>
      </c>
      <c r="Q42" s="100"/>
      <c r="R42" s="100"/>
    </row>
    <row r="43" spans="1:18">
      <c r="A43" s="8" t="s">
        <v>14</v>
      </c>
      <c r="B43" s="8" t="s">
        <v>15</v>
      </c>
      <c r="C43" s="8" t="s">
        <v>16</v>
      </c>
      <c r="D43" s="8">
        <v>370.65</v>
      </c>
      <c r="E43" s="8">
        <v>167</v>
      </c>
      <c r="F43" s="1">
        <v>12</v>
      </c>
      <c r="G43" s="1" t="str">
        <f t="shared" si="0"/>
        <v>REŞADİYE16712</v>
      </c>
      <c r="H43" s="1"/>
      <c r="I43" s="9" t="e">
        <f>IF(VLOOKUP(G43,'Bereketli Satış'!J:AK,5,0)="","",VLOOKUP(G43,'Bereketli Satış'!J:AK,5,0))</f>
        <v>#N/A</v>
      </c>
      <c r="J43" s="9" t="e">
        <f>IF(VLOOKUP(G43,'Bereketli Satış'!J:AK,28,0)="","",VLOOKUP(G43,'Bereketli Satış'!J:AK,28,0))</f>
        <v>#N/A</v>
      </c>
      <c r="K43" s="100"/>
      <c r="L43" s="128"/>
      <c r="M43" s="100" t="e">
        <f>IF(VLOOKUP(G43,'Bereketli Satış'!J:AK,30,0)="","",VLOOKUP(G43,'Bereketli Satış'!J:AK,30,0))</f>
        <v>#N/A</v>
      </c>
      <c r="N43" s="100"/>
      <c r="O43" s="128"/>
      <c r="P43" s="9" t="e">
        <f>IF(VLOOKUP(G43,'Bereketli Satış'!J:AK,32,0)="","",VLOOKUP(G43,'Bereketli Satış'!J:AK,32,0))</f>
        <v>#N/A</v>
      </c>
      <c r="Q43" s="100"/>
      <c r="R43" s="100"/>
    </row>
    <row r="44" spans="1:18">
      <c r="A44" s="8" t="s">
        <v>14</v>
      </c>
      <c r="B44" s="8" t="s">
        <v>15</v>
      </c>
      <c r="C44" s="8" t="s">
        <v>16</v>
      </c>
      <c r="D44" s="8">
        <v>379.94</v>
      </c>
      <c r="E44" s="8">
        <v>166</v>
      </c>
      <c r="F44" s="1">
        <v>16</v>
      </c>
      <c r="G44" s="1" t="str">
        <f t="shared" si="0"/>
        <v>REŞADİYE16616</v>
      </c>
      <c r="H44" s="1"/>
      <c r="I44" s="9" t="e">
        <f>IF(VLOOKUP(G44,'Bereketli Satış'!J:AK,5,0)="","",VLOOKUP(G44,'Bereketli Satış'!J:AK,5,0))</f>
        <v>#N/A</v>
      </c>
      <c r="J44" s="9" t="e">
        <f>IF(VLOOKUP(G44,'Bereketli Satış'!J:AK,28,0)="","",VLOOKUP(G44,'Bereketli Satış'!J:AK,28,0))</f>
        <v>#N/A</v>
      </c>
      <c r="K44" s="100"/>
      <c r="L44" s="128"/>
      <c r="M44" s="100" t="e">
        <f>IF(VLOOKUP(G44,'Bereketli Satış'!J:AK,30,0)="","",VLOOKUP(G44,'Bereketli Satış'!J:AK,30,0))</f>
        <v>#N/A</v>
      </c>
      <c r="N44" s="9"/>
      <c r="O44" s="9"/>
      <c r="P44" s="9" t="e">
        <f>IF(VLOOKUP(G44,'Bereketli Satış'!J:AK,32,0)="","",VLOOKUP(G44,'Bereketli Satış'!J:AK,32,0))</f>
        <v>#N/A</v>
      </c>
      <c r="Q44" s="9"/>
      <c r="R44" s="9"/>
    </row>
    <row r="45" spans="1:18">
      <c r="A45" s="8" t="s">
        <v>14</v>
      </c>
      <c r="B45" s="8" t="s">
        <v>15</v>
      </c>
      <c r="C45" s="8" t="s">
        <v>16</v>
      </c>
      <c r="D45" s="8">
        <v>379.55</v>
      </c>
      <c r="E45" s="8">
        <v>171</v>
      </c>
      <c r="F45" s="1">
        <v>12</v>
      </c>
      <c r="G45" s="1" t="str">
        <f t="shared" si="0"/>
        <v>REŞADİYE17112</v>
      </c>
      <c r="H45" s="1"/>
      <c r="I45" s="9" t="e">
        <f>IF(VLOOKUP(G45,'Bereketli Satış'!J:AK,5,0)="","",VLOOKUP(G45,'Bereketli Satış'!J:AK,5,0))</f>
        <v>#N/A</v>
      </c>
      <c r="J45" s="9" t="e">
        <f>IF(VLOOKUP(G45,'Bereketli Satış'!J:AK,28,0)="","",VLOOKUP(G45,'Bereketli Satış'!J:AK,28,0))</f>
        <v>#N/A</v>
      </c>
      <c r="K45" s="9"/>
      <c r="L45" s="128"/>
      <c r="M45" s="100" t="e">
        <f>IF(VLOOKUP(G45,'Bereketli Satış'!J:AK,30,0)="","",VLOOKUP(G45,'Bereketli Satış'!J:AK,30,0))</f>
        <v>#N/A</v>
      </c>
      <c r="N45" s="100"/>
      <c r="O45" s="100"/>
      <c r="P45" s="9" t="e">
        <f>IF(VLOOKUP(G45,'Bereketli Satış'!J:AK,32,0)="","",VLOOKUP(G45,'Bereketli Satış'!J:AK,32,0))</f>
        <v>#N/A</v>
      </c>
      <c r="Q45" s="100"/>
      <c r="R45" s="100"/>
    </row>
    <row r="46" spans="1:18">
      <c r="A46" s="8" t="s">
        <v>14</v>
      </c>
      <c r="B46" s="8" t="s">
        <v>15</v>
      </c>
      <c r="C46" s="8" t="s">
        <v>16</v>
      </c>
      <c r="D46" s="8">
        <v>379.48</v>
      </c>
      <c r="E46" s="8">
        <v>166</v>
      </c>
      <c r="F46" s="1">
        <v>13</v>
      </c>
      <c r="G46" s="1" t="str">
        <f t="shared" si="0"/>
        <v>REŞADİYE16613</v>
      </c>
      <c r="H46" s="1"/>
      <c r="I46" s="9" t="e">
        <f>IF(VLOOKUP(G46,'Bereketli Satış'!J:AK,5,0)="","",VLOOKUP(G46,'Bereketli Satış'!J:AK,5,0))</f>
        <v>#N/A</v>
      </c>
      <c r="J46" s="9" t="e">
        <f>IF(VLOOKUP(G46,'Bereketli Satış'!J:AK,28,0)="","",VLOOKUP(G46,'Bereketli Satış'!J:AK,28,0))</f>
        <v>#N/A</v>
      </c>
      <c r="K46" s="100"/>
      <c r="L46" s="128"/>
      <c r="M46" s="100" t="e">
        <f>IF(VLOOKUP(G46,'Bereketli Satış'!J:AK,30,0)="","",VLOOKUP(G46,'Bereketli Satış'!J:AK,30,0))</f>
        <v>#N/A</v>
      </c>
      <c r="N46" s="9"/>
      <c r="O46" s="9"/>
      <c r="P46" s="9" t="e">
        <f>IF(VLOOKUP(G46,'Bereketli Satış'!J:AK,32,0)="","",VLOOKUP(G46,'Bereketli Satış'!J:AK,32,0))</f>
        <v>#N/A</v>
      </c>
      <c r="Q46" s="9"/>
      <c r="R46" s="9"/>
    </row>
    <row r="47" spans="1:18">
      <c r="A47" s="8" t="s">
        <v>14</v>
      </c>
      <c r="B47" s="8" t="s">
        <v>15</v>
      </c>
      <c r="C47" s="8" t="s">
        <v>16</v>
      </c>
      <c r="D47" s="8">
        <v>412</v>
      </c>
      <c r="E47" s="8">
        <v>157</v>
      </c>
      <c r="F47" s="1">
        <v>2</v>
      </c>
      <c r="G47" s="1" t="str">
        <f t="shared" si="0"/>
        <v>REŞADİYE1572</v>
      </c>
      <c r="H47" s="1"/>
      <c r="I47" s="9" t="e">
        <f>IF(VLOOKUP(G47,'Bereketli Satış'!J:AK,5,0)="","",VLOOKUP(G47,'Bereketli Satış'!J:AK,5,0))</f>
        <v>#N/A</v>
      </c>
      <c r="J47" s="9" t="e">
        <f>IF(VLOOKUP(G47,'Bereketli Satış'!J:AK,28,0)="","",VLOOKUP(G47,'Bereketli Satış'!J:AK,28,0))</f>
        <v>#N/A</v>
      </c>
      <c r="K47" s="9"/>
      <c r="L47" s="128"/>
      <c r="M47" s="100" t="e">
        <f>IF(VLOOKUP(G47,'Bereketli Satış'!J:AK,30,0)="","",VLOOKUP(G47,'Bereketli Satış'!J:AK,30,0))</f>
        <v>#N/A</v>
      </c>
      <c r="N47" s="100"/>
      <c r="O47" s="100"/>
      <c r="P47" s="9" t="e">
        <f>IF(VLOOKUP(G47,'Bereketli Satış'!J:AK,32,0)="","",VLOOKUP(G47,'Bereketli Satış'!J:AK,32,0))</f>
        <v>#N/A</v>
      </c>
      <c r="Q47" s="100"/>
      <c r="R47" s="100"/>
    </row>
    <row r="48" spans="1:18">
      <c r="A48" s="8" t="s">
        <v>14</v>
      </c>
      <c r="B48" s="8" t="s">
        <v>15</v>
      </c>
      <c r="C48" s="8" t="s">
        <v>16</v>
      </c>
      <c r="D48" s="8">
        <v>304.31</v>
      </c>
      <c r="E48" s="8">
        <v>158</v>
      </c>
      <c r="F48" s="1">
        <v>19</v>
      </c>
      <c r="G48" s="1" t="str">
        <f t="shared" si="0"/>
        <v>REŞADİYE15819</v>
      </c>
      <c r="H48" s="1"/>
      <c r="I48" s="9" t="e">
        <f>IF(VLOOKUP(G48,'Bereketli Satış'!J:AK,5,0)="","",VLOOKUP(G48,'Bereketli Satış'!J:AK,5,0))</f>
        <v>#N/A</v>
      </c>
      <c r="J48" s="9" t="e">
        <f>IF(VLOOKUP(G48,'Bereketli Satış'!J:AK,28,0)="","",VLOOKUP(G48,'Bereketli Satış'!J:AK,28,0))</f>
        <v>#N/A</v>
      </c>
      <c r="K48" s="100"/>
      <c r="L48" s="128"/>
      <c r="M48" s="100" t="e">
        <f>IF(VLOOKUP(G48,'Bereketli Satış'!J:AK,30,0)="","",VLOOKUP(G48,'Bereketli Satış'!J:AK,30,0))</f>
        <v>#N/A</v>
      </c>
      <c r="N48" s="100"/>
      <c r="O48" s="100"/>
      <c r="P48" s="9" t="e">
        <f>IF(VLOOKUP(G48,'Bereketli Satış'!J:AK,32,0)="","",VLOOKUP(G48,'Bereketli Satış'!J:AK,32,0))</f>
        <v>#N/A</v>
      </c>
      <c r="Q48" s="100"/>
      <c r="R48" s="100"/>
    </row>
    <row r="49" spans="1:18">
      <c r="A49" s="8" t="s">
        <v>14</v>
      </c>
      <c r="B49" s="8" t="s">
        <v>15</v>
      </c>
      <c r="C49" s="8" t="s">
        <v>16</v>
      </c>
      <c r="D49" s="8">
        <v>304.3</v>
      </c>
      <c r="E49" s="8">
        <v>158</v>
      </c>
      <c r="F49" s="1">
        <v>20</v>
      </c>
      <c r="G49" s="1" t="str">
        <f t="shared" si="0"/>
        <v>REŞADİYE15820</v>
      </c>
      <c r="H49" s="1"/>
      <c r="I49" s="9" t="e">
        <f>IF(VLOOKUP(G49,'Bereketli Satış'!J:AK,5,0)="","",VLOOKUP(G49,'Bereketli Satış'!J:AK,5,0))</f>
        <v>#N/A</v>
      </c>
      <c r="J49" s="9" t="e">
        <f>IF(VLOOKUP(G49,'Bereketli Satış'!J:AK,28,0)="","",VLOOKUP(G49,'Bereketli Satış'!J:AK,28,0))</f>
        <v>#N/A</v>
      </c>
      <c r="K49" s="100"/>
      <c r="L49" s="128"/>
      <c r="M49" s="100" t="e">
        <f>IF(VLOOKUP(G49,'Bereketli Satış'!J:AK,30,0)="","",VLOOKUP(G49,'Bereketli Satış'!J:AK,30,0))</f>
        <v>#N/A</v>
      </c>
      <c r="N49" s="9"/>
      <c r="O49" s="9"/>
      <c r="P49" s="9" t="e">
        <f>IF(VLOOKUP(G49,'Bereketli Satış'!J:AK,32,0)="","",VLOOKUP(G49,'Bereketli Satış'!J:AK,32,0))</f>
        <v>#N/A</v>
      </c>
      <c r="Q49" s="9"/>
      <c r="R49" s="9"/>
    </row>
    <row r="50" spans="1:18">
      <c r="A50" s="8" t="s">
        <v>14</v>
      </c>
      <c r="B50" s="8" t="s">
        <v>15</v>
      </c>
      <c r="C50" s="8" t="s">
        <v>16</v>
      </c>
      <c r="D50" s="8">
        <v>379.15</v>
      </c>
      <c r="E50" s="8">
        <v>171</v>
      </c>
      <c r="F50" s="1">
        <v>11</v>
      </c>
      <c r="G50" s="1" t="str">
        <f t="shared" si="0"/>
        <v>REŞADİYE17111</v>
      </c>
      <c r="H50" s="1"/>
      <c r="I50" s="9" t="e">
        <f>IF(VLOOKUP(G50,'Bereketli Satış'!J:AK,5,0)="","",VLOOKUP(G50,'Bereketli Satış'!J:AK,5,0))</f>
        <v>#N/A</v>
      </c>
      <c r="J50" s="9" t="e">
        <f>IF(VLOOKUP(G50,'Bereketli Satış'!J:AK,28,0)="","",VLOOKUP(G50,'Bereketli Satış'!J:AK,28,0))</f>
        <v>#N/A</v>
      </c>
      <c r="K50" s="9"/>
      <c r="L50" s="128"/>
      <c r="M50" s="100" t="e">
        <f>IF(VLOOKUP(G50,'Bereketli Satış'!J:AK,30,0)="","",VLOOKUP(G50,'Bereketli Satış'!J:AK,30,0))</f>
        <v>#N/A</v>
      </c>
      <c r="N50" s="9"/>
      <c r="O50" s="9"/>
      <c r="P50" s="9" t="e">
        <f>IF(VLOOKUP(G50,'Bereketli Satış'!J:AK,32,0)="","",VLOOKUP(G50,'Bereketli Satış'!J:AK,32,0))</f>
        <v>#N/A</v>
      </c>
      <c r="Q50" s="9"/>
      <c r="R50" s="9"/>
    </row>
    <row r="51" spans="1:18">
      <c r="A51" s="8" t="s">
        <v>14</v>
      </c>
      <c r="B51" s="8" t="s">
        <v>15</v>
      </c>
      <c r="C51" s="8" t="s">
        <v>16</v>
      </c>
      <c r="D51" s="8">
        <v>378.89</v>
      </c>
      <c r="E51" s="8">
        <v>162</v>
      </c>
      <c r="F51" s="1">
        <v>28</v>
      </c>
      <c r="G51" s="1" t="str">
        <f t="shared" si="0"/>
        <v>REŞADİYE16228</v>
      </c>
      <c r="H51" s="1"/>
      <c r="I51" s="9" t="e">
        <f>IF(VLOOKUP(G51,'Bereketli Satış'!J:AK,5,0)="","",VLOOKUP(G51,'Bereketli Satış'!J:AK,5,0))</f>
        <v>#N/A</v>
      </c>
      <c r="J51" s="9" t="e">
        <f>IF(VLOOKUP(G51,'Bereketli Satış'!J:AK,28,0)="","",VLOOKUP(G51,'Bereketli Satış'!J:AK,28,0))</f>
        <v>#N/A</v>
      </c>
      <c r="K51" s="9"/>
      <c r="L51" s="128"/>
      <c r="M51" s="100" t="e">
        <f>IF(VLOOKUP(G51,'Bereketli Satış'!J:AK,30,0)="","",VLOOKUP(G51,'Bereketli Satış'!J:AK,30,0))</f>
        <v>#N/A</v>
      </c>
      <c r="N51" s="100"/>
      <c r="O51" s="100"/>
      <c r="P51" s="9" t="e">
        <f>IF(VLOOKUP(G51,'Bereketli Satış'!J:AK,32,0)="","",VLOOKUP(G51,'Bereketli Satış'!J:AK,32,0))</f>
        <v>#N/A</v>
      </c>
      <c r="Q51" s="100"/>
      <c r="R51" s="100"/>
    </row>
    <row r="52" spans="1:18">
      <c r="A52" s="8" t="s">
        <v>14</v>
      </c>
      <c r="B52" s="8" t="s">
        <v>15</v>
      </c>
      <c r="C52" s="8" t="s">
        <v>16</v>
      </c>
      <c r="D52" s="8">
        <v>317.68</v>
      </c>
      <c r="E52" s="8">
        <v>160</v>
      </c>
      <c r="F52" s="1">
        <v>5</v>
      </c>
      <c r="G52" s="1" t="str">
        <f t="shared" si="0"/>
        <v>REŞADİYE1605</v>
      </c>
      <c r="H52" s="1"/>
      <c r="I52" s="9" t="e">
        <f>IF(VLOOKUP(G52,'Bereketli Satış'!J:AK,5,0)="","",VLOOKUP(G52,'Bereketli Satış'!J:AK,5,0))</f>
        <v>#N/A</v>
      </c>
      <c r="J52" s="9" t="e">
        <f>IF(VLOOKUP(G52,'Bereketli Satış'!J:AK,28,0)="","",VLOOKUP(G52,'Bereketli Satış'!J:AK,28,0))</f>
        <v>#N/A</v>
      </c>
      <c r="K52" s="100"/>
      <c r="L52" s="128"/>
      <c r="M52" s="100" t="e">
        <f>IF(VLOOKUP(G52,'Bereketli Satış'!J:AK,30,0)="","",VLOOKUP(G52,'Bereketli Satış'!J:AK,30,0))</f>
        <v>#N/A</v>
      </c>
      <c r="N52" s="100"/>
      <c r="O52" s="100"/>
      <c r="P52" s="9" t="e">
        <f>IF(VLOOKUP(G52,'Bereketli Satış'!J:AK,32,0)="","",VLOOKUP(G52,'Bereketli Satış'!J:AK,32,0))</f>
        <v>#N/A</v>
      </c>
      <c r="Q52" s="100"/>
      <c r="R52" s="100"/>
    </row>
    <row r="53" spans="1:18">
      <c r="A53" s="8" t="s">
        <v>14</v>
      </c>
      <c r="B53" s="8" t="s">
        <v>15</v>
      </c>
      <c r="C53" s="8" t="s">
        <v>16</v>
      </c>
      <c r="D53" s="8">
        <v>261.37</v>
      </c>
      <c r="E53" s="8">
        <v>158</v>
      </c>
      <c r="F53" s="1">
        <v>9</v>
      </c>
      <c r="G53" s="1" t="str">
        <f t="shared" si="0"/>
        <v>REŞADİYE1589</v>
      </c>
      <c r="H53" s="1"/>
      <c r="I53" s="9" t="e">
        <f>IF(VLOOKUP(G53,'Bereketli Satış'!J:AK,5,0)="","",VLOOKUP(G53,'Bereketli Satış'!J:AK,5,0))</f>
        <v>#N/A</v>
      </c>
      <c r="J53" s="9" t="e">
        <f>IF(VLOOKUP(G53,'Bereketli Satış'!J:AK,28,0)="","",VLOOKUP(G53,'Bereketli Satış'!J:AK,28,0))</f>
        <v>#N/A</v>
      </c>
      <c r="K53" s="100"/>
      <c r="L53" s="128"/>
      <c r="M53" s="100" t="e">
        <f>IF(VLOOKUP(G53,'Bereketli Satış'!J:AK,30,0)="","",VLOOKUP(G53,'Bereketli Satış'!J:AK,30,0))</f>
        <v>#N/A</v>
      </c>
      <c r="N53" s="100"/>
      <c r="O53" s="100"/>
      <c r="P53" s="9" t="e">
        <f>IF(VLOOKUP(G53,'Bereketli Satış'!J:AK,32,0)="","",VLOOKUP(G53,'Bereketli Satış'!J:AK,32,0))</f>
        <v>#N/A</v>
      </c>
      <c r="Q53" s="100"/>
      <c r="R53" s="100"/>
    </row>
    <row r="54" spans="1:18">
      <c r="A54" s="8" t="s">
        <v>17</v>
      </c>
      <c r="B54" s="8" t="s">
        <v>18</v>
      </c>
      <c r="C54" s="8" t="s">
        <v>19</v>
      </c>
      <c r="D54" s="8">
        <v>1276.43</v>
      </c>
      <c r="E54" s="18">
        <v>169</v>
      </c>
      <c r="F54" s="8">
        <v>6</v>
      </c>
      <c r="G54" s="1" t="str">
        <f t="shared" si="0"/>
        <v>HÜDÜK1696</v>
      </c>
      <c r="H54" s="8"/>
      <c r="I54" s="9" t="e">
        <f>IF(VLOOKUP(G54,'Bereketli Satış'!J:AK,5,0)="","",VLOOKUP(G54,'Bereketli Satış'!J:AK,5,0))</f>
        <v>#N/A</v>
      </c>
      <c r="J54" s="9" t="e">
        <f>IF(VLOOKUP(G54,'Bereketli Satış'!J:AK,28,0)="","",VLOOKUP(G54,'Bereketli Satış'!J:AK,28,0))</f>
        <v>#N/A</v>
      </c>
      <c r="K54" s="100"/>
      <c r="L54" s="128"/>
      <c r="M54" s="100" t="e">
        <f>IF(VLOOKUP(G54,'Bereketli Satış'!J:AK,30,0)="","",VLOOKUP(G54,'Bereketli Satış'!J:AK,30,0))</f>
        <v>#N/A</v>
      </c>
      <c r="N54" s="100"/>
      <c r="O54" s="100"/>
      <c r="P54" s="9" t="e">
        <f>IF(VLOOKUP(G54,'Bereketli Satış'!J:AK,32,0)="","",VLOOKUP(G54,'Bereketli Satış'!J:AK,32,0))</f>
        <v>#N/A</v>
      </c>
      <c r="Q54" s="100"/>
      <c r="R54" s="100"/>
    </row>
    <row r="55" spans="1:18">
      <c r="A55" s="8" t="s">
        <v>17</v>
      </c>
      <c r="B55" s="8" t="s">
        <v>18</v>
      </c>
      <c r="C55" s="8" t="s">
        <v>20</v>
      </c>
      <c r="D55" s="8">
        <v>1372.87</v>
      </c>
      <c r="E55" s="18">
        <v>103</v>
      </c>
      <c r="F55" s="8">
        <v>557</v>
      </c>
      <c r="G55" s="1" t="str">
        <f t="shared" si="0"/>
        <v>MİNNETLER103557</v>
      </c>
      <c r="H55" s="8"/>
      <c r="I55" s="9" t="e">
        <f>IF(VLOOKUP(G55,'Bereketli Satış'!J:AK,5,0)="","",VLOOKUP(G55,'Bereketli Satış'!J:AK,5,0))</f>
        <v>#N/A</v>
      </c>
      <c r="J55" s="9" t="e">
        <f>IF(VLOOKUP(G55,'Bereketli Satış'!J:AK,28,0)="","",VLOOKUP(G55,'Bereketli Satış'!J:AK,28,0))</f>
        <v>#N/A</v>
      </c>
      <c r="K55" s="100"/>
      <c r="L55" s="128"/>
      <c r="M55" s="100" t="e">
        <f>IF(VLOOKUP(G55,'Bereketli Satış'!J:AK,30,0)="","",VLOOKUP(G55,'Bereketli Satış'!J:AK,30,0))</f>
        <v>#N/A</v>
      </c>
      <c r="N55" s="100"/>
      <c r="O55" s="100"/>
      <c r="P55" s="9" t="e">
        <f>IF(VLOOKUP(G55,'Bereketli Satış'!J:AK,32,0)="","",VLOOKUP(G55,'Bereketli Satış'!J:AK,32,0))</f>
        <v>#N/A</v>
      </c>
      <c r="Q55" s="100"/>
      <c r="R55" s="100"/>
    </row>
    <row r="56" spans="1:18">
      <c r="A56" s="8" t="s">
        <v>17</v>
      </c>
      <c r="B56" s="8" t="s">
        <v>21</v>
      </c>
      <c r="C56" s="8" t="s">
        <v>22</v>
      </c>
      <c r="D56" s="8">
        <v>60</v>
      </c>
      <c r="E56" s="18">
        <v>241</v>
      </c>
      <c r="F56" s="8">
        <v>7</v>
      </c>
      <c r="G56" s="1" t="str">
        <f t="shared" si="0"/>
        <v>KİLLİK2417</v>
      </c>
      <c r="H56" s="8"/>
      <c r="I56" s="9" t="e">
        <f>IF(VLOOKUP(G56,'Bereketli Satış'!J:AK,5,0)="","",VLOOKUP(G56,'Bereketli Satış'!J:AK,5,0))</f>
        <v>#N/A</v>
      </c>
      <c r="J56" s="9" t="e">
        <f>IF(VLOOKUP(G56,'Bereketli Satış'!J:AK,28,0)="","",VLOOKUP(G56,'Bereketli Satış'!J:AK,28,0))</f>
        <v>#N/A</v>
      </c>
      <c r="K56" s="100"/>
      <c r="L56" s="128"/>
      <c r="M56" s="100" t="e">
        <f>IF(VLOOKUP(G56,'Bereketli Satış'!J:AK,30,0)="","",VLOOKUP(G56,'Bereketli Satış'!J:AK,30,0))</f>
        <v>#N/A</v>
      </c>
      <c r="N56" s="9"/>
      <c r="O56" s="9"/>
      <c r="P56" s="9" t="e">
        <f>IF(VLOOKUP(G56,'Bereketli Satış'!J:AK,32,0)="","",VLOOKUP(G56,'Bereketli Satış'!J:AK,32,0))</f>
        <v>#N/A</v>
      </c>
      <c r="Q56" s="9"/>
      <c r="R56" s="9"/>
    </row>
    <row r="57" spans="1:18">
      <c r="A57" s="8" t="s">
        <v>14</v>
      </c>
      <c r="B57" s="8" t="s">
        <v>23</v>
      </c>
      <c r="C57" s="8" t="s">
        <v>24</v>
      </c>
      <c r="D57" s="8">
        <v>854.88</v>
      </c>
      <c r="E57" s="18">
        <v>101</v>
      </c>
      <c r="F57" s="8">
        <v>6</v>
      </c>
      <c r="G57" s="1" t="str">
        <f t="shared" si="0"/>
        <v>İBİRLER1016</v>
      </c>
      <c r="H57" s="8"/>
      <c r="I57" s="9" t="e">
        <f>IF(VLOOKUP(G57,'Bereketli Satış'!J:AK,5,0)="","",VLOOKUP(G57,'Bereketli Satış'!J:AK,5,0))</f>
        <v>#N/A</v>
      </c>
      <c r="J57" s="9" t="e">
        <f>IF(VLOOKUP(G57,'Bereketli Satış'!J:AK,28,0)="","",VLOOKUP(G57,'Bereketli Satış'!J:AK,28,0))</f>
        <v>#N/A</v>
      </c>
      <c r="K57" s="9"/>
      <c r="L57" s="128"/>
      <c r="M57" s="100" t="e">
        <f>IF(VLOOKUP(G57,'Bereketli Satış'!J:AK,30,0)="","",VLOOKUP(G57,'Bereketli Satış'!J:AK,30,0))</f>
        <v>#N/A</v>
      </c>
      <c r="N57" s="100"/>
      <c r="O57" s="100"/>
      <c r="P57" s="9" t="e">
        <f>IF(VLOOKUP(G57,'Bereketli Satış'!J:AK,32,0)="","",VLOOKUP(G57,'Bereketli Satış'!J:AK,32,0))</f>
        <v>#N/A</v>
      </c>
      <c r="Q57" s="100"/>
      <c r="R57" s="100"/>
    </row>
    <row r="58" spans="1:18">
      <c r="A58" s="8" t="s">
        <v>17</v>
      </c>
      <c r="B58" s="8" t="s">
        <v>21</v>
      </c>
      <c r="C58" s="8" t="s">
        <v>22</v>
      </c>
      <c r="D58" s="8">
        <v>60</v>
      </c>
      <c r="E58" s="18">
        <v>241</v>
      </c>
      <c r="F58" s="8">
        <v>6</v>
      </c>
      <c r="G58" s="1" t="str">
        <f t="shared" si="0"/>
        <v>KİLLİK2416</v>
      </c>
      <c r="H58" s="8"/>
      <c r="I58" s="9" t="e">
        <f>IF(VLOOKUP(G58,'Bereketli Satış'!J:AK,5,0)="","",VLOOKUP(G58,'Bereketli Satış'!J:AK,5,0))</f>
        <v>#N/A</v>
      </c>
      <c r="J58" s="9" t="e">
        <f>IF(VLOOKUP(G58,'Bereketli Satış'!J:AK,28,0)="","",VLOOKUP(G58,'Bereketli Satış'!J:AK,28,0))</f>
        <v>#N/A</v>
      </c>
      <c r="K58" s="100"/>
      <c r="L58" s="128"/>
      <c r="M58" s="100" t="e">
        <f>IF(VLOOKUP(G58,'Bereketli Satış'!J:AK,30,0)="","",VLOOKUP(G58,'Bereketli Satış'!J:AK,30,0))</f>
        <v>#N/A</v>
      </c>
      <c r="N58" s="100"/>
      <c r="O58" s="100"/>
      <c r="P58" s="9" t="e">
        <f>IF(VLOOKUP(G58,'Bereketli Satış'!J:AK,32,0)="","",VLOOKUP(G58,'Bereketli Satış'!J:AK,32,0))</f>
        <v>#N/A</v>
      </c>
      <c r="Q58" s="100"/>
      <c r="R58" s="100"/>
    </row>
    <row r="59" spans="1:18">
      <c r="A59" s="8" t="s">
        <v>17</v>
      </c>
      <c r="B59" s="8" t="s">
        <v>18</v>
      </c>
      <c r="C59" s="8" t="s">
        <v>25</v>
      </c>
      <c r="D59" s="8">
        <v>1140.3599999999999</v>
      </c>
      <c r="E59" s="18">
        <v>215</v>
      </c>
      <c r="F59" s="8">
        <v>20</v>
      </c>
      <c r="G59" s="1" t="str">
        <f t="shared" si="0"/>
        <v>BOYACIK21520</v>
      </c>
      <c r="H59" s="8"/>
      <c r="I59" s="9" t="e">
        <f>IF(VLOOKUP(G59,'Bereketli Satış'!J:AK,5,0)="","",VLOOKUP(G59,'Bereketli Satış'!J:AK,5,0))</f>
        <v>#N/A</v>
      </c>
      <c r="J59" s="9" t="e">
        <f>IF(VLOOKUP(G59,'Bereketli Satış'!J:AK,28,0)="","",VLOOKUP(G59,'Bereketli Satış'!J:AK,28,0))</f>
        <v>#N/A</v>
      </c>
      <c r="K59" s="100"/>
      <c r="L59" s="128"/>
      <c r="M59" s="100" t="e">
        <f>IF(VLOOKUP(G59,'Bereketli Satış'!J:AK,30,0)="","",VLOOKUP(G59,'Bereketli Satış'!J:AK,30,0))</f>
        <v>#N/A</v>
      </c>
      <c r="N59" s="100"/>
      <c r="O59" s="100"/>
      <c r="P59" s="9" t="e">
        <f>IF(VLOOKUP(G59,'Bereketli Satış'!J:AK,32,0)="","",VLOOKUP(G59,'Bereketli Satış'!J:AK,32,0))</f>
        <v>#N/A</v>
      </c>
      <c r="Q59" s="100"/>
      <c r="R59" s="100"/>
    </row>
    <row r="60" spans="1:18">
      <c r="A60" s="8" t="s">
        <v>17</v>
      </c>
      <c r="B60" s="8" t="s">
        <v>18</v>
      </c>
      <c r="C60" s="8" t="s">
        <v>20</v>
      </c>
      <c r="D60" s="24">
        <v>2059.02</v>
      </c>
      <c r="E60" s="18">
        <v>103</v>
      </c>
      <c r="F60" s="8">
        <v>558</v>
      </c>
      <c r="G60" s="1" t="str">
        <f t="shared" si="0"/>
        <v>MİNNETLER103558</v>
      </c>
      <c r="H60" s="8"/>
      <c r="I60" s="9" t="e">
        <f>IF(VLOOKUP(G60,'Bereketli Satış'!J:AK,5,0)="","",VLOOKUP(G60,'Bereketli Satış'!J:AK,5,0))</f>
        <v>#N/A</v>
      </c>
      <c r="J60" s="9" t="e">
        <f>IF(VLOOKUP(G60,'Bereketli Satış'!J:AK,28,0)="","",VLOOKUP(G60,'Bereketli Satış'!J:AK,28,0))</f>
        <v>#N/A</v>
      </c>
      <c r="K60" s="100"/>
      <c r="L60" s="128"/>
      <c r="M60" s="100" t="e">
        <f>IF(VLOOKUP(G60,'Bereketli Satış'!J:AK,30,0)="","",VLOOKUP(G60,'Bereketli Satış'!J:AK,30,0))</f>
        <v>#N/A</v>
      </c>
      <c r="N60" s="100"/>
      <c r="O60" s="100"/>
      <c r="P60" s="9" t="e">
        <f>IF(VLOOKUP(G60,'Bereketli Satış'!J:AK,32,0)="","",VLOOKUP(G60,'Bereketli Satış'!J:AK,32,0))</f>
        <v>#N/A</v>
      </c>
      <c r="Q60" s="100"/>
      <c r="R60" s="100"/>
    </row>
    <row r="61" spans="1:18">
      <c r="A61" s="8" t="s">
        <v>14</v>
      </c>
      <c r="B61" s="8" t="s">
        <v>23</v>
      </c>
      <c r="C61" s="8" t="s">
        <v>26</v>
      </c>
      <c r="D61" s="8">
        <v>879.72</v>
      </c>
      <c r="E61" s="8">
        <v>105</v>
      </c>
      <c r="F61" s="8">
        <v>13</v>
      </c>
      <c r="G61" s="1" t="str">
        <f t="shared" si="0"/>
        <v>KALAYCILAR10513</v>
      </c>
      <c r="H61" s="8"/>
      <c r="I61" s="9" t="e">
        <f>IF(VLOOKUP(G61,'Bereketli Satış'!J:AK,5,0)="","",VLOOKUP(G61,'Bereketli Satış'!J:AK,5,0))</f>
        <v>#N/A</v>
      </c>
      <c r="J61" s="9" t="e">
        <f>IF(VLOOKUP(G61,'Bereketli Satış'!J:AK,28,0)="","",VLOOKUP(G61,'Bereketli Satış'!J:AK,28,0))</f>
        <v>#N/A</v>
      </c>
      <c r="K61" s="100"/>
      <c r="L61" s="128"/>
      <c r="M61" s="100" t="e">
        <f>IF(VLOOKUP(G61,'Bereketli Satış'!J:AK,30,0)="","",VLOOKUP(G61,'Bereketli Satış'!J:AK,30,0))</f>
        <v>#N/A</v>
      </c>
      <c r="N61" s="9"/>
      <c r="O61" s="9"/>
      <c r="P61" s="9" t="e">
        <f>IF(VLOOKUP(G61,'Bereketli Satış'!J:AK,32,0)="","",VLOOKUP(G61,'Bereketli Satış'!J:AK,32,0))</f>
        <v>#N/A</v>
      </c>
      <c r="Q61" s="9"/>
      <c r="R61" s="9"/>
    </row>
    <row r="62" spans="1:18">
      <c r="A62" s="8" t="s">
        <v>14</v>
      </c>
      <c r="B62" s="8" t="s">
        <v>23</v>
      </c>
      <c r="C62" s="8" t="s">
        <v>27</v>
      </c>
      <c r="D62" s="8">
        <v>987.78</v>
      </c>
      <c r="E62" s="8">
        <v>113</v>
      </c>
      <c r="F62" s="3">
        <v>5</v>
      </c>
      <c r="G62" s="1" t="str">
        <f t="shared" si="0"/>
        <v>NAİPLİ1135</v>
      </c>
      <c r="H62" s="3"/>
      <c r="I62" s="9" t="e">
        <f>IF(VLOOKUP(G62,'Bereketli Satış'!J:AK,5,0)="","",VLOOKUP(G62,'Bereketli Satış'!J:AK,5,0))</f>
        <v>#N/A</v>
      </c>
      <c r="J62" s="9" t="e">
        <f>IF(VLOOKUP(G62,'Bereketli Satış'!J:AK,28,0)="","",VLOOKUP(G62,'Bereketli Satış'!J:AK,28,0))</f>
        <v>#N/A</v>
      </c>
      <c r="K62" s="9"/>
      <c r="L62" s="128"/>
      <c r="M62" s="100" t="e">
        <f>IF(VLOOKUP(G62,'Bereketli Satış'!J:AK,30,0)="","",VLOOKUP(G62,'Bereketli Satış'!J:AK,30,0))</f>
        <v>#N/A</v>
      </c>
      <c r="N62" s="9"/>
      <c r="O62" s="9"/>
      <c r="P62" s="9" t="e">
        <f>IF(VLOOKUP(G62,'Bereketli Satış'!J:AK,32,0)="","",VLOOKUP(G62,'Bereketli Satış'!J:AK,32,0))</f>
        <v>#N/A</v>
      </c>
      <c r="Q62" s="9"/>
      <c r="R62" s="9"/>
    </row>
    <row r="63" spans="1:18">
      <c r="A63" s="8" t="s">
        <v>14</v>
      </c>
      <c r="B63" s="8" t="s">
        <v>28</v>
      </c>
      <c r="C63" s="8" t="s">
        <v>29</v>
      </c>
      <c r="D63" s="8">
        <v>301.66000000000003</v>
      </c>
      <c r="E63" s="8">
        <v>170</v>
      </c>
      <c r="F63" s="1">
        <v>2</v>
      </c>
      <c r="G63" s="1" t="str">
        <f t="shared" si="0"/>
        <v>AŞAĞIMUSALAR1702</v>
      </c>
      <c r="H63" s="1"/>
      <c r="I63" s="9" t="e">
        <f>IF(VLOOKUP(G63,'Bereketli Satış'!J:AK,5,0)="","",VLOOKUP(G63,'Bereketli Satış'!J:AK,5,0))</f>
        <v>#N/A</v>
      </c>
      <c r="J63" s="9" t="e">
        <f>IF(VLOOKUP(G63,'Bereketli Satış'!J:AK,28,0)="","",VLOOKUP(G63,'Bereketli Satış'!J:AK,28,0))</f>
        <v>#N/A</v>
      </c>
      <c r="K63" s="9"/>
      <c r="L63" s="128"/>
      <c r="M63" s="100" t="e">
        <f>IF(VLOOKUP(G63,'Bereketli Satış'!J:AK,30,0)="","",VLOOKUP(G63,'Bereketli Satış'!J:AK,30,0))</f>
        <v>#N/A</v>
      </c>
      <c r="N63" s="9"/>
      <c r="O63" s="9"/>
      <c r="P63" s="9" t="e">
        <f>IF(VLOOKUP(G63,'Bereketli Satış'!J:AK,32,0)="","",VLOOKUP(G63,'Bereketli Satış'!J:AK,32,0))</f>
        <v>#N/A</v>
      </c>
      <c r="Q63" s="9"/>
      <c r="R63" s="9"/>
    </row>
    <row r="64" spans="1:18">
      <c r="A64" s="8" t="s">
        <v>30</v>
      </c>
      <c r="B64" s="8" t="s">
        <v>31</v>
      </c>
      <c r="C64" s="8" t="s">
        <v>32</v>
      </c>
      <c r="D64" s="8">
        <v>270.14999999999998</v>
      </c>
      <c r="E64" s="8">
        <v>316</v>
      </c>
      <c r="F64" s="1">
        <v>27</v>
      </c>
      <c r="G64" s="1" t="str">
        <f t="shared" si="0"/>
        <v>CAMİKEBİR31627</v>
      </c>
      <c r="H64" s="1"/>
      <c r="I64" s="9" t="e">
        <f>IF(VLOOKUP(G64,'Bereketli Satış'!J:AK,5,0)="","",VLOOKUP(G64,'Bereketli Satış'!J:AK,5,0))</f>
        <v>#N/A</v>
      </c>
      <c r="J64" s="9" t="e">
        <f>IF(VLOOKUP(G64,'Bereketli Satış'!J:AK,28,0)="","",VLOOKUP(G64,'Bereketli Satış'!J:AK,28,0))</f>
        <v>#N/A</v>
      </c>
      <c r="K64" s="9"/>
      <c r="L64" s="128"/>
      <c r="M64" s="100" t="e">
        <f>IF(VLOOKUP(G64,'Bereketli Satış'!J:AK,30,0)="","",VLOOKUP(G64,'Bereketli Satış'!J:AK,30,0))</f>
        <v>#N/A</v>
      </c>
      <c r="N64" s="9"/>
      <c r="O64" s="9"/>
      <c r="P64" s="9" t="e">
        <f>IF(VLOOKUP(G64,'Bereketli Satış'!J:AK,32,0)="","",VLOOKUP(G64,'Bereketli Satış'!J:AK,32,0))</f>
        <v>#N/A</v>
      </c>
      <c r="Q64" s="9"/>
      <c r="R64" s="9"/>
    </row>
    <row r="65" spans="1:18">
      <c r="A65" s="8" t="s">
        <v>14</v>
      </c>
      <c r="B65" s="8" t="s">
        <v>33</v>
      </c>
      <c r="C65" s="8" t="s">
        <v>34</v>
      </c>
      <c r="D65" s="8">
        <v>549.23</v>
      </c>
      <c r="E65" s="8">
        <v>104</v>
      </c>
      <c r="F65" s="1">
        <v>12</v>
      </c>
      <c r="G65" s="1" t="str">
        <f t="shared" si="0"/>
        <v>ARMUTLU10412</v>
      </c>
      <c r="H65" s="1"/>
      <c r="I65" s="9" t="e">
        <f>IF(VLOOKUP(G65,'Bereketli Satış'!J:AK,5,0)="","",VLOOKUP(G65,'Bereketli Satış'!J:AK,5,0))</f>
        <v>#N/A</v>
      </c>
      <c r="J65" s="9" t="e">
        <f>IF(VLOOKUP(G65,'Bereketli Satış'!J:AK,28,0)="","",VLOOKUP(G65,'Bereketli Satış'!J:AK,28,0))</f>
        <v>#N/A</v>
      </c>
      <c r="K65" s="9"/>
      <c r="L65" s="128"/>
      <c r="M65" s="100" t="e">
        <f>IF(VLOOKUP(G65,'Bereketli Satış'!J:AK,30,0)="","",VLOOKUP(G65,'Bereketli Satış'!J:AK,30,0))</f>
        <v>#N/A</v>
      </c>
      <c r="N65" s="100"/>
      <c r="O65" s="100"/>
      <c r="P65" s="9" t="e">
        <f>IF(VLOOKUP(G65,'Bereketli Satış'!J:AK,32,0)="","",VLOOKUP(G65,'Bereketli Satış'!J:AK,32,0))</f>
        <v>#N/A</v>
      </c>
      <c r="Q65" s="100"/>
      <c r="R65" s="100"/>
    </row>
    <row r="66" spans="1:18">
      <c r="A66" s="8" t="s">
        <v>17</v>
      </c>
      <c r="B66" s="8" t="s">
        <v>18</v>
      </c>
      <c r="C66" s="8" t="s">
        <v>35</v>
      </c>
      <c r="D66" s="24">
        <v>1528.07</v>
      </c>
      <c r="E66" s="18">
        <v>128</v>
      </c>
      <c r="F66" s="8">
        <v>2</v>
      </c>
      <c r="G66" s="1" t="str">
        <f t="shared" si="0"/>
        <v>KULALAR1282</v>
      </c>
      <c r="H66" s="8"/>
      <c r="I66" s="9" t="e">
        <f>IF(VLOOKUP(G66,'Bereketli Satış'!J:AK,5,0)="","",VLOOKUP(G66,'Bereketli Satış'!J:AK,5,0))</f>
        <v>#N/A</v>
      </c>
      <c r="J66" s="9" t="e">
        <f>IF(VLOOKUP(G66,'Bereketli Satış'!J:AK,28,0)="","",VLOOKUP(G66,'Bereketli Satış'!J:AK,28,0))</f>
        <v>#N/A</v>
      </c>
      <c r="K66" s="100"/>
      <c r="L66" s="128"/>
      <c r="M66" s="100" t="e">
        <f>IF(VLOOKUP(G66,'Bereketli Satış'!J:AK,30,0)="","",VLOOKUP(G66,'Bereketli Satış'!J:AK,30,0))</f>
        <v>#N/A</v>
      </c>
      <c r="N66" s="9"/>
      <c r="O66" s="9"/>
      <c r="P66" s="9" t="e">
        <f>IF(VLOOKUP(G66,'Bereketli Satış'!J:AK,32,0)="","",VLOOKUP(G66,'Bereketli Satış'!J:AK,32,0))</f>
        <v>#N/A</v>
      </c>
      <c r="Q66" s="9"/>
      <c r="R66" s="9"/>
    </row>
    <row r="67" spans="1:18">
      <c r="A67" s="8" t="s">
        <v>14</v>
      </c>
      <c r="B67" s="8" t="s">
        <v>28</v>
      </c>
      <c r="C67" s="8" t="s">
        <v>29</v>
      </c>
      <c r="D67" s="8">
        <v>301.66000000000003</v>
      </c>
      <c r="E67" s="8">
        <v>170</v>
      </c>
      <c r="F67" s="1">
        <v>4</v>
      </c>
      <c r="G67" s="1" t="str">
        <f t="shared" ref="G67:G130" si="1">C67&amp;E67&amp;F67</f>
        <v>AŞAĞIMUSALAR1704</v>
      </c>
      <c r="H67" s="1"/>
      <c r="I67" s="9" t="e">
        <f>IF(VLOOKUP(G67,'Bereketli Satış'!J:AK,5,0)="","",VLOOKUP(G67,'Bereketli Satış'!J:AK,5,0))</f>
        <v>#N/A</v>
      </c>
      <c r="J67" s="9" t="e">
        <f>IF(VLOOKUP(G67,'Bereketli Satış'!J:AK,28,0)="","",VLOOKUP(G67,'Bereketli Satış'!J:AK,28,0))</f>
        <v>#N/A</v>
      </c>
      <c r="K67" s="9"/>
      <c r="L67" s="128"/>
      <c r="M67" s="100" t="e">
        <f>IF(VLOOKUP(G67,'Bereketli Satış'!J:AK,30,0)="","",VLOOKUP(G67,'Bereketli Satış'!J:AK,30,0))</f>
        <v>#N/A</v>
      </c>
      <c r="N67" s="9"/>
      <c r="O67" s="9"/>
      <c r="P67" s="9" t="e">
        <f>IF(VLOOKUP(G67,'Bereketli Satış'!J:AK,32,0)="","",VLOOKUP(G67,'Bereketli Satış'!J:AK,32,0))</f>
        <v>#N/A</v>
      </c>
      <c r="Q67" s="9"/>
      <c r="R67" s="9"/>
    </row>
    <row r="68" spans="1:18">
      <c r="A68" s="8" t="s">
        <v>36</v>
      </c>
      <c r="B68" s="8" t="s">
        <v>37</v>
      </c>
      <c r="C68" s="8" t="s">
        <v>38</v>
      </c>
      <c r="D68" s="8">
        <v>400</v>
      </c>
      <c r="E68" s="8">
        <v>911</v>
      </c>
      <c r="F68" s="3">
        <v>4</v>
      </c>
      <c r="G68" s="1" t="str">
        <f t="shared" si="1"/>
        <v>GÜNEYCE9114</v>
      </c>
      <c r="H68" s="3"/>
      <c r="I68" s="9" t="e">
        <f>IF(VLOOKUP(G68,'Bereketli Satış'!J:AK,5,0)="","",VLOOKUP(G68,'Bereketli Satış'!J:AK,5,0))</f>
        <v>#N/A</v>
      </c>
      <c r="J68" s="9" t="e">
        <f>IF(VLOOKUP(G68,'Bereketli Satış'!J:AK,28,0)="","",VLOOKUP(G68,'Bereketli Satış'!J:AK,28,0))</f>
        <v>#N/A</v>
      </c>
      <c r="K68" s="9"/>
      <c r="L68" s="128"/>
      <c r="M68" s="100" t="e">
        <f>IF(VLOOKUP(G68,'Bereketli Satış'!J:AK,30,0)="","",VLOOKUP(G68,'Bereketli Satış'!J:AK,30,0))</f>
        <v>#N/A</v>
      </c>
      <c r="N68" s="9"/>
      <c r="O68" s="9"/>
      <c r="P68" s="9" t="e">
        <f>IF(VLOOKUP(G68,'Bereketli Satış'!J:AK,32,0)="","",VLOOKUP(G68,'Bereketli Satış'!J:AK,32,0))</f>
        <v>#N/A</v>
      </c>
      <c r="Q68" s="9"/>
      <c r="R68" s="9"/>
    </row>
    <row r="69" spans="1:18">
      <c r="A69" s="8" t="s">
        <v>36</v>
      </c>
      <c r="B69" s="8" t="s">
        <v>37</v>
      </c>
      <c r="C69" s="8" t="s">
        <v>38</v>
      </c>
      <c r="D69" s="8">
        <v>400</v>
      </c>
      <c r="E69" s="8">
        <v>911</v>
      </c>
      <c r="F69" s="3">
        <v>3</v>
      </c>
      <c r="G69" s="1" t="str">
        <f t="shared" si="1"/>
        <v>GÜNEYCE9113</v>
      </c>
      <c r="H69" s="3"/>
      <c r="I69" s="9" t="e">
        <f>IF(VLOOKUP(G69,'Bereketli Satış'!J:AK,5,0)="","",VLOOKUP(G69,'Bereketli Satış'!J:AK,5,0))</f>
        <v>#N/A</v>
      </c>
      <c r="J69" s="9" t="e">
        <f>IF(VLOOKUP(G69,'Bereketli Satış'!J:AK,28,0)="","",VLOOKUP(G69,'Bereketli Satış'!J:AK,28,0))</f>
        <v>#N/A</v>
      </c>
      <c r="K69" s="9"/>
      <c r="L69" s="128"/>
      <c r="M69" s="100" t="e">
        <f>IF(VLOOKUP(G69,'Bereketli Satış'!J:AK,30,0)="","",VLOOKUP(G69,'Bereketli Satış'!J:AK,30,0))</f>
        <v>#N/A</v>
      </c>
      <c r="N69" s="9"/>
      <c r="O69" s="9"/>
      <c r="P69" s="9" t="e">
        <f>IF(VLOOKUP(G69,'Bereketli Satış'!J:AK,32,0)="","",VLOOKUP(G69,'Bereketli Satış'!J:AK,32,0))</f>
        <v>#N/A</v>
      </c>
      <c r="Q69" s="9"/>
      <c r="R69" s="9"/>
    </row>
    <row r="70" spans="1:18">
      <c r="A70" s="8" t="s">
        <v>36</v>
      </c>
      <c r="B70" s="8" t="s">
        <v>37</v>
      </c>
      <c r="C70" s="8" t="s">
        <v>38</v>
      </c>
      <c r="D70" s="8">
        <v>400</v>
      </c>
      <c r="E70" s="8">
        <v>911</v>
      </c>
      <c r="F70" s="3">
        <v>16</v>
      </c>
      <c r="G70" s="1" t="str">
        <f t="shared" si="1"/>
        <v>GÜNEYCE91116</v>
      </c>
      <c r="H70" s="3"/>
      <c r="I70" s="9" t="e">
        <f>IF(VLOOKUP(G70,'Bereketli Satış'!J:AK,5,0)="","",VLOOKUP(G70,'Bereketli Satış'!J:AK,5,0))</f>
        <v>#N/A</v>
      </c>
      <c r="J70" s="9" t="e">
        <f>IF(VLOOKUP(G70,'Bereketli Satış'!J:AK,28,0)="","",VLOOKUP(G70,'Bereketli Satış'!J:AK,28,0))</f>
        <v>#N/A</v>
      </c>
      <c r="K70" s="9"/>
      <c r="L70" s="128"/>
      <c r="M70" s="100" t="e">
        <f>IF(VLOOKUP(G70,'Bereketli Satış'!J:AK,30,0)="","",VLOOKUP(G70,'Bereketli Satış'!J:AK,30,0))</f>
        <v>#N/A</v>
      </c>
      <c r="N70" s="9"/>
      <c r="O70" s="9"/>
      <c r="P70" s="9" t="e">
        <f>IF(VLOOKUP(G70,'Bereketli Satış'!J:AK,32,0)="","",VLOOKUP(G70,'Bereketli Satış'!J:AK,32,0))</f>
        <v>#N/A</v>
      </c>
      <c r="Q70" s="9"/>
      <c r="R70" s="9"/>
    </row>
    <row r="71" spans="1:18">
      <c r="A71" s="8" t="s">
        <v>36</v>
      </c>
      <c r="B71" s="8" t="s">
        <v>37</v>
      </c>
      <c r="C71" s="8" t="s">
        <v>38</v>
      </c>
      <c r="D71" s="8">
        <v>400</v>
      </c>
      <c r="E71" s="8">
        <v>911</v>
      </c>
      <c r="F71" s="3">
        <v>17</v>
      </c>
      <c r="G71" s="1" t="str">
        <f t="shared" si="1"/>
        <v>GÜNEYCE91117</v>
      </c>
      <c r="H71" s="3"/>
      <c r="I71" s="9" t="e">
        <f>IF(VLOOKUP(G71,'Bereketli Satış'!J:AK,5,0)="","",VLOOKUP(G71,'Bereketli Satış'!J:AK,5,0))</f>
        <v>#N/A</v>
      </c>
      <c r="J71" s="9" t="e">
        <f>IF(VLOOKUP(G71,'Bereketli Satış'!J:AK,28,0)="","",VLOOKUP(G71,'Bereketli Satış'!J:AK,28,0))</f>
        <v>#N/A</v>
      </c>
      <c r="K71" s="9"/>
      <c r="L71" s="128"/>
      <c r="M71" s="100" t="e">
        <f>IF(VLOOKUP(G71,'Bereketli Satış'!J:AK,30,0)="","",VLOOKUP(G71,'Bereketli Satış'!J:AK,30,0))</f>
        <v>#N/A</v>
      </c>
      <c r="N71" s="9"/>
      <c r="O71" s="9"/>
      <c r="P71" s="9" t="e">
        <f>IF(VLOOKUP(G71,'Bereketli Satış'!J:AK,32,0)="","",VLOOKUP(G71,'Bereketli Satış'!J:AK,32,0))</f>
        <v>#N/A</v>
      </c>
      <c r="Q71" s="9"/>
      <c r="R71" s="9"/>
    </row>
    <row r="72" spans="1:18">
      <c r="A72" s="8" t="s">
        <v>36</v>
      </c>
      <c r="B72" s="8" t="s">
        <v>37</v>
      </c>
      <c r="C72" s="8" t="s">
        <v>38</v>
      </c>
      <c r="D72" s="8">
        <v>400</v>
      </c>
      <c r="E72" s="8">
        <v>911</v>
      </c>
      <c r="F72" s="3">
        <v>27</v>
      </c>
      <c r="G72" s="1" t="str">
        <f t="shared" si="1"/>
        <v>GÜNEYCE91127</v>
      </c>
      <c r="H72" s="3"/>
      <c r="I72" s="9" t="e">
        <f>IF(VLOOKUP(G72,'Bereketli Satış'!J:AK,5,0)="","",VLOOKUP(G72,'Bereketli Satış'!J:AK,5,0))</f>
        <v>#N/A</v>
      </c>
      <c r="J72" s="9" t="e">
        <f>IF(VLOOKUP(G72,'Bereketli Satış'!J:AK,28,0)="","",VLOOKUP(G72,'Bereketli Satış'!J:AK,28,0))</f>
        <v>#N/A</v>
      </c>
      <c r="K72" s="9"/>
      <c r="L72" s="128"/>
      <c r="M72" s="100" t="e">
        <f>IF(VLOOKUP(G72,'Bereketli Satış'!J:AK,30,0)="","",VLOOKUP(G72,'Bereketli Satış'!J:AK,30,0))</f>
        <v>#N/A</v>
      </c>
      <c r="N72" s="9"/>
      <c r="O72" s="9"/>
      <c r="P72" s="9" t="e">
        <f>IF(VLOOKUP(G72,'Bereketli Satış'!J:AK,32,0)="","",VLOOKUP(G72,'Bereketli Satış'!J:AK,32,0))</f>
        <v>#N/A</v>
      </c>
      <c r="Q72" s="9"/>
      <c r="R72" s="9"/>
    </row>
    <row r="73" spans="1:18">
      <c r="A73" s="8" t="s">
        <v>36</v>
      </c>
      <c r="B73" s="8" t="s">
        <v>37</v>
      </c>
      <c r="C73" s="8" t="s">
        <v>38</v>
      </c>
      <c r="D73" s="8">
        <v>400</v>
      </c>
      <c r="E73" s="8">
        <v>911</v>
      </c>
      <c r="F73" s="3">
        <v>28</v>
      </c>
      <c r="G73" s="1" t="str">
        <f t="shared" si="1"/>
        <v>GÜNEYCE91128</v>
      </c>
      <c r="H73" s="3"/>
      <c r="I73" s="9" t="e">
        <f>IF(VLOOKUP(G73,'Bereketli Satış'!J:AK,5,0)="","",VLOOKUP(G73,'Bereketli Satış'!J:AK,5,0))</f>
        <v>#N/A</v>
      </c>
      <c r="J73" s="9" t="e">
        <f>IF(VLOOKUP(G73,'Bereketli Satış'!J:AK,28,0)="","",VLOOKUP(G73,'Bereketli Satış'!J:AK,28,0))</f>
        <v>#N/A</v>
      </c>
      <c r="K73" s="9"/>
      <c r="L73" s="128"/>
      <c r="M73" s="100" t="e">
        <f>IF(VLOOKUP(G73,'Bereketli Satış'!J:AK,30,0)="","",VLOOKUP(G73,'Bereketli Satış'!J:AK,30,0))</f>
        <v>#N/A</v>
      </c>
      <c r="N73" s="9"/>
      <c r="O73" s="9"/>
      <c r="P73" s="9" t="e">
        <f>IF(VLOOKUP(G73,'Bereketli Satış'!J:AK,32,0)="","",VLOOKUP(G73,'Bereketli Satış'!J:AK,32,0))</f>
        <v>#N/A</v>
      </c>
      <c r="Q73" s="9"/>
      <c r="R73" s="9"/>
    </row>
    <row r="74" spans="1:18">
      <c r="A74" s="8" t="s">
        <v>36</v>
      </c>
      <c r="B74" s="8" t="s">
        <v>37</v>
      </c>
      <c r="C74" s="8" t="s">
        <v>38</v>
      </c>
      <c r="D74" s="8">
        <v>400</v>
      </c>
      <c r="E74" s="8">
        <v>911</v>
      </c>
      <c r="F74" s="3">
        <v>29</v>
      </c>
      <c r="G74" s="1" t="str">
        <f t="shared" si="1"/>
        <v>GÜNEYCE91129</v>
      </c>
      <c r="H74" s="3"/>
      <c r="I74" s="9" t="e">
        <f>IF(VLOOKUP(G74,'Bereketli Satış'!J:AK,5,0)="","",VLOOKUP(G74,'Bereketli Satış'!J:AK,5,0))</f>
        <v>#N/A</v>
      </c>
      <c r="J74" s="9" t="e">
        <f>IF(VLOOKUP(G74,'Bereketli Satış'!J:AK,28,0)="","",VLOOKUP(G74,'Bereketli Satış'!J:AK,28,0))</f>
        <v>#N/A</v>
      </c>
      <c r="K74" s="9"/>
      <c r="L74" s="128"/>
      <c r="M74" s="100" t="e">
        <f>IF(VLOOKUP(G74,'Bereketli Satış'!J:AK,30,0)="","",VLOOKUP(G74,'Bereketli Satış'!J:AK,30,0))</f>
        <v>#N/A</v>
      </c>
      <c r="N74" s="9"/>
      <c r="O74" s="9"/>
      <c r="P74" s="9" t="e">
        <f>IF(VLOOKUP(G74,'Bereketli Satış'!J:AK,32,0)="","",VLOOKUP(G74,'Bereketli Satış'!J:AK,32,0))</f>
        <v>#N/A</v>
      </c>
      <c r="Q74" s="9"/>
      <c r="R74" s="9"/>
    </row>
    <row r="75" spans="1:18">
      <c r="A75" s="8" t="s">
        <v>36</v>
      </c>
      <c r="B75" s="8" t="s">
        <v>37</v>
      </c>
      <c r="C75" s="8" t="s">
        <v>38</v>
      </c>
      <c r="D75" s="8">
        <v>400</v>
      </c>
      <c r="E75" s="8">
        <v>911</v>
      </c>
      <c r="F75" s="3">
        <v>30</v>
      </c>
      <c r="G75" s="1" t="str">
        <f t="shared" si="1"/>
        <v>GÜNEYCE91130</v>
      </c>
      <c r="H75" s="3"/>
      <c r="I75" s="9" t="e">
        <f>IF(VLOOKUP(G75,'Bereketli Satış'!J:AK,5,0)="","",VLOOKUP(G75,'Bereketli Satış'!J:AK,5,0))</f>
        <v>#N/A</v>
      </c>
      <c r="J75" s="9" t="e">
        <f>IF(VLOOKUP(G75,'Bereketli Satış'!J:AK,28,0)="","",VLOOKUP(G75,'Bereketli Satış'!J:AK,28,0))</f>
        <v>#N/A</v>
      </c>
      <c r="K75" s="9"/>
      <c r="L75" s="128"/>
      <c r="M75" s="100" t="e">
        <f>IF(VLOOKUP(G75,'Bereketli Satış'!J:AK,30,0)="","",VLOOKUP(G75,'Bereketli Satış'!J:AK,30,0))</f>
        <v>#N/A</v>
      </c>
      <c r="N75" s="9"/>
      <c r="O75" s="9"/>
      <c r="P75" s="9" t="e">
        <f>IF(VLOOKUP(G75,'Bereketli Satış'!J:AK,32,0)="","",VLOOKUP(G75,'Bereketli Satış'!J:AK,32,0))</f>
        <v>#N/A</v>
      </c>
      <c r="Q75" s="9"/>
      <c r="R75" s="9"/>
    </row>
    <row r="76" spans="1:18">
      <c r="A76" s="8" t="s">
        <v>36</v>
      </c>
      <c r="B76" s="8" t="s">
        <v>37</v>
      </c>
      <c r="C76" s="8" t="s">
        <v>38</v>
      </c>
      <c r="D76" s="8">
        <v>400</v>
      </c>
      <c r="E76" s="8">
        <v>911</v>
      </c>
      <c r="F76" s="3">
        <v>42</v>
      </c>
      <c r="G76" s="1" t="str">
        <f t="shared" si="1"/>
        <v>GÜNEYCE91142</v>
      </c>
      <c r="H76" s="3"/>
      <c r="I76" s="9" t="e">
        <f>IF(VLOOKUP(G76,'Bereketli Satış'!J:AK,5,0)="","",VLOOKUP(G76,'Bereketli Satış'!J:AK,5,0))</f>
        <v>#N/A</v>
      </c>
      <c r="J76" s="9" t="e">
        <f>IF(VLOOKUP(G76,'Bereketli Satış'!J:AK,28,0)="","",VLOOKUP(G76,'Bereketli Satış'!J:AK,28,0))</f>
        <v>#N/A</v>
      </c>
      <c r="K76" s="9"/>
      <c r="L76" s="128"/>
      <c r="M76" s="100" t="e">
        <f>IF(VLOOKUP(G76,'Bereketli Satış'!J:AK,30,0)="","",VLOOKUP(G76,'Bereketli Satış'!J:AK,30,0))</f>
        <v>#N/A</v>
      </c>
      <c r="N76" s="9"/>
      <c r="O76" s="9"/>
      <c r="P76" s="9" t="e">
        <f>IF(VLOOKUP(G76,'Bereketli Satış'!J:AK,32,0)="","",VLOOKUP(G76,'Bereketli Satış'!J:AK,32,0))</f>
        <v>#N/A</v>
      </c>
      <c r="Q76" s="9"/>
      <c r="R76" s="9"/>
    </row>
    <row r="77" spans="1:18">
      <c r="A77" s="8" t="s">
        <v>17</v>
      </c>
      <c r="B77" s="8" t="s">
        <v>39</v>
      </c>
      <c r="C77" s="8" t="s">
        <v>40</v>
      </c>
      <c r="D77" s="8">
        <v>365.42</v>
      </c>
      <c r="E77" s="8">
        <v>103</v>
      </c>
      <c r="F77" s="8">
        <v>3</v>
      </c>
      <c r="G77" s="1" t="str">
        <f t="shared" si="1"/>
        <v>BEĞEL1033</v>
      </c>
      <c r="H77" s="8"/>
      <c r="I77" s="9" t="e">
        <f>IF(VLOOKUP(G77,'Bereketli Satış'!J:AK,5,0)="","",VLOOKUP(G77,'Bereketli Satış'!J:AK,5,0))</f>
        <v>#N/A</v>
      </c>
      <c r="J77" s="9" t="e">
        <f>IF(VLOOKUP(G77,'Bereketli Satış'!J:AK,28,0)="","",VLOOKUP(G77,'Bereketli Satış'!J:AK,28,0))</f>
        <v>#N/A</v>
      </c>
      <c r="K77" s="9"/>
      <c r="L77" s="128"/>
      <c r="M77" s="100" t="e">
        <f>IF(VLOOKUP(G77,'Bereketli Satış'!J:AK,30,0)="","",VLOOKUP(G77,'Bereketli Satış'!J:AK,30,0))</f>
        <v>#N/A</v>
      </c>
      <c r="N77" s="100"/>
      <c r="O77" s="100"/>
      <c r="P77" s="9" t="e">
        <f>IF(VLOOKUP(G77,'Bereketli Satış'!J:AK,32,0)="","",VLOOKUP(G77,'Bereketli Satış'!J:AK,32,0))</f>
        <v>#N/A</v>
      </c>
      <c r="Q77" s="100"/>
      <c r="R77" s="100"/>
    </row>
    <row r="78" spans="1:18">
      <c r="A78" s="8" t="s">
        <v>14</v>
      </c>
      <c r="B78" s="8" t="s">
        <v>23</v>
      </c>
      <c r="C78" s="8" t="s">
        <v>41</v>
      </c>
      <c r="D78" s="8">
        <v>489.34</v>
      </c>
      <c r="E78" s="8">
        <v>140</v>
      </c>
      <c r="F78" s="8">
        <v>1</v>
      </c>
      <c r="G78" s="1" t="str">
        <f t="shared" si="1"/>
        <v>BÜYÜKPINAR1401</v>
      </c>
      <c r="H78" s="8"/>
      <c r="I78" s="9" t="e">
        <f>IF(VLOOKUP(G78,'Bereketli Satış'!J:AK,5,0)="","",VLOOKUP(G78,'Bereketli Satış'!J:AK,5,0))</f>
        <v>#N/A</v>
      </c>
      <c r="J78" s="9" t="e">
        <f>IF(VLOOKUP(G78,'Bereketli Satış'!J:AK,28,0)="","",VLOOKUP(G78,'Bereketli Satış'!J:AK,28,0))</f>
        <v>#N/A</v>
      </c>
      <c r="K78" s="100"/>
      <c r="L78" s="128"/>
      <c r="M78" s="100" t="e">
        <f>IF(VLOOKUP(G78,'Bereketli Satış'!J:AK,30,0)="","",VLOOKUP(G78,'Bereketli Satış'!J:AK,30,0))</f>
        <v>#N/A</v>
      </c>
      <c r="N78" s="9"/>
      <c r="O78" s="9"/>
      <c r="P78" s="9" t="e">
        <f>IF(VLOOKUP(G78,'Bereketli Satış'!J:AK,32,0)="","",VLOOKUP(G78,'Bereketli Satış'!J:AK,32,0))</f>
        <v>#N/A</v>
      </c>
      <c r="Q78" s="9"/>
      <c r="R78" s="9"/>
    </row>
    <row r="79" spans="1:18">
      <c r="A79" s="8" t="s">
        <v>36</v>
      </c>
      <c r="B79" s="8" t="s">
        <v>37</v>
      </c>
      <c r="C79" s="8" t="s">
        <v>38</v>
      </c>
      <c r="D79" s="8">
        <v>400</v>
      </c>
      <c r="E79" s="8">
        <v>911</v>
      </c>
      <c r="F79" s="3">
        <v>20</v>
      </c>
      <c r="G79" s="1" t="str">
        <f t="shared" si="1"/>
        <v>GÜNEYCE91120</v>
      </c>
      <c r="H79" s="3"/>
      <c r="I79" s="9" t="e">
        <f>IF(VLOOKUP(G79,'Bereketli Satış'!J:AK,5,0)="","",VLOOKUP(G79,'Bereketli Satış'!J:AK,5,0))</f>
        <v>#N/A</v>
      </c>
      <c r="J79" s="9" t="e">
        <f>IF(VLOOKUP(G79,'Bereketli Satış'!J:AK,28,0)="","",VLOOKUP(G79,'Bereketli Satış'!J:AK,28,0))</f>
        <v>#N/A</v>
      </c>
      <c r="K79" s="9"/>
      <c r="L79" s="128"/>
      <c r="M79" s="100" t="e">
        <f>IF(VLOOKUP(G79,'Bereketli Satış'!J:AK,30,0)="","",VLOOKUP(G79,'Bereketli Satış'!J:AK,30,0))</f>
        <v>#N/A</v>
      </c>
      <c r="N79" s="9"/>
      <c r="O79" s="9"/>
      <c r="P79" s="9" t="e">
        <f>IF(VLOOKUP(G79,'Bereketli Satış'!J:AK,32,0)="","",VLOOKUP(G79,'Bereketli Satış'!J:AK,32,0))</f>
        <v>#N/A</v>
      </c>
      <c r="Q79" s="9"/>
      <c r="R79" s="9"/>
    </row>
    <row r="80" spans="1:18">
      <c r="A80" s="8" t="s">
        <v>14</v>
      </c>
      <c r="B80" s="8" t="s">
        <v>33</v>
      </c>
      <c r="C80" s="8" t="s">
        <v>42</v>
      </c>
      <c r="D80" s="8">
        <v>329.53</v>
      </c>
      <c r="E80" s="8">
        <v>122</v>
      </c>
      <c r="F80" s="1">
        <v>40</v>
      </c>
      <c r="G80" s="1" t="str">
        <f t="shared" si="1"/>
        <v>İBİLLER12240</v>
      </c>
      <c r="H80" s="1"/>
      <c r="I80" s="9" t="e">
        <f>IF(VLOOKUP(G80,'Bereketli Satış'!J:AK,5,0)="","",VLOOKUP(G80,'Bereketli Satış'!J:AK,5,0))</f>
        <v>#N/A</v>
      </c>
      <c r="J80" s="9" t="e">
        <f>IF(VLOOKUP(G80,'Bereketli Satış'!J:AK,28,0)="","",VLOOKUP(G80,'Bereketli Satış'!J:AK,28,0))</f>
        <v>#N/A</v>
      </c>
      <c r="K80" s="9"/>
      <c r="L80" s="128"/>
      <c r="M80" s="100" t="e">
        <f>IF(VLOOKUP(G80,'Bereketli Satış'!J:AK,30,0)="","",VLOOKUP(G80,'Bereketli Satış'!J:AK,30,0))</f>
        <v>#N/A</v>
      </c>
      <c r="N80" s="9"/>
      <c r="O80" s="9"/>
      <c r="P80" s="9" t="e">
        <f>IF(VLOOKUP(G80,'Bereketli Satış'!J:AK,32,0)="","",VLOOKUP(G80,'Bereketli Satış'!J:AK,32,0))</f>
        <v>#N/A</v>
      </c>
      <c r="Q80" s="9"/>
      <c r="R80" s="9"/>
    </row>
    <row r="81" spans="1:18">
      <c r="A81" s="8" t="s">
        <v>30</v>
      </c>
      <c r="B81" s="8" t="s">
        <v>31</v>
      </c>
      <c r="C81" s="8" t="s">
        <v>32</v>
      </c>
      <c r="D81" s="8">
        <v>258.7</v>
      </c>
      <c r="E81" s="8">
        <v>314</v>
      </c>
      <c r="F81" s="1">
        <v>11</v>
      </c>
      <c r="G81" s="1" t="str">
        <f t="shared" si="1"/>
        <v>CAMİKEBİR31411</v>
      </c>
      <c r="H81" s="1"/>
      <c r="I81" s="9" t="e">
        <f>IF(VLOOKUP(G81,'Bereketli Satış'!J:AK,5,0)="","",VLOOKUP(G81,'Bereketli Satış'!J:AK,5,0))</f>
        <v>#N/A</v>
      </c>
      <c r="J81" s="9" t="e">
        <f>IF(VLOOKUP(G81,'Bereketli Satış'!J:AK,28,0)="","",VLOOKUP(G81,'Bereketli Satış'!J:AK,28,0))</f>
        <v>#N/A</v>
      </c>
      <c r="K81" s="9"/>
      <c r="L81" s="128"/>
      <c r="M81" s="100" t="e">
        <f>IF(VLOOKUP(G81,'Bereketli Satış'!J:AK,30,0)="","",VLOOKUP(G81,'Bereketli Satış'!J:AK,30,0))</f>
        <v>#N/A</v>
      </c>
      <c r="N81" s="9"/>
      <c r="O81" s="9"/>
      <c r="P81" s="9" t="e">
        <f>IF(VLOOKUP(G81,'Bereketli Satış'!J:AK,32,0)="","",VLOOKUP(G81,'Bereketli Satış'!J:AK,32,0))</f>
        <v>#N/A</v>
      </c>
      <c r="Q81" s="9"/>
      <c r="R81" s="9"/>
    </row>
    <row r="82" spans="1:18">
      <c r="A82" s="8" t="s">
        <v>14</v>
      </c>
      <c r="B82" s="8" t="s">
        <v>43</v>
      </c>
      <c r="C82" s="8" t="s">
        <v>44</v>
      </c>
      <c r="D82" s="8">
        <v>4454.4799999999996</v>
      </c>
      <c r="E82" s="18">
        <v>173</v>
      </c>
      <c r="F82" s="8">
        <v>282</v>
      </c>
      <c r="G82" s="1" t="str">
        <f t="shared" si="1"/>
        <v>KAYAELİ173282</v>
      </c>
      <c r="H82" s="8"/>
      <c r="I82" s="9" t="e">
        <f>IF(VLOOKUP(G82,'Bereketli Satış'!J:AK,5,0)="","",VLOOKUP(G82,'Bereketli Satış'!J:AK,5,0))</f>
        <v>#N/A</v>
      </c>
      <c r="J82" s="9" t="e">
        <f>IF(VLOOKUP(G82,'Bereketli Satış'!J:AK,28,0)="","",VLOOKUP(G82,'Bereketli Satış'!J:AK,28,0))</f>
        <v>#N/A</v>
      </c>
      <c r="K82" s="9"/>
      <c r="L82" s="128"/>
      <c r="M82" s="100" t="e">
        <f>IF(VLOOKUP(G82,'Bereketli Satış'!J:AK,30,0)="","",VLOOKUP(G82,'Bereketli Satış'!J:AK,30,0))</f>
        <v>#N/A</v>
      </c>
      <c r="N82" s="9"/>
      <c r="O82" s="9"/>
      <c r="P82" s="9" t="e">
        <f>IF(VLOOKUP(G82,'Bereketli Satış'!J:AK,32,0)="","",VLOOKUP(G82,'Bereketli Satış'!J:AK,32,0))</f>
        <v>#N/A</v>
      </c>
      <c r="Q82" s="9"/>
      <c r="R82" s="9"/>
    </row>
    <row r="83" spans="1:18">
      <c r="A83" s="8" t="s">
        <v>14</v>
      </c>
      <c r="B83" s="8" t="s">
        <v>15</v>
      </c>
      <c r="C83" s="8" t="s">
        <v>16</v>
      </c>
      <c r="D83" s="8">
        <v>264.95999999999998</v>
      </c>
      <c r="E83" s="8">
        <v>161</v>
      </c>
      <c r="F83" s="1">
        <v>4</v>
      </c>
      <c r="G83" s="1" t="str">
        <f t="shared" si="1"/>
        <v>REŞADİYE1614</v>
      </c>
      <c r="H83" s="1"/>
      <c r="I83" s="9" t="e">
        <f>IF(VLOOKUP(G83,'Bereketli Satış'!J:AK,5,0)="","",VLOOKUP(G83,'Bereketli Satış'!J:AK,5,0))</f>
        <v>#N/A</v>
      </c>
      <c r="J83" s="9" t="e">
        <f>IF(VLOOKUP(G83,'Bereketli Satış'!J:AK,28,0)="","",VLOOKUP(G83,'Bereketli Satış'!J:AK,28,0))</f>
        <v>#N/A</v>
      </c>
      <c r="K83" s="9"/>
      <c r="L83" s="128"/>
      <c r="M83" s="100" t="e">
        <f>IF(VLOOKUP(G83,'Bereketli Satış'!J:AK,30,0)="","",VLOOKUP(G83,'Bereketli Satış'!J:AK,30,0))</f>
        <v>#N/A</v>
      </c>
      <c r="N83" s="9"/>
      <c r="O83" s="9"/>
      <c r="P83" s="9" t="e">
        <f>IF(VLOOKUP(G83,'Bereketli Satış'!J:AK,32,0)="","",VLOOKUP(G83,'Bereketli Satış'!J:AK,32,0))</f>
        <v>#N/A</v>
      </c>
      <c r="Q83" s="9"/>
      <c r="R83" s="9"/>
    </row>
    <row r="84" spans="1:18">
      <c r="A84" s="8" t="s">
        <v>14</v>
      </c>
      <c r="B84" s="8" t="s">
        <v>15</v>
      </c>
      <c r="C84" s="8" t="s">
        <v>16</v>
      </c>
      <c r="D84" s="8">
        <v>268.82</v>
      </c>
      <c r="E84" s="8">
        <v>161</v>
      </c>
      <c r="F84" s="1">
        <v>5</v>
      </c>
      <c r="G84" s="1" t="str">
        <f t="shared" si="1"/>
        <v>REŞADİYE1615</v>
      </c>
      <c r="H84" s="1"/>
      <c r="I84" s="9" t="e">
        <f>IF(VLOOKUP(G84,'Bereketli Satış'!J:AK,5,0)="","",VLOOKUP(G84,'Bereketli Satış'!J:AK,5,0))</f>
        <v>#N/A</v>
      </c>
      <c r="J84" s="9" t="e">
        <f>IF(VLOOKUP(G84,'Bereketli Satış'!J:AK,28,0)="","",VLOOKUP(G84,'Bereketli Satış'!J:AK,28,0))</f>
        <v>#N/A</v>
      </c>
      <c r="K84" s="9"/>
      <c r="L84" s="128"/>
      <c r="M84" s="100" t="e">
        <f>IF(VLOOKUP(G84,'Bereketli Satış'!J:AK,30,0)="","",VLOOKUP(G84,'Bereketli Satış'!J:AK,30,0))</f>
        <v>#N/A</v>
      </c>
      <c r="N84" s="100"/>
      <c r="O84" s="100"/>
      <c r="P84" s="9" t="e">
        <f>IF(VLOOKUP(G84,'Bereketli Satış'!J:AK,32,0)="","",VLOOKUP(G84,'Bereketli Satış'!J:AK,32,0))</f>
        <v>#N/A</v>
      </c>
      <c r="Q84" s="100"/>
      <c r="R84" s="100"/>
    </row>
    <row r="85" spans="1:18">
      <c r="A85" s="8" t="s">
        <v>14</v>
      </c>
      <c r="B85" s="8" t="s">
        <v>15</v>
      </c>
      <c r="C85" s="8" t="s">
        <v>16</v>
      </c>
      <c r="D85" s="8">
        <v>273.05</v>
      </c>
      <c r="E85" s="8">
        <v>158</v>
      </c>
      <c r="F85" s="1">
        <v>10</v>
      </c>
      <c r="G85" s="1" t="str">
        <f t="shared" si="1"/>
        <v>REŞADİYE15810</v>
      </c>
      <c r="H85" s="1"/>
      <c r="I85" s="9" t="e">
        <f>IF(VLOOKUP(G85,'Bereketli Satış'!J:AK,5,0)="","",VLOOKUP(G85,'Bereketli Satış'!J:AK,5,0))</f>
        <v>#N/A</v>
      </c>
      <c r="J85" s="9" t="e">
        <f>IF(VLOOKUP(G85,'Bereketli Satış'!J:AK,28,0)="","",VLOOKUP(G85,'Bereketli Satış'!J:AK,28,0))</f>
        <v>#N/A</v>
      </c>
      <c r="K85" s="100"/>
      <c r="L85" s="128"/>
      <c r="M85" s="100" t="e">
        <f>IF(VLOOKUP(G85,'Bereketli Satış'!J:AK,30,0)="","",VLOOKUP(G85,'Bereketli Satış'!J:AK,30,0))</f>
        <v>#N/A</v>
      </c>
      <c r="N85" s="9"/>
      <c r="O85" s="9"/>
      <c r="P85" s="9" t="e">
        <f>IF(VLOOKUP(G85,'Bereketli Satış'!J:AK,32,0)="","",VLOOKUP(G85,'Bereketli Satış'!J:AK,32,0))</f>
        <v>#N/A</v>
      </c>
      <c r="Q85" s="9"/>
      <c r="R85" s="9"/>
    </row>
    <row r="86" spans="1:18">
      <c r="A86" s="8" t="s">
        <v>14</v>
      </c>
      <c r="B86" s="8" t="s">
        <v>28</v>
      </c>
      <c r="C86" s="8" t="s">
        <v>45</v>
      </c>
      <c r="D86" s="8">
        <v>307.74</v>
      </c>
      <c r="E86" s="8">
        <v>670</v>
      </c>
      <c r="F86" s="1">
        <v>4</v>
      </c>
      <c r="G86" s="1" t="str">
        <f t="shared" si="1"/>
        <v>DELİCE6704</v>
      </c>
      <c r="H86" s="1">
        <v>132224608</v>
      </c>
      <c r="I86" s="9" t="e">
        <f>IF(VLOOKUP(G86,'Bereketli Satış'!J:AK,5,0)="","",VLOOKUP(G86,'Bereketli Satış'!J:AK,5,0))</f>
        <v>#N/A</v>
      </c>
      <c r="J86" s="9" t="e">
        <f>IF(VLOOKUP(G86,'Bereketli Satış'!J:AK,28,0)="","",VLOOKUP(G86,'Bereketli Satış'!J:AK,28,0))</f>
        <v>#N/A</v>
      </c>
      <c r="K86" s="9"/>
      <c r="L86" s="128">
        <v>46477</v>
      </c>
      <c r="M86" s="100" t="e">
        <f>IF(VLOOKUP(G86,'Bereketli Satış'!J:AK,30,0)="","",VLOOKUP(G86,'Bereketli Satış'!J:AK,30,0))</f>
        <v>#N/A</v>
      </c>
      <c r="N86" s="9"/>
      <c r="O86" s="9"/>
      <c r="P86" s="9" t="e">
        <f>IF(VLOOKUP(G86,'Bereketli Satış'!J:AK,32,0)="","",VLOOKUP(G86,'Bereketli Satış'!J:AK,32,0))</f>
        <v>#N/A</v>
      </c>
      <c r="Q86" s="9"/>
      <c r="R86" s="9"/>
    </row>
    <row r="87" spans="1:18">
      <c r="A87" s="8" t="s">
        <v>14</v>
      </c>
      <c r="B87" s="8" t="s">
        <v>33</v>
      </c>
      <c r="C87" s="8" t="s">
        <v>42</v>
      </c>
      <c r="D87" s="8">
        <v>305</v>
      </c>
      <c r="E87" s="8">
        <v>111</v>
      </c>
      <c r="F87" s="1">
        <v>14</v>
      </c>
      <c r="G87" s="1" t="str">
        <f t="shared" si="1"/>
        <v>İBİLLER11114</v>
      </c>
      <c r="H87" s="1"/>
      <c r="I87" s="9" t="e">
        <f>IF(VLOOKUP(G87,'Bereketli Satış'!J:AK,5,0)="","",VLOOKUP(G87,'Bereketli Satış'!J:AK,5,0))</f>
        <v>#N/A</v>
      </c>
      <c r="J87" s="9" t="e">
        <f>IF(VLOOKUP(G87,'Bereketli Satış'!J:AK,28,0)="","",VLOOKUP(G87,'Bereketli Satış'!J:AK,28,0))</f>
        <v>#N/A</v>
      </c>
      <c r="K87" s="9"/>
      <c r="L87" s="128"/>
      <c r="M87" s="100" t="e">
        <f>IF(VLOOKUP(G87,'Bereketli Satış'!J:AK,30,0)="","",VLOOKUP(G87,'Bereketli Satış'!J:AK,30,0))</f>
        <v>#N/A</v>
      </c>
      <c r="N87" s="9"/>
      <c r="O87" s="9"/>
      <c r="P87" s="9" t="e">
        <f>IF(VLOOKUP(G87,'Bereketli Satış'!J:AK,32,0)="","",VLOOKUP(G87,'Bereketli Satış'!J:AK,32,0))</f>
        <v>#N/A</v>
      </c>
      <c r="Q87" s="9"/>
      <c r="R87" s="9"/>
    </row>
    <row r="88" spans="1:18">
      <c r="A88" s="8" t="s">
        <v>14</v>
      </c>
      <c r="B88" s="8" t="s">
        <v>33</v>
      </c>
      <c r="C88" s="8" t="s">
        <v>42</v>
      </c>
      <c r="D88" s="8">
        <v>305</v>
      </c>
      <c r="E88" s="8">
        <v>111</v>
      </c>
      <c r="F88" s="1">
        <v>15</v>
      </c>
      <c r="G88" s="1" t="str">
        <f t="shared" si="1"/>
        <v>İBİLLER11115</v>
      </c>
      <c r="H88" s="1"/>
      <c r="I88" s="9" t="e">
        <f>IF(VLOOKUP(G88,'Bereketli Satış'!J:AK,5,0)="","",VLOOKUP(G88,'Bereketli Satış'!J:AK,5,0))</f>
        <v>#N/A</v>
      </c>
      <c r="J88" s="9" t="e">
        <f>IF(VLOOKUP(G88,'Bereketli Satış'!J:AK,28,0)="","",VLOOKUP(G88,'Bereketli Satış'!J:AK,28,0))</f>
        <v>#N/A</v>
      </c>
      <c r="K88" s="9"/>
      <c r="L88" s="128"/>
      <c r="M88" s="100" t="e">
        <f>IF(VLOOKUP(G88,'Bereketli Satış'!J:AK,30,0)="","",VLOOKUP(G88,'Bereketli Satış'!J:AK,30,0))</f>
        <v>#N/A</v>
      </c>
      <c r="N88" s="9"/>
      <c r="O88" s="9"/>
      <c r="P88" s="9" t="e">
        <f>IF(VLOOKUP(G88,'Bereketli Satış'!J:AK,32,0)="","",VLOOKUP(G88,'Bereketli Satış'!J:AK,32,0))</f>
        <v>#N/A</v>
      </c>
      <c r="Q88" s="9"/>
      <c r="R88" s="9"/>
    </row>
    <row r="89" spans="1:18">
      <c r="A89" s="8" t="s">
        <v>14</v>
      </c>
      <c r="B89" s="8" t="s">
        <v>33</v>
      </c>
      <c r="C89" s="8" t="s">
        <v>42</v>
      </c>
      <c r="D89" s="8">
        <v>305</v>
      </c>
      <c r="E89" s="8">
        <v>111</v>
      </c>
      <c r="F89" s="1">
        <v>24</v>
      </c>
      <c r="G89" s="1" t="str">
        <f t="shared" si="1"/>
        <v>İBİLLER11124</v>
      </c>
      <c r="H89" s="1"/>
      <c r="I89" s="9" t="e">
        <f>IF(VLOOKUP(G89,'Bereketli Satış'!J:AK,5,0)="","",VLOOKUP(G89,'Bereketli Satış'!J:AK,5,0))</f>
        <v>#N/A</v>
      </c>
      <c r="J89" s="9" t="e">
        <f>IF(VLOOKUP(G89,'Bereketli Satış'!J:AK,28,0)="","",VLOOKUP(G89,'Bereketli Satış'!J:AK,28,0))</f>
        <v>#N/A</v>
      </c>
      <c r="K89" s="9"/>
      <c r="L89" s="128"/>
      <c r="M89" s="100" t="e">
        <f>IF(VLOOKUP(G89,'Bereketli Satış'!J:AK,30,0)="","",VLOOKUP(G89,'Bereketli Satış'!J:AK,30,0))</f>
        <v>#N/A</v>
      </c>
      <c r="N89" s="9"/>
      <c r="O89" s="9"/>
      <c r="P89" s="9" t="e">
        <f>IF(VLOOKUP(G89,'Bereketli Satış'!J:AK,32,0)="","",VLOOKUP(G89,'Bereketli Satış'!J:AK,32,0))</f>
        <v>#N/A</v>
      </c>
      <c r="Q89" s="9"/>
      <c r="R89" s="9"/>
    </row>
    <row r="90" spans="1:18">
      <c r="A90" s="8" t="s">
        <v>14</v>
      </c>
      <c r="B90" s="8" t="s">
        <v>33</v>
      </c>
      <c r="C90" s="8" t="s">
        <v>42</v>
      </c>
      <c r="D90" s="8">
        <v>305</v>
      </c>
      <c r="E90" s="8">
        <v>111</v>
      </c>
      <c r="F90" s="1">
        <v>25</v>
      </c>
      <c r="G90" s="1" t="str">
        <f t="shared" si="1"/>
        <v>İBİLLER11125</v>
      </c>
      <c r="H90" s="1"/>
      <c r="I90" s="9" t="e">
        <f>IF(VLOOKUP(G90,'Bereketli Satış'!J:AK,5,0)="","",VLOOKUP(G90,'Bereketli Satış'!J:AK,5,0))</f>
        <v>#N/A</v>
      </c>
      <c r="J90" s="9" t="e">
        <f>IF(VLOOKUP(G90,'Bereketli Satış'!J:AK,28,0)="","",VLOOKUP(G90,'Bereketli Satış'!J:AK,28,0))</f>
        <v>#N/A</v>
      </c>
      <c r="K90" s="9"/>
      <c r="L90" s="128"/>
      <c r="M90" s="100" t="e">
        <f>IF(VLOOKUP(G90,'Bereketli Satış'!J:AK,30,0)="","",VLOOKUP(G90,'Bereketli Satış'!J:AK,30,0))</f>
        <v>#N/A</v>
      </c>
      <c r="N90" s="100"/>
      <c r="O90" s="100"/>
      <c r="P90" s="9" t="e">
        <f>IF(VLOOKUP(G90,'Bereketli Satış'!J:AK,32,0)="","",VLOOKUP(G90,'Bereketli Satış'!J:AK,32,0))</f>
        <v>#N/A</v>
      </c>
      <c r="Q90" s="100"/>
      <c r="R90" s="100"/>
    </row>
    <row r="91" spans="1:18">
      <c r="A91" s="8" t="s">
        <v>14</v>
      </c>
      <c r="B91" s="8" t="s">
        <v>33</v>
      </c>
      <c r="C91" s="8" t="s">
        <v>42</v>
      </c>
      <c r="D91" s="8">
        <v>309.19</v>
      </c>
      <c r="E91" s="8">
        <v>116</v>
      </c>
      <c r="F91" s="1">
        <v>22</v>
      </c>
      <c r="G91" s="1" t="str">
        <f t="shared" si="1"/>
        <v>İBİLLER11622</v>
      </c>
      <c r="H91" s="1"/>
      <c r="I91" s="9" t="e">
        <f>IF(VLOOKUP(G91,'Bereketli Satış'!J:AK,5,0)="","",VLOOKUP(G91,'Bereketli Satış'!J:AK,5,0))</f>
        <v>#N/A</v>
      </c>
      <c r="J91" s="9" t="e">
        <f>IF(VLOOKUP(G91,'Bereketli Satış'!J:AK,28,0)="","",VLOOKUP(G91,'Bereketli Satış'!J:AK,28,0))</f>
        <v>#N/A</v>
      </c>
      <c r="K91" s="100"/>
      <c r="L91" s="128"/>
      <c r="M91" s="100" t="e">
        <f>IF(VLOOKUP(G91,'Bereketli Satış'!J:AK,30,0)="","",VLOOKUP(G91,'Bereketli Satış'!J:AK,30,0))</f>
        <v>#N/A</v>
      </c>
      <c r="N91" s="9"/>
      <c r="O91" s="9"/>
      <c r="P91" s="9" t="e">
        <f>IF(VLOOKUP(G91,'Bereketli Satış'!J:AK,32,0)="","",VLOOKUP(G91,'Bereketli Satış'!J:AK,32,0))</f>
        <v>#N/A</v>
      </c>
      <c r="Q91" s="9"/>
      <c r="R91" s="9"/>
    </row>
    <row r="92" spans="1:18">
      <c r="A92" s="8" t="s">
        <v>14</v>
      </c>
      <c r="B92" s="8" t="s">
        <v>33</v>
      </c>
      <c r="C92" s="8" t="s">
        <v>42</v>
      </c>
      <c r="D92" s="8">
        <v>310.06</v>
      </c>
      <c r="E92" s="8">
        <v>119</v>
      </c>
      <c r="F92" s="1">
        <v>13</v>
      </c>
      <c r="G92" s="1" t="str">
        <f t="shared" si="1"/>
        <v>İBİLLER11913</v>
      </c>
      <c r="H92" s="1"/>
      <c r="I92" s="9" t="e">
        <f>IF(VLOOKUP(G92,'Bereketli Satış'!J:AK,5,0)="","",VLOOKUP(G92,'Bereketli Satış'!J:AK,5,0))</f>
        <v>#N/A</v>
      </c>
      <c r="J92" s="9" t="e">
        <f>IF(VLOOKUP(G92,'Bereketli Satış'!J:AK,28,0)="","",VLOOKUP(G92,'Bereketli Satış'!J:AK,28,0))</f>
        <v>#N/A</v>
      </c>
      <c r="K92" s="9"/>
      <c r="L92" s="128"/>
      <c r="M92" s="100" t="e">
        <f>IF(VLOOKUP(G92,'Bereketli Satış'!J:AK,30,0)="","",VLOOKUP(G92,'Bereketli Satış'!J:AK,30,0))</f>
        <v>#N/A</v>
      </c>
      <c r="N92" s="9"/>
      <c r="O92" s="9"/>
      <c r="P92" s="9" t="e">
        <f>IF(VLOOKUP(G92,'Bereketli Satış'!J:AK,32,0)="","",VLOOKUP(G92,'Bereketli Satış'!J:AK,32,0))</f>
        <v>#N/A</v>
      </c>
      <c r="Q92" s="9"/>
      <c r="R92" s="9"/>
    </row>
    <row r="93" spans="1:18">
      <c r="A93" s="8" t="s">
        <v>14</v>
      </c>
      <c r="B93" s="8" t="s">
        <v>33</v>
      </c>
      <c r="C93" s="8" t="s">
        <v>42</v>
      </c>
      <c r="D93" s="8">
        <v>310.07</v>
      </c>
      <c r="E93" s="8">
        <v>119</v>
      </c>
      <c r="F93" s="1">
        <v>14</v>
      </c>
      <c r="G93" s="1" t="str">
        <f t="shared" si="1"/>
        <v>İBİLLER11914</v>
      </c>
      <c r="H93" s="1"/>
      <c r="I93" s="9" t="e">
        <f>IF(VLOOKUP(G93,'Bereketli Satış'!J:AK,5,0)="","",VLOOKUP(G93,'Bereketli Satış'!J:AK,5,0))</f>
        <v>#N/A</v>
      </c>
      <c r="J93" s="9" t="e">
        <f>IF(VLOOKUP(G93,'Bereketli Satış'!J:AK,28,0)="","",VLOOKUP(G93,'Bereketli Satış'!J:AK,28,0))</f>
        <v>#N/A</v>
      </c>
      <c r="K93" s="9"/>
      <c r="L93" s="128"/>
      <c r="M93" s="100" t="e">
        <f>IF(VLOOKUP(G93,'Bereketli Satış'!J:AK,30,0)="","",VLOOKUP(G93,'Bereketli Satış'!J:AK,30,0))</f>
        <v>#N/A</v>
      </c>
      <c r="N93" s="9"/>
      <c r="O93" s="9"/>
      <c r="P93" s="9" t="e">
        <f>IF(VLOOKUP(G93,'Bereketli Satış'!J:AK,32,0)="","",VLOOKUP(G93,'Bereketli Satış'!J:AK,32,0))</f>
        <v>#N/A</v>
      </c>
      <c r="Q93" s="9"/>
      <c r="R93" s="9"/>
    </row>
    <row r="94" spans="1:18">
      <c r="A94" s="8" t="s">
        <v>14</v>
      </c>
      <c r="B94" s="8" t="s">
        <v>33</v>
      </c>
      <c r="C94" s="8" t="s">
        <v>42</v>
      </c>
      <c r="D94" s="8">
        <v>313.92</v>
      </c>
      <c r="E94" s="8">
        <v>111</v>
      </c>
      <c r="F94" s="1">
        <v>13</v>
      </c>
      <c r="G94" s="1" t="str">
        <f t="shared" si="1"/>
        <v>İBİLLER11113</v>
      </c>
      <c r="H94" s="1"/>
      <c r="I94" s="9" t="e">
        <f>IF(VLOOKUP(G94,'Bereketli Satış'!J:AK,5,0)="","",VLOOKUP(G94,'Bereketli Satış'!J:AK,5,0))</f>
        <v>#N/A</v>
      </c>
      <c r="J94" s="9" t="e">
        <f>IF(VLOOKUP(G94,'Bereketli Satış'!J:AK,28,0)="","",VLOOKUP(G94,'Bereketli Satış'!J:AK,28,0))</f>
        <v>#N/A</v>
      </c>
      <c r="K94" s="9"/>
      <c r="L94" s="128"/>
      <c r="M94" s="100" t="e">
        <f>IF(VLOOKUP(G94,'Bereketli Satış'!J:AK,30,0)="","",VLOOKUP(G94,'Bereketli Satış'!J:AK,30,0))</f>
        <v>#N/A</v>
      </c>
      <c r="N94" s="9"/>
      <c r="O94" s="9"/>
      <c r="P94" s="9" t="e">
        <f>IF(VLOOKUP(G94,'Bereketli Satış'!J:AK,32,0)="","",VLOOKUP(G94,'Bereketli Satış'!J:AK,32,0))</f>
        <v>#N/A</v>
      </c>
      <c r="Q94" s="9"/>
      <c r="R94" s="9"/>
    </row>
    <row r="95" spans="1:18">
      <c r="A95" s="8" t="s">
        <v>14</v>
      </c>
      <c r="B95" s="8" t="s">
        <v>15</v>
      </c>
      <c r="C95" s="8" t="s">
        <v>16</v>
      </c>
      <c r="D95" s="8">
        <v>326.77999999999997</v>
      </c>
      <c r="E95" s="8">
        <v>158</v>
      </c>
      <c r="F95" s="1">
        <v>15</v>
      </c>
      <c r="G95" s="1" t="str">
        <f t="shared" si="1"/>
        <v>REŞADİYE15815</v>
      </c>
      <c r="H95" s="1"/>
      <c r="I95" s="9" t="e">
        <f>IF(VLOOKUP(G95,'Bereketli Satış'!J:AK,5,0)="","",VLOOKUP(G95,'Bereketli Satış'!J:AK,5,0))</f>
        <v>#N/A</v>
      </c>
      <c r="J95" s="9" t="e">
        <f>IF(VLOOKUP(G95,'Bereketli Satış'!J:AK,28,0)="","",VLOOKUP(G95,'Bereketli Satış'!J:AK,28,0))</f>
        <v>#N/A</v>
      </c>
      <c r="K95" s="9"/>
      <c r="L95" s="128"/>
      <c r="M95" s="100" t="e">
        <f>IF(VLOOKUP(G95,'Bereketli Satış'!J:AK,30,0)="","",VLOOKUP(G95,'Bereketli Satış'!J:AK,30,0))</f>
        <v>#N/A</v>
      </c>
      <c r="N95" s="9"/>
      <c r="O95" s="9"/>
      <c r="P95" s="9" t="e">
        <f>IF(VLOOKUP(G95,'Bereketli Satış'!J:AK,32,0)="","",VLOOKUP(G95,'Bereketli Satış'!J:AK,32,0))</f>
        <v>#N/A</v>
      </c>
      <c r="Q95" s="9"/>
      <c r="R95" s="9"/>
    </row>
    <row r="96" spans="1:18">
      <c r="A96" s="8" t="s">
        <v>14</v>
      </c>
      <c r="B96" s="8" t="s">
        <v>33</v>
      </c>
      <c r="C96" s="8" t="s">
        <v>42</v>
      </c>
      <c r="D96" s="8">
        <v>320.67</v>
      </c>
      <c r="E96" s="8">
        <v>119</v>
      </c>
      <c r="F96" s="1">
        <v>22</v>
      </c>
      <c r="G96" s="1" t="str">
        <f t="shared" si="1"/>
        <v>İBİLLER11922</v>
      </c>
      <c r="H96" s="1"/>
      <c r="I96" s="9" t="e">
        <f>IF(VLOOKUP(G96,'Bereketli Satış'!J:AK,5,0)="","",VLOOKUP(G96,'Bereketli Satış'!J:AK,5,0))</f>
        <v>#N/A</v>
      </c>
      <c r="J96" s="9" t="e">
        <f>IF(VLOOKUP(G96,'Bereketli Satış'!J:AK,28,0)="","",VLOOKUP(G96,'Bereketli Satış'!J:AK,28,0))</f>
        <v>#N/A</v>
      </c>
      <c r="K96" s="9"/>
      <c r="L96" s="128"/>
      <c r="M96" s="100" t="e">
        <f>IF(VLOOKUP(G96,'Bereketli Satış'!J:AK,30,0)="","",VLOOKUP(G96,'Bereketli Satış'!J:AK,30,0))</f>
        <v>#N/A</v>
      </c>
      <c r="N96" s="9"/>
      <c r="O96" s="9"/>
      <c r="P96" s="9" t="e">
        <f>IF(VLOOKUP(G96,'Bereketli Satış'!J:AK,32,0)="","",VLOOKUP(G96,'Bereketli Satış'!J:AK,32,0))</f>
        <v>#N/A</v>
      </c>
      <c r="Q96" s="9"/>
      <c r="R96" s="9"/>
    </row>
    <row r="97" spans="1:18">
      <c r="A97" s="8" t="s">
        <v>36</v>
      </c>
      <c r="B97" s="8" t="s">
        <v>37</v>
      </c>
      <c r="C97" s="8" t="s">
        <v>38</v>
      </c>
      <c r="D97" s="8">
        <v>400</v>
      </c>
      <c r="E97" s="8">
        <v>911</v>
      </c>
      <c r="F97" s="3">
        <v>19</v>
      </c>
      <c r="G97" s="1" t="str">
        <f t="shared" si="1"/>
        <v>GÜNEYCE91119</v>
      </c>
      <c r="H97" s="3"/>
      <c r="I97" s="9" t="e">
        <f>IF(VLOOKUP(G97,'Bereketli Satış'!J:AK,5,0)="","",VLOOKUP(G97,'Bereketli Satış'!J:AK,5,0))</f>
        <v>#N/A</v>
      </c>
      <c r="J97" s="9" t="e">
        <f>IF(VLOOKUP(G97,'Bereketli Satış'!J:AK,28,0)="","",VLOOKUP(G97,'Bereketli Satış'!J:AK,28,0))</f>
        <v>#N/A</v>
      </c>
      <c r="K97" s="9"/>
      <c r="L97" s="128"/>
      <c r="M97" s="100" t="e">
        <f>IF(VLOOKUP(G97,'Bereketli Satış'!J:AK,30,0)="","",VLOOKUP(G97,'Bereketli Satış'!J:AK,30,0))</f>
        <v>#N/A</v>
      </c>
      <c r="N97" s="9"/>
      <c r="O97" s="9"/>
      <c r="P97" s="9" t="e">
        <f>IF(VLOOKUP(G97,'Bereketli Satış'!J:AK,32,0)="","",VLOOKUP(G97,'Bereketli Satış'!J:AK,32,0))</f>
        <v>#N/A</v>
      </c>
      <c r="Q97" s="9"/>
      <c r="R97" s="9"/>
    </row>
    <row r="98" spans="1:18">
      <c r="A98" s="8" t="s">
        <v>14</v>
      </c>
      <c r="B98" s="8" t="s">
        <v>33</v>
      </c>
      <c r="C98" s="8" t="s">
        <v>42</v>
      </c>
      <c r="D98" s="8">
        <v>340.67</v>
      </c>
      <c r="E98" s="8">
        <v>119</v>
      </c>
      <c r="F98" s="1">
        <v>20</v>
      </c>
      <c r="G98" s="1" t="str">
        <f t="shared" si="1"/>
        <v>İBİLLER11920</v>
      </c>
      <c r="H98" s="1"/>
      <c r="I98" s="9" t="e">
        <f>IF(VLOOKUP(G98,'Bereketli Satış'!J:AK,5,0)="","",VLOOKUP(G98,'Bereketli Satış'!J:AK,5,0))</f>
        <v>#N/A</v>
      </c>
      <c r="J98" s="9" t="e">
        <f>IF(VLOOKUP(G98,'Bereketli Satış'!J:AK,28,0)="","",VLOOKUP(G98,'Bereketli Satış'!J:AK,28,0))</f>
        <v>#N/A</v>
      </c>
      <c r="K98" s="9"/>
      <c r="L98" s="128"/>
      <c r="M98" s="100" t="e">
        <f>IF(VLOOKUP(G98,'Bereketli Satış'!J:AK,30,0)="","",VLOOKUP(G98,'Bereketli Satış'!J:AK,30,0))</f>
        <v>#N/A</v>
      </c>
      <c r="N98" s="9"/>
      <c r="O98" s="9"/>
      <c r="P98" s="9" t="e">
        <f>IF(VLOOKUP(G98,'Bereketli Satış'!J:AK,32,0)="","",VLOOKUP(G98,'Bereketli Satış'!J:AK,32,0))</f>
        <v>#N/A</v>
      </c>
      <c r="Q98" s="9"/>
      <c r="R98" s="9"/>
    </row>
    <row r="99" spans="1:18">
      <c r="A99" s="8" t="s">
        <v>14</v>
      </c>
      <c r="B99" s="8" t="s">
        <v>33</v>
      </c>
      <c r="C99" s="8" t="s">
        <v>42</v>
      </c>
      <c r="D99" s="8">
        <v>342.63</v>
      </c>
      <c r="E99" s="8">
        <v>119</v>
      </c>
      <c r="F99" s="1">
        <v>21</v>
      </c>
      <c r="G99" s="1" t="str">
        <f t="shared" si="1"/>
        <v>İBİLLER11921</v>
      </c>
      <c r="H99" s="1"/>
      <c r="I99" s="9" t="e">
        <f>IF(VLOOKUP(G99,'Bereketli Satış'!J:AK,5,0)="","",VLOOKUP(G99,'Bereketli Satış'!J:AK,5,0))</f>
        <v>#N/A</v>
      </c>
      <c r="J99" s="9" t="e">
        <f>IF(VLOOKUP(G99,'Bereketli Satış'!J:AK,28,0)="","",VLOOKUP(G99,'Bereketli Satış'!J:AK,28,0))</f>
        <v>#N/A</v>
      </c>
      <c r="K99" s="9"/>
      <c r="L99" s="128"/>
      <c r="M99" s="100" t="e">
        <f>IF(VLOOKUP(G99,'Bereketli Satış'!J:AK,30,0)="","",VLOOKUP(G99,'Bereketli Satış'!J:AK,30,0))</f>
        <v>#N/A</v>
      </c>
      <c r="N99" s="9"/>
      <c r="O99" s="9"/>
      <c r="P99" s="9" t="e">
        <f>IF(VLOOKUP(G99,'Bereketli Satış'!J:AK,32,0)="","",VLOOKUP(G99,'Bereketli Satış'!J:AK,32,0))</f>
        <v>#N/A</v>
      </c>
      <c r="Q99" s="9"/>
      <c r="R99" s="9"/>
    </row>
    <row r="100" spans="1:18">
      <c r="A100" s="8" t="s">
        <v>14</v>
      </c>
      <c r="B100" s="8" t="s">
        <v>33</v>
      </c>
      <c r="C100" s="8" t="s">
        <v>42</v>
      </c>
      <c r="D100" s="8">
        <v>343.72</v>
      </c>
      <c r="E100" s="8">
        <v>111</v>
      </c>
      <c r="F100" s="1">
        <v>12</v>
      </c>
      <c r="G100" s="1" t="str">
        <f t="shared" si="1"/>
        <v>İBİLLER11112</v>
      </c>
      <c r="H100" s="1"/>
      <c r="I100" s="9" t="e">
        <f>IF(VLOOKUP(G100,'Bereketli Satış'!J:AK,5,0)="","",VLOOKUP(G100,'Bereketli Satış'!J:AK,5,0))</f>
        <v>#N/A</v>
      </c>
      <c r="J100" s="9" t="e">
        <f>IF(VLOOKUP(G100,'Bereketli Satış'!J:AK,28,0)="","",VLOOKUP(G100,'Bereketli Satış'!J:AK,28,0))</f>
        <v>#N/A</v>
      </c>
      <c r="K100" s="9"/>
      <c r="L100" s="128"/>
      <c r="M100" s="100" t="e">
        <f>IF(VLOOKUP(G100,'Bereketli Satış'!J:AK,30,0)="","",VLOOKUP(G100,'Bereketli Satış'!J:AK,30,0))</f>
        <v>#N/A</v>
      </c>
      <c r="N100" s="9"/>
      <c r="O100" s="9"/>
      <c r="P100" s="9" t="e">
        <f>IF(VLOOKUP(G100,'Bereketli Satış'!J:AK,32,0)="","",VLOOKUP(G100,'Bereketli Satış'!J:AK,32,0))</f>
        <v>#N/A</v>
      </c>
      <c r="Q100" s="9"/>
      <c r="R100" s="9"/>
    </row>
    <row r="101" spans="1:18">
      <c r="A101" s="8" t="s">
        <v>14</v>
      </c>
      <c r="B101" s="8" t="s">
        <v>33</v>
      </c>
      <c r="C101" s="8" t="s">
        <v>42</v>
      </c>
      <c r="D101" s="8">
        <v>352.09</v>
      </c>
      <c r="E101" s="8">
        <v>120</v>
      </c>
      <c r="F101" s="1">
        <v>8</v>
      </c>
      <c r="G101" s="1" t="str">
        <f t="shared" si="1"/>
        <v>İBİLLER1208</v>
      </c>
      <c r="H101" s="1"/>
      <c r="I101" s="9" t="e">
        <f>IF(VLOOKUP(G101,'Bereketli Satış'!J:AK,5,0)="","",VLOOKUP(G101,'Bereketli Satış'!J:AK,5,0))</f>
        <v>#N/A</v>
      </c>
      <c r="J101" s="9" t="e">
        <f>IF(VLOOKUP(G101,'Bereketli Satış'!J:AK,28,0)="","",VLOOKUP(G101,'Bereketli Satış'!J:AK,28,0))</f>
        <v>#N/A</v>
      </c>
      <c r="K101" s="9"/>
      <c r="L101" s="128"/>
      <c r="M101" s="100" t="e">
        <f>IF(VLOOKUP(G101,'Bereketli Satış'!J:AK,30,0)="","",VLOOKUP(G101,'Bereketli Satış'!J:AK,30,0))</f>
        <v>#N/A</v>
      </c>
      <c r="N101" s="9"/>
      <c r="O101" s="9"/>
      <c r="P101" s="9" t="e">
        <f>IF(VLOOKUP(G101,'Bereketli Satış'!J:AK,32,0)="","",VLOOKUP(G101,'Bereketli Satış'!J:AK,32,0))</f>
        <v>#N/A</v>
      </c>
      <c r="Q101" s="9"/>
      <c r="R101" s="9"/>
    </row>
    <row r="102" spans="1:18">
      <c r="A102" s="8" t="s">
        <v>14</v>
      </c>
      <c r="B102" s="8" t="s">
        <v>33</v>
      </c>
      <c r="C102" s="8" t="s">
        <v>42</v>
      </c>
      <c r="D102" s="8">
        <v>352.09</v>
      </c>
      <c r="E102" s="8">
        <v>120</v>
      </c>
      <c r="F102" s="1">
        <v>9</v>
      </c>
      <c r="G102" s="1" t="str">
        <f t="shared" si="1"/>
        <v>İBİLLER1209</v>
      </c>
      <c r="H102" s="1"/>
      <c r="I102" s="9" t="e">
        <f>IF(VLOOKUP(G102,'Bereketli Satış'!J:AK,5,0)="","",VLOOKUP(G102,'Bereketli Satış'!J:AK,5,0))</f>
        <v>#N/A</v>
      </c>
      <c r="J102" s="9" t="e">
        <f>IF(VLOOKUP(G102,'Bereketli Satış'!J:AK,28,0)="","",VLOOKUP(G102,'Bereketli Satış'!J:AK,28,0))</f>
        <v>#N/A</v>
      </c>
      <c r="K102" s="9"/>
      <c r="L102" s="128"/>
      <c r="M102" s="100" t="e">
        <f>IF(VLOOKUP(G102,'Bereketli Satış'!J:AK,30,0)="","",VLOOKUP(G102,'Bereketli Satış'!J:AK,30,0))</f>
        <v>#N/A</v>
      </c>
      <c r="N102" s="9"/>
      <c r="O102" s="9"/>
      <c r="P102" s="9" t="e">
        <f>IF(VLOOKUP(G102,'Bereketli Satış'!J:AK,32,0)="","",VLOOKUP(G102,'Bereketli Satış'!J:AK,32,0))</f>
        <v>#N/A</v>
      </c>
      <c r="Q102" s="9"/>
      <c r="R102" s="9"/>
    </row>
    <row r="103" spans="1:18">
      <c r="A103" s="8" t="s">
        <v>14</v>
      </c>
      <c r="B103" s="8" t="s">
        <v>33</v>
      </c>
      <c r="C103" s="8" t="s">
        <v>42</v>
      </c>
      <c r="D103" s="8">
        <v>352.09</v>
      </c>
      <c r="E103" s="8">
        <v>120</v>
      </c>
      <c r="F103" s="1">
        <v>11</v>
      </c>
      <c r="G103" s="1" t="str">
        <f t="shared" si="1"/>
        <v>İBİLLER12011</v>
      </c>
      <c r="H103" s="1"/>
      <c r="I103" s="9" t="e">
        <f>IF(VLOOKUP(G103,'Bereketli Satış'!J:AK,5,0)="","",VLOOKUP(G103,'Bereketli Satış'!J:AK,5,0))</f>
        <v>#N/A</v>
      </c>
      <c r="J103" s="9" t="e">
        <f>IF(VLOOKUP(G103,'Bereketli Satış'!J:AK,28,0)="","",VLOOKUP(G103,'Bereketli Satış'!J:AK,28,0))</f>
        <v>#N/A</v>
      </c>
      <c r="K103" s="9"/>
      <c r="L103" s="128"/>
      <c r="M103" s="100" t="e">
        <f>IF(VLOOKUP(G103,'Bereketli Satış'!J:AK,30,0)="","",VLOOKUP(G103,'Bereketli Satış'!J:AK,30,0))</f>
        <v>#N/A</v>
      </c>
      <c r="N103" s="9"/>
      <c r="O103" s="9"/>
      <c r="P103" s="9" t="e">
        <f>IF(VLOOKUP(G103,'Bereketli Satış'!J:AK,32,0)="","",VLOOKUP(G103,'Bereketli Satış'!J:AK,32,0))</f>
        <v>#N/A</v>
      </c>
      <c r="Q103" s="9"/>
      <c r="R103" s="9"/>
    </row>
    <row r="104" spans="1:18">
      <c r="A104" s="8" t="s">
        <v>14</v>
      </c>
      <c r="B104" s="8" t="s">
        <v>33</v>
      </c>
      <c r="C104" s="8" t="s">
        <v>42</v>
      </c>
      <c r="D104" s="8">
        <v>352.1</v>
      </c>
      <c r="E104" s="8">
        <v>120</v>
      </c>
      <c r="F104" s="1">
        <v>10</v>
      </c>
      <c r="G104" s="1" t="str">
        <f t="shared" si="1"/>
        <v>İBİLLER12010</v>
      </c>
      <c r="H104" s="1"/>
      <c r="I104" s="9" t="e">
        <f>IF(VLOOKUP(G104,'Bereketli Satış'!J:AK,5,0)="","",VLOOKUP(G104,'Bereketli Satış'!J:AK,5,0))</f>
        <v>#N/A</v>
      </c>
      <c r="J104" s="9" t="e">
        <f>IF(VLOOKUP(G104,'Bereketli Satış'!J:AK,28,0)="","",VLOOKUP(G104,'Bereketli Satış'!J:AK,28,0))</f>
        <v>#N/A</v>
      </c>
      <c r="K104" s="9"/>
      <c r="L104" s="128"/>
      <c r="M104" s="100" t="e">
        <f>IF(VLOOKUP(G104,'Bereketli Satış'!J:AK,30,0)="","",VLOOKUP(G104,'Bereketli Satış'!J:AK,30,0))</f>
        <v>#N/A</v>
      </c>
      <c r="N104" s="9"/>
      <c r="O104" s="9"/>
      <c r="P104" s="9" t="e">
        <f>IF(VLOOKUP(G104,'Bereketli Satış'!J:AK,32,0)="","",VLOOKUP(G104,'Bereketli Satış'!J:AK,32,0))</f>
        <v>#N/A</v>
      </c>
      <c r="Q104" s="9"/>
      <c r="R104" s="9"/>
    </row>
    <row r="105" spans="1:18">
      <c r="A105" s="8" t="s">
        <v>14</v>
      </c>
      <c r="B105" s="8" t="s">
        <v>15</v>
      </c>
      <c r="C105" s="8" t="s">
        <v>16</v>
      </c>
      <c r="D105" s="8">
        <v>303.38</v>
      </c>
      <c r="E105" s="8">
        <v>159</v>
      </c>
      <c r="F105" s="1">
        <v>9</v>
      </c>
      <c r="G105" s="1" t="str">
        <f t="shared" si="1"/>
        <v>REŞADİYE1599</v>
      </c>
      <c r="H105" s="1"/>
      <c r="I105" s="9" t="e">
        <f>IF(VLOOKUP(G105,'Bereketli Satış'!J:AK,5,0)="","",VLOOKUP(G105,'Bereketli Satış'!J:AK,5,0))</f>
        <v>#N/A</v>
      </c>
      <c r="J105" s="9" t="e">
        <f>IF(VLOOKUP(G105,'Bereketli Satış'!J:AK,28,0)="","",VLOOKUP(G105,'Bereketli Satış'!J:AK,28,0))</f>
        <v>#N/A</v>
      </c>
      <c r="K105" s="9"/>
      <c r="L105" s="128"/>
      <c r="M105" s="100" t="e">
        <f>IF(VLOOKUP(G105,'Bereketli Satış'!J:AK,30,0)="","",VLOOKUP(G105,'Bereketli Satış'!J:AK,30,0))</f>
        <v>#N/A</v>
      </c>
      <c r="N105" s="100"/>
      <c r="O105" s="100"/>
      <c r="P105" s="9" t="e">
        <f>IF(VLOOKUP(G105,'Bereketli Satış'!J:AK,32,0)="","",VLOOKUP(G105,'Bereketli Satış'!J:AK,32,0))</f>
        <v>#N/A</v>
      </c>
      <c r="Q105" s="100"/>
      <c r="R105" s="100"/>
    </row>
    <row r="106" spans="1:18">
      <c r="A106" s="8" t="s">
        <v>14</v>
      </c>
      <c r="B106" s="8" t="s">
        <v>15</v>
      </c>
      <c r="C106" s="8" t="s">
        <v>16</v>
      </c>
      <c r="D106" s="8">
        <v>305.14999999999998</v>
      </c>
      <c r="E106" s="8">
        <v>170</v>
      </c>
      <c r="F106" s="1">
        <v>9</v>
      </c>
      <c r="G106" s="1" t="str">
        <f t="shared" si="1"/>
        <v>REŞADİYE1709</v>
      </c>
      <c r="H106" s="1"/>
      <c r="I106" s="9" t="e">
        <f>IF(VLOOKUP(G106,'Bereketli Satış'!J:AK,5,0)="","",VLOOKUP(G106,'Bereketli Satış'!J:AK,5,0))</f>
        <v>#N/A</v>
      </c>
      <c r="J106" s="9" t="e">
        <f>IF(VLOOKUP(G106,'Bereketli Satış'!J:AK,28,0)="","",VLOOKUP(G106,'Bereketli Satış'!J:AK,28,0))</f>
        <v>#N/A</v>
      </c>
      <c r="K106" s="100"/>
      <c r="L106" s="128"/>
      <c r="M106" s="100" t="e">
        <f>IF(VLOOKUP(G106,'Bereketli Satış'!J:AK,30,0)="","",VLOOKUP(G106,'Bereketli Satış'!J:AK,30,0))</f>
        <v>#N/A</v>
      </c>
      <c r="N106" s="107"/>
      <c r="O106" s="107"/>
      <c r="P106" s="9" t="e">
        <f>IF(VLOOKUP(G106,'Bereketli Satış'!J:AK,32,0)="","",VLOOKUP(G106,'Bereketli Satış'!J:AK,32,0))</f>
        <v>#N/A</v>
      </c>
      <c r="Q106" s="107"/>
      <c r="R106" s="107"/>
    </row>
    <row r="107" spans="1:18">
      <c r="A107" s="96" t="s">
        <v>14</v>
      </c>
      <c r="B107" s="96" t="s">
        <v>33</v>
      </c>
      <c r="C107" s="96" t="s">
        <v>42</v>
      </c>
      <c r="D107" s="96">
        <v>302.79000000000002</v>
      </c>
      <c r="E107" s="96">
        <v>122</v>
      </c>
      <c r="F107" s="97">
        <v>41</v>
      </c>
      <c r="G107" s="1" t="str">
        <f t="shared" si="1"/>
        <v>İBİLLER12241</v>
      </c>
      <c r="H107" s="97"/>
      <c r="I107" s="9" t="e">
        <f>IF(VLOOKUP(G107,'Bereketli Satış'!J:AK,5,0)="","",VLOOKUP(G107,'Bereketli Satış'!J:AK,5,0))</f>
        <v>#N/A</v>
      </c>
      <c r="J107" s="9" t="e">
        <f>IF(VLOOKUP(G107,'Bereketli Satış'!J:AK,28,0)="","",VLOOKUP(G107,'Bereketli Satış'!J:AK,28,0))</f>
        <v>#N/A</v>
      </c>
      <c r="K107" s="107"/>
      <c r="L107" s="129"/>
      <c r="M107" s="100" t="e">
        <f>IF(VLOOKUP(G107,'Bereketli Satış'!J:AK,30,0)="","",VLOOKUP(G107,'Bereketli Satış'!J:AK,30,0))</f>
        <v>#N/A</v>
      </c>
      <c r="N107" s="9"/>
      <c r="O107" s="9"/>
      <c r="P107" s="9" t="e">
        <f>IF(VLOOKUP(G107,'Bereketli Satış'!J:AK,32,0)="","",VLOOKUP(G107,'Bereketli Satış'!J:AK,32,0))</f>
        <v>#N/A</v>
      </c>
      <c r="Q107" s="9"/>
      <c r="R107" s="9"/>
    </row>
    <row r="108" spans="1:18">
      <c r="A108" s="8" t="s">
        <v>14</v>
      </c>
      <c r="B108" s="8" t="s">
        <v>33</v>
      </c>
      <c r="C108" s="8" t="s">
        <v>42</v>
      </c>
      <c r="D108" s="8">
        <v>389.95</v>
      </c>
      <c r="E108" s="8">
        <v>122</v>
      </c>
      <c r="F108" s="1">
        <v>33</v>
      </c>
      <c r="G108" s="1" t="str">
        <f t="shared" si="1"/>
        <v>İBİLLER12233</v>
      </c>
      <c r="H108" s="1"/>
      <c r="I108" s="9" t="e">
        <f>IF(VLOOKUP(G108,'Bereketli Satış'!J:AK,5,0)="","",VLOOKUP(G108,'Bereketli Satış'!J:AK,5,0))</f>
        <v>#N/A</v>
      </c>
      <c r="J108" s="9" t="e">
        <f>IF(VLOOKUP(G108,'Bereketli Satış'!J:AK,28,0)="","",VLOOKUP(G108,'Bereketli Satış'!J:AK,28,0))</f>
        <v>#N/A</v>
      </c>
      <c r="K108" s="9"/>
      <c r="L108" s="128"/>
      <c r="M108" s="100" t="e">
        <f>IF(VLOOKUP(G108,'Bereketli Satış'!J:AK,30,0)="","",VLOOKUP(G108,'Bereketli Satış'!J:AK,30,0))</f>
        <v>#N/A</v>
      </c>
      <c r="N108" s="9"/>
      <c r="O108" s="9"/>
      <c r="P108" s="9" t="e">
        <f>IF(VLOOKUP(G108,'Bereketli Satış'!J:AK,32,0)="","",VLOOKUP(G108,'Bereketli Satış'!J:AK,32,0))</f>
        <v>#N/A</v>
      </c>
      <c r="Q108" s="9"/>
      <c r="R108" s="9"/>
    </row>
    <row r="109" spans="1:18">
      <c r="A109" s="8" t="s">
        <v>14</v>
      </c>
      <c r="B109" s="8" t="s">
        <v>28</v>
      </c>
      <c r="C109" s="8" t="s">
        <v>45</v>
      </c>
      <c r="D109" s="8">
        <v>317.51</v>
      </c>
      <c r="E109" s="8">
        <v>251</v>
      </c>
      <c r="F109" s="1">
        <v>20</v>
      </c>
      <c r="G109" s="1" t="str">
        <f t="shared" si="1"/>
        <v>DELİCE25120</v>
      </c>
      <c r="H109" s="1"/>
      <c r="I109" s="9" t="e">
        <f>IF(VLOOKUP(G109,'Bereketli Satış'!J:AK,5,0)="","",VLOOKUP(G109,'Bereketli Satış'!J:AK,5,0))</f>
        <v>#N/A</v>
      </c>
      <c r="J109" s="9" t="e">
        <f>IF(VLOOKUP(G109,'Bereketli Satış'!J:AK,28,0)="","",VLOOKUP(G109,'Bereketli Satış'!J:AK,28,0))</f>
        <v>#N/A</v>
      </c>
      <c r="K109" s="9"/>
      <c r="L109" s="128"/>
      <c r="M109" s="100" t="e">
        <f>IF(VLOOKUP(G109,'Bereketli Satış'!J:AK,30,0)="","",VLOOKUP(G109,'Bereketli Satış'!J:AK,30,0))</f>
        <v>#N/A</v>
      </c>
      <c r="N109" s="9"/>
      <c r="O109" s="9"/>
      <c r="P109" s="9" t="e">
        <f>IF(VLOOKUP(G109,'Bereketli Satış'!J:AK,32,0)="","",VLOOKUP(G109,'Bereketli Satış'!J:AK,32,0))</f>
        <v>#N/A</v>
      </c>
      <c r="Q109" s="9"/>
      <c r="R109" s="9"/>
    </row>
    <row r="110" spans="1:18">
      <c r="A110" s="8" t="s">
        <v>46</v>
      </c>
      <c r="B110" s="8" t="s">
        <v>47</v>
      </c>
      <c r="C110" s="8" t="s">
        <v>48</v>
      </c>
      <c r="D110" s="8">
        <v>438.12</v>
      </c>
      <c r="E110" s="8">
        <v>101</v>
      </c>
      <c r="F110" s="3">
        <v>2</v>
      </c>
      <c r="G110" s="1" t="str">
        <f t="shared" si="1"/>
        <v>İSLAMLAR1012</v>
      </c>
      <c r="H110" s="3"/>
      <c r="I110" s="9" t="e">
        <f>IF(VLOOKUP(G110,'Bereketli Satış'!J:AK,5,0)="","",VLOOKUP(G110,'Bereketli Satış'!J:AK,5,0))</f>
        <v>#N/A</v>
      </c>
      <c r="J110" s="9" t="e">
        <f>IF(VLOOKUP(G110,'Bereketli Satış'!J:AK,28,0)="","",VLOOKUP(G110,'Bereketli Satış'!J:AK,28,0))</f>
        <v>#N/A</v>
      </c>
      <c r="K110" s="9"/>
      <c r="L110" s="128"/>
      <c r="M110" s="100" t="e">
        <f>IF(VLOOKUP(G110,'Bereketli Satış'!J:AK,30,0)="","",VLOOKUP(G110,'Bereketli Satış'!J:AK,30,0))</f>
        <v>#N/A</v>
      </c>
      <c r="N110" s="9"/>
      <c r="O110" s="9"/>
      <c r="P110" s="9" t="e">
        <f>IF(VLOOKUP(G110,'Bereketli Satış'!J:AK,32,0)="","",VLOOKUP(G110,'Bereketli Satış'!J:AK,32,0))</f>
        <v>#N/A</v>
      </c>
      <c r="Q110" s="9"/>
      <c r="R110" s="9"/>
    </row>
    <row r="111" spans="1:18">
      <c r="A111" s="8" t="s">
        <v>49</v>
      </c>
      <c r="B111" s="8" t="s">
        <v>50</v>
      </c>
      <c r="C111" s="8" t="s">
        <v>51</v>
      </c>
      <c r="D111" s="8">
        <v>471</v>
      </c>
      <c r="E111" s="8">
        <v>0</v>
      </c>
      <c r="F111" s="8">
        <v>817</v>
      </c>
      <c r="G111" s="1" t="str">
        <f t="shared" si="1"/>
        <v>KAHVETEPE0817</v>
      </c>
      <c r="H111" s="8"/>
      <c r="I111" s="9" t="e">
        <f>IF(VLOOKUP(G111,'Bereketli Satış'!J:AK,5,0)="","",VLOOKUP(G111,'Bereketli Satış'!J:AK,5,0))</f>
        <v>#N/A</v>
      </c>
      <c r="J111" s="9" t="e">
        <f>IF(VLOOKUP(G111,'Bereketli Satış'!J:AK,28,0)="","",VLOOKUP(G111,'Bereketli Satış'!J:AK,28,0))</f>
        <v>#N/A</v>
      </c>
      <c r="K111" s="9"/>
      <c r="L111" s="128"/>
      <c r="M111" s="100" t="e">
        <f>IF(VLOOKUP(G111,'Bereketli Satış'!J:AK,30,0)="","",VLOOKUP(G111,'Bereketli Satış'!J:AK,30,0))</f>
        <v>#N/A</v>
      </c>
      <c r="N111" s="9"/>
      <c r="O111" s="9"/>
      <c r="P111" s="9" t="e">
        <f>IF(VLOOKUP(G111,'Bereketli Satış'!J:AK,32,0)="","",VLOOKUP(G111,'Bereketli Satış'!J:AK,32,0))</f>
        <v>#N/A</v>
      </c>
      <c r="Q111" s="9"/>
      <c r="R111" s="9"/>
    </row>
    <row r="112" spans="1:18">
      <c r="A112" s="8" t="s">
        <v>14</v>
      </c>
      <c r="B112" s="8" t="s">
        <v>33</v>
      </c>
      <c r="C112" s="8" t="s">
        <v>42</v>
      </c>
      <c r="D112" s="8">
        <v>362.77</v>
      </c>
      <c r="E112" s="8">
        <v>118</v>
      </c>
      <c r="F112" s="1">
        <v>11</v>
      </c>
      <c r="G112" s="1" t="str">
        <f t="shared" si="1"/>
        <v>İBİLLER11811</v>
      </c>
      <c r="H112" s="1"/>
      <c r="I112" s="9" t="e">
        <f>IF(VLOOKUP(G112,'Bereketli Satış'!J:AK,5,0)="","",VLOOKUP(G112,'Bereketli Satış'!J:AK,5,0))</f>
        <v>#N/A</v>
      </c>
      <c r="J112" s="9" t="e">
        <f>IF(VLOOKUP(G112,'Bereketli Satış'!J:AK,28,0)="","",VLOOKUP(G112,'Bereketli Satış'!J:AK,28,0))</f>
        <v>#N/A</v>
      </c>
      <c r="K112" s="9"/>
      <c r="L112" s="128"/>
      <c r="M112" s="100" t="e">
        <f>IF(VLOOKUP(G112,'Bereketli Satış'!J:AK,30,0)="","",VLOOKUP(G112,'Bereketli Satış'!J:AK,30,0))</f>
        <v>#N/A</v>
      </c>
      <c r="N112" s="9"/>
      <c r="O112" s="9"/>
      <c r="P112" s="9" t="e">
        <f>IF(VLOOKUP(G112,'Bereketli Satış'!J:AK,32,0)="","",VLOOKUP(G112,'Bereketli Satış'!J:AK,32,0))</f>
        <v>#N/A</v>
      </c>
      <c r="Q112" s="9"/>
      <c r="R112" s="9"/>
    </row>
    <row r="113" spans="1:18">
      <c r="A113" s="8" t="s">
        <v>14</v>
      </c>
      <c r="B113" s="8" t="s">
        <v>33</v>
      </c>
      <c r="C113" s="8" t="s">
        <v>42</v>
      </c>
      <c r="D113" s="8">
        <v>363.2</v>
      </c>
      <c r="E113" s="8">
        <v>118</v>
      </c>
      <c r="F113" s="1">
        <v>10</v>
      </c>
      <c r="G113" s="1" t="str">
        <f t="shared" si="1"/>
        <v>İBİLLER11810</v>
      </c>
      <c r="H113" s="1"/>
      <c r="I113" s="9" t="e">
        <f>IF(VLOOKUP(G113,'Bereketli Satış'!J:AK,5,0)="","",VLOOKUP(G113,'Bereketli Satış'!J:AK,5,0))</f>
        <v>#N/A</v>
      </c>
      <c r="J113" s="9" t="e">
        <f>IF(VLOOKUP(G113,'Bereketli Satış'!J:AK,28,0)="","",VLOOKUP(G113,'Bereketli Satış'!J:AK,28,0))</f>
        <v>#N/A</v>
      </c>
      <c r="K113" s="9"/>
      <c r="L113" s="128"/>
      <c r="M113" s="100" t="e">
        <f>IF(VLOOKUP(G113,'Bereketli Satış'!J:AK,30,0)="","",VLOOKUP(G113,'Bereketli Satış'!J:AK,30,0))</f>
        <v>#N/A</v>
      </c>
      <c r="N113" s="100"/>
      <c r="O113" s="100"/>
      <c r="P113" s="9" t="e">
        <f>IF(VLOOKUP(G113,'Bereketli Satış'!J:AK,32,0)="","",VLOOKUP(G113,'Bereketli Satış'!J:AK,32,0))</f>
        <v>#N/A</v>
      </c>
      <c r="Q113" s="100"/>
      <c r="R113" s="100"/>
    </row>
    <row r="114" spans="1:18">
      <c r="A114" s="8" t="s">
        <v>17</v>
      </c>
      <c r="B114" s="8" t="s">
        <v>21</v>
      </c>
      <c r="C114" s="8" t="s">
        <v>52</v>
      </c>
      <c r="D114" s="8">
        <v>403</v>
      </c>
      <c r="E114" s="18">
        <v>132</v>
      </c>
      <c r="F114" s="8">
        <v>2</v>
      </c>
      <c r="G114" s="1" t="str">
        <f t="shared" si="1"/>
        <v>KEMALİYE1322</v>
      </c>
      <c r="H114" s="8"/>
      <c r="I114" s="9" t="e">
        <f>IF(VLOOKUP(G114,'Bereketli Satış'!J:AK,5,0)="","",VLOOKUP(G114,'Bereketli Satış'!J:AK,5,0))</f>
        <v>#N/A</v>
      </c>
      <c r="J114" s="9" t="e">
        <f>IF(VLOOKUP(G114,'Bereketli Satış'!J:AK,28,0)="","",VLOOKUP(G114,'Bereketli Satış'!J:AK,28,0))</f>
        <v>#N/A</v>
      </c>
      <c r="K114" s="100"/>
      <c r="L114" s="128"/>
      <c r="M114" s="100" t="e">
        <f>IF(VLOOKUP(G114,'Bereketli Satış'!J:AK,30,0)="","",VLOOKUP(G114,'Bereketli Satış'!J:AK,30,0))</f>
        <v>#N/A</v>
      </c>
      <c r="N114" s="9"/>
      <c r="O114" s="9"/>
      <c r="P114" s="9" t="e">
        <f>IF(VLOOKUP(G114,'Bereketli Satış'!J:AK,32,0)="","",VLOOKUP(G114,'Bereketli Satış'!J:AK,32,0))</f>
        <v>#N/A</v>
      </c>
      <c r="Q114" s="9"/>
      <c r="R114" s="9"/>
    </row>
    <row r="115" spans="1:18">
      <c r="A115" s="8" t="s">
        <v>14</v>
      </c>
      <c r="B115" s="8" t="s">
        <v>33</v>
      </c>
      <c r="C115" s="8" t="s">
        <v>42</v>
      </c>
      <c r="D115" s="8">
        <v>363.83</v>
      </c>
      <c r="E115" s="8">
        <v>119</v>
      </c>
      <c r="F115" s="1">
        <v>23</v>
      </c>
      <c r="G115" s="1" t="str">
        <f t="shared" si="1"/>
        <v>İBİLLER11923</v>
      </c>
      <c r="H115" s="1"/>
      <c r="I115" s="9" t="e">
        <f>IF(VLOOKUP(G115,'Bereketli Satış'!J:AK,5,0)="","",VLOOKUP(G115,'Bereketli Satış'!J:AK,5,0))</f>
        <v>#N/A</v>
      </c>
      <c r="J115" s="9" t="e">
        <f>IF(VLOOKUP(G115,'Bereketli Satış'!J:AK,28,0)="","",VLOOKUP(G115,'Bereketli Satış'!J:AK,28,0))</f>
        <v>#N/A</v>
      </c>
      <c r="K115" s="9"/>
      <c r="L115" s="128"/>
      <c r="M115" s="100" t="e">
        <f>IF(VLOOKUP(G115,'Bereketli Satış'!J:AK,30,0)="","",VLOOKUP(G115,'Bereketli Satış'!J:AK,30,0))</f>
        <v>#N/A</v>
      </c>
      <c r="N115" s="9"/>
      <c r="O115" s="9"/>
      <c r="P115" s="9" t="e">
        <f>IF(VLOOKUP(G115,'Bereketli Satış'!J:AK,32,0)="","",VLOOKUP(G115,'Bereketli Satış'!J:AK,32,0))</f>
        <v>#N/A</v>
      </c>
      <c r="Q115" s="9"/>
      <c r="R115" s="9"/>
    </row>
    <row r="116" spans="1:18">
      <c r="A116" s="8" t="s">
        <v>14</v>
      </c>
      <c r="B116" s="8" t="s">
        <v>33</v>
      </c>
      <c r="C116" s="8" t="s">
        <v>42</v>
      </c>
      <c r="D116" s="8">
        <v>372.68</v>
      </c>
      <c r="E116" s="8">
        <v>117</v>
      </c>
      <c r="F116" s="1">
        <v>24</v>
      </c>
      <c r="G116" s="1" t="str">
        <f t="shared" si="1"/>
        <v>İBİLLER11724</v>
      </c>
      <c r="H116" s="1"/>
      <c r="I116" s="9" t="e">
        <f>IF(VLOOKUP(G116,'Bereketli Satış'!J:AK,5,0)="","",VLOOKUP(G116,'Bereketli Satış'!J:AK,5,0))</f>
        <v>#N/A</v>
      </c>
      <c r="J116" s="9" t="e">
        <f>IF(VLOOKUP(G116,'Bereketli Satış'!J:AK,28,0)="","",VLOOKUP(G116,'Bereketli Satış'!J:AK,28,0))</f>
        <v>#N/A</v>
      </c>
      <c r="K116" s="9"/>
      <c r="L116" s="128"/>
      <c r="M116" s="100" t="e">
        <f>IF(VLOOKUP(G116,'Bereketli Satış'!J:AK,30,0)="","",VLOOKUP(G116,'Bereketli Satış'!J:AK,30,0))</f>
        <v>#N/A</v>
      </c>
      <c r="N116" s="9"/>
      <c r="O116" s="9"/>
      <c r="P116" s="9" t="e">
        <f>IF(VLOOKUP(G116,'Bereketli Satış'!J:AK,32,0)="","",VLOOKUP(G116,'Bereketli Satış'!J:AK,32,0))</f>
        <v>#N/A</v>
      </c>
      <c r="Q116" s="9"/>
      <c r="R116" s="9"/>
    </row>
    <row r="117" spans="1:18">
      <c r="A117" s="8" t="s">
        <v>14</v>
      </c>
      <c r="B117" s="8" t="s">
        <v>33</v>
      </c>
      <c r="C117" s="8" t="s">
        <v>42</v>
      </c>
      <c r="D117" s="8">
        <v>427.99</v>
      </c>
      <c r="E117" s="8">
        <v>118</v>
      </c>
      <c r="F117" s="1">
        <v>18</v>
      </c>
      <c r="G117" s="1" t="str">
        <f t="shared" si="1"/>
        <v>İBİLLER11818</v>
      </c>
      <c r="H117" s="1"/>
      <c r="I117" s="9" t="e">
        <f>IF(VLOOKUP(G117,'Bereketli Satış'!J:AK,5,0)="","",VLOOKUP(G117,'Bereketli Satış'!J:AK,5,0))</f>
        <v>#N/A</v>
      </c>
      <c r="J117" s="9" t="e">
        <f>IF(VLOOKUP(G117,'Bereketli Satış'!J:AK,28,0)="","",VLOOKUP(G117,'Bereketli Satış'!J:AK,28,0))</f>
        <v>#N/A</v>
      </c>
      <c r="K117" s="9"/>
      <c r="L117" s="128"/>
      <c r="M117" s="100" t="e">
        <f>IF(VLOOKUP(G117,'Bereketli Satış'!J:AK,30,0)="","",VLOOKUP(G117,'Bereketli Satış'!J:AK,30,0))</f>
        <v>#N/A</v>
      </c>
      <c r="N117" s="100"/>
      <c r="O117" s="100"/>
      <c r="P117" s="9" t="e">
        <f>IF(VLOOKUP(G117,'Bereketli Satış'!J:AK,32,0)="","",VLOOKUP(G117,'Bereketli Satış'!J:AK,32,0))</f>
        <v>#N/A</v>
      </c>
      <c r="Q117" s="100"/>
      <c r="R117" s="100"/>
    </row>
    <row r="118" spans="1:18">
      <c r="A118" s="8" t="s">
        <v>14</v>
      </c>
      <c r="B118" s="8" t="s">
        <v>15</v>
      </c>
      <c r="C118" s="8" t="s">
        <v>16</v>
      </c>
      <c r="D118" s="8">
        <v>326.64</v>
      </c>
      <c r="E118" s="8">
        <v>158</v>
      </c>
      <c r="F118" s="1">
        <v>14</v>
      </c>
      <c r="G118" s="1" t="str">
        <f t="shared" si="1"/>
        <v>REŞADİYE15814</v>
      </c>
      <c r="H118" s="1"/>
      <c r="I118" s="9" t="e">
        <f>IF(VLOOKUP(G118,'Bereketli Satış'!J:AK,5,0)="","",VLOOKUP(G118,'Bereketli Satış'!J:AK,5,0))</f>
        <v>#N/A</v>
      </c>
      <c r="J118" s="9" t="e">
        <f>IF(VLOOKUP(G118,'Bereketli Satış'!J:AK,28,0)="","",VLOOKUP(G118,'Bereketli Satış'!J:AK,28,0))</f>
        <v>#N/A</v>
      </c>
      <c r="K118" s="100"/>
      <c r="L118" s="128"/>
      <c r="M118" s="100" t="e">
        <f>IF(VLOOKUP(G118,'Bereketli Satış'!J:AK,30,0)="","",VLOOKUP(G118,'Bereketli Satış'!J:AK,30,0))</f>
        <v>#N/A</v>
      </c>
      <c r="N118" s="9"/>
      <c r="O118" s="9"/>
      <c r="P118" s="9" t="e">
        <f>IF(VLOOKUP(G118,'Bereketli Satış'!J:AK,32,0)="","",VLOOKUP(G118,'Bereketli Satış'!J:AK,32,0))</f>
        <v>#N/A</v>
      </c>
      <c r="Q118" s="9"/>
      <c r="R118" s="9"/>
    </row>
    <row r="119" spans="1:18">
      <c r="A119" s="8" t="s">
        <v>14</v>
      </c>
      <c r="B119" s="8" t="s">
        <v>15</v>
      </c>
      <c r="C119" s="8" t="s">
        <v>16</v>
      </c>
      <c r="D119" s="8">
        <v>329.13</v>
      </c>
      <c r="E119" s="8">
        <v>161</v>
      </c>
      <c r="F119" s="1">
        <v>9</v>
      </c>
      <c r="G119" s="1" t="str">
        <f t="shared" si="1"/>
        <v>REŞADİYE1619</v>
      </c>
      <c r="H119" s="1"/>
      <c r="I119" s="9" t="e">
        <f>IF(VLOOKUP(G119,'Bereketli Satış'!J:AK,5,0)="","",VLOOKUP(G119,'Bereketli Satış'!J:AK,5,0))</f>
        <v>#N/A</v>
      </c>
      <c r="J119" s="9" t="e">
        <f>IF(VLOOKUP(G119,'Bereketli Satış'!J:AK,28,0)="","",VLOOKUP(G119,'Bereketli Satış'!J:AK,28,0))</f>
        <v>#N/A</v>
      </c>
      <c r="K119" s="9"/>
      <c r="L119" s="128"/>
      <c r="M119" s="100" t="e">
        <f>IF(VLOOKUP(G119,'Bereketli Satış'!J:AK,30,0)="","",VLOOKUP(G119,'Bereketli Satış'!J:AK,30,0))</f>
        <v>#N/A</v>
      </c>
      <c r="N119" s="100"/>
      <c r="O119" s="100"/>
      <c r="P119" s="9" t="e">
        <f>IF(VLOOKUP(G119,'Bereketli Satış'!J:AK,32,0)="","",VLOOKUP(G119,'Bereketli Satış'!J:AK,32,0))</f>
        <v>#N/A</v>
      </c>
      <c r="Q119" s="100"/>
      <c r="R119" s="100"/>
    </row>
    <row r="120" spans="1:18">
      <c r="A120" s="8" t="s">
        <v>14</v>
      </c>
      <c r="B120" s="8" t="s">
        <v>15</v>
      </c>
      <c r="C120" s="8" t="s">
        <v>16</v>
      </c>
      <c r="D120" s="8">
        <v>339.27</v>
      </c>
      <c r="E120" s="8">
        <v>170</v>
      </c>
      <c r="F120" s="1">
        <v>10</v>
      </c>
      <c r="G120" s="1" t="str">
        <f t="shared" si="1"/>
        <v>REŞADİYE17010</v>
      </c>
      <c r="H120" s="1"/>
      <c r="I120" s="9" t="e">
        <f>IF(VLOOKUP(G120,'Bereketli Satış'!J:AK,5,0)="","",VLOOKUP(G120,'Bereketli Satış'!J:AK,5,0))</f>
        <v>#N/A</v>
      </c>
      <c r="J120" s="9" t="e">
        <f>IF(VLOOKUP(G120,'Bereketli Satış'!J:AK,28,0)="","",VLOOKUP(G120,'Bereketli Satış'!J:AK,28,0))</f>
        <v>#N/A</v>
      </c>
      <c r="K120" s="100"/>
      <c r="L120" s="128"/>
      <c r="M120" s="100" t="e">
        <f>IF(VLOOKUP(G120,'Bereketli Satış'!J:AK,30,0)="","",VLOOKUP(G120,'Bereketli Satış'!J:AK,30,0))</f>
        <v>#N/A</v>
      </c>
      <c r="N120" s="9"/>
      <c r="O120" s="9"/>
      <c r="P120" s="9" t="e">
        <f>IF(VLOOKUP(G120,'Bereketli Satış'!J:AK,32,0)="","",VLOOKUP(G120,'Bereketli Satış'!J:AK,32,0))</f>
        <v>#N/A</v>
      </c>
      <c r="Q120" s="9"/>
      <c r="R120" s="9"/>
    </row>
    <row r="121" spans="1:18">
      <c r="A121" s="8" t="s">
        <v>14</v>
      </c>
      <c r="B121" s="8" t="s">
        <v>15</v>
      </c>
      <c r="C121" s="8" t="s">
        <v>16</v>
      </c>
      <c r="D121" s="8">
        <v>353.16</v>
      </c>
      <c r="E121" s="8">
        <v>158</v>
      </c>
      <c r="F121" s="1">
        <v>17</v>
      </c>
      <c r="G121" s="1" t="str">
        <f t="shared" si="1"/>
        <v>REŞADİYE15817</v>
      </c>
      <c r="H121" s="1"/>
      <c r="I121" s="9" t="e">
        <f>IF(VLOOKUP(G121,'Bereketli Satış'!J:AK,5,0)="","",VLOOKUP(G121,'Bereketli Satış'!J:AK,5,0))</f>
        <v>#N/A</v>
      </c>
      <c r="J121" s="9" t="e">
        <f>IF(VLOOKUP(G121,'Bereketli Satış'!J:AK,28,0)="","",VLOOKUP(G121,'Bereketli Satış'!J:AK,28,0))</f>
        <v>#N/A</v>
      </c>
      <c r="K121" s="9"/>
      <c r="L121" s="128"/>
      <c r="M121" s="100" t="e">
        <f>IF(VLOOKUP(G121,'Bereketli Satış'!J:AK,30,0)="","",VLOOKUP(G121,'Bereketli Satış'!J:AK,30,0))</f>
        <v>#N/A</v>
      </c>
      <c r="N121" s="9"/>
      <c r="O121" s="9"/>
      <c r="P121" s="9" t="e">
        <f>IF(VLOOKUP(G121,'Bereketli Satış'!J:AK,32,0)="","",VLOOKUP(G121,'Bereketli Satış'!J:AK,32,0))</f>
        <v>#N/A</v>
      </c>
      <c r="Q121" s="9"/>
      <c r="R121" s="9"/>
    </row>
    <row r="122" spans="1:18">
      <c r="A122" s="8" t="s">
        <v>14</v>
      </c>
      <c r="B122" s="8" t="s">
        <v>15</v>
      </c>
      <c r="C122" s="8" t="s">
        <v>16</v>
      </c>
      <c r="D122" s="8">
        <v>335.81</v>
      </c>
      <c r="E122" s="8">
        <v>168</v>
      </c>
      <c r="F122" s="1">
        <v>9</v>
      </c>
      <c r="G122" s="1" t="str">
        <f t="shared" si="1"/>
        <v>REŞADİYE1689</v>
      </c>
      <c r="H122" s="1"/>
      <c r="I122" s="9" t="e">
        <f>IF(VLOOKUP(G122,'Bereketli Satış'!J:AK,5,0)="","",VLOOKUP(G122,'Bereketli Satış'!J:AK,5,0))</f>
        <v>#N/A</v>
      </c>
      <c r="J122" s="9" t="e">
        <f>IF(VLOOKUP(G122,'Bereketli Satış'!J:AK,28,0)="","",VLOOKUP(G122,'Bereketli Satış'!J:AK,28,0))</f>
        <v>#N/A</v>
      </c>
      <c r="K122" s="9"/>
      <c r="L122" s="128"/>
      <c r="M122" s="100" t="e">
        <f>IF(VLOOKUP(G122,'Bereketli Satış'!J:AK,30,0)="","",VLOOKUP(G122,'Bereketli Satış'!J:AK,30,0))</f>
        <v>#N/A</v>
      </c>
      <c r="N122" s="9"/>
      <c r="O122" s="9"/>
      <c r="P122" s="9" t="e">
        <f>IF(VLOOKUP(G122,'Bereketli Satış'!J:AK,32,0)="","",VLOOKUP(G122,'Bereketli Satış'!J:AK,32,0))</f>
        <v>#N/A</v>
      </c>
      <c r="Q122" s="9"/>
      <c r="R122" s="9"/>
    </row>
    <row r="123" spans="1:18">
      <c r="A123" s="8" t="s">
        <v>14</v>
      </c>
      <c r="B123" s="8" t="s">
        <v>15</v>
      </c>
      <c r="C123" s="8" t="s">
        <v>16</v>
      </c>
      <c r="D123" s="8">
        <v>335.81</v>
      </c>
      <c r="E123" s="8">
        <v>168</v>
      </c>
      <c r="F123" s="1">
        <v>10</v>
      </c>
      <c r="G123" s="1" t="str">
        <f t="shared" si="1"/>
        <v>REŞADİYE16810</v>
      </c>
      <c r="H123" s="1"/>
      <c r="I123" s="9" t="e">
        <f>IF(VLOOKUP(G123,'Bereketli Satış'!J:AK,5,0)="","",VLOOKUP(G123,'Bereketli Satış'!J:AK,5,0))</f>
        <v>#N/A</v>
      </c>
      <c r="J123" s="9" t="e">
        <f>IF(VLOOKUP(G123,'Bereketli Satış'!J:AK,28,0)="","",VLOOKUP(G123,'Bereketli Satış'!J:AK,28,0))</f>
        <v>#N/A</v>
      </c>
      <c r="K123" s="9"/>
      <c r="L123" s="128"/>
      <c r="M123" s="100" t="e">
        <f>IF(VLOOKUP(G123,'Bereketli Satış'!J:AK,30,0)="","",VLOOKUP(G123,'Bereketli Satış'!J:AK,30,0))</f>
        <v>#N/A</v>
      </c>
      <c r="N123" s="9"/>
      <c r="O123" s="9"/>
      <c r="P123" s="9" t="e">
        <f>IF(VLOOKUP(G123,'Bereketli Satış'!J:AK,32,0)="","",VLOOKUP(G123,'Bereketli Satış'!J:AK,32,0))</f>
        <v>#N/A</v>
      </c>
      <c r="Q123" s="9"/>
      <c r="R123" s="9"/>
    </row>
    <row r="124" spans="1:18">
      <c r="A124" s="8" t="s">
        <v>14</v>
      </c>
      <c r="B124" s="8" t="s">
        <v>15</v>
      </c>
      <c r="C124" s="8" t="s">
        <v>16</v>
      </c>
      <c r="D124" s="8">
        <v>337.9</v>
      </c>
      <c r="E124" s="8">
        <v>167</v>
      </c>
      <c r="F124" s="1">
        <v>9</v>
      </c>
      <c r="G124" s="1" t="str">
        <f t="shared" si="1"/>
        <v>REŞADİYE1679</v>
      </c>
      <c r="H124" s="1">
        <v>131236862</v>
      </c>
      <c r="I124" s="9" t="e">
        <f>IF(VLOOKUP(G124,'Bereketli Satış'!J:AK,5,0)="","",VLOOKUP(G124,'Bereketli Satış'!J:AK,5,0))</f>
        <v>#N/A</v>
      </c>
      <c r="J124" s="9" t="e">
        <f>IF(VLOOKUP(G124,'Bereketli Satış'!J:AK,28,0)="","",VLOOKUP(G124,'Bereketli Satış'!J:AK,28,0))</f>
        <v>#N/A</v>
      </c>
      <c r="K124" s="9"/>
      <c r="L124" s="128"/>
      <c r="M124" s="100" t="s">
        <v>53</v>
      </c>
      <c r="N124" s="9"/>
      <c r="O124" s="128">
        <v>46452</v>
      </c>
      <c r="P124" s="9" t="e">
        <f>IF(VLOOKUP(G124,'Bereketli Satış'!J:AK,32,0)="","",VLOOKUP(G124,'Bereketli Satış'!J:AK,32,0))</f>
        <v>#N/A</v>
      </c>
      <c r="Q124" s="9"/>
      <c r="R124" s="9"/>
    </row>
    <row r="125" spans="1:18">
      <c r="A125" s="8" t="s">
        <v>14</v>
      </c>
      <c r="B125" s="8" t="s">
        <v>15</v>
      </c>
      <c r="C125" s="8" t="s">
        <v>16</v>
      </c>
      <c r="D125" s="8">
        <v>337.9</v>
      </c>
      <c r="E125" s="8">
        <v>167</v>
      </c>
      <c r="F125" s="1">
        <v>10</v>
      </c>
      <c r="G125" s="1" t="str">
        <f t="shared" si="1"/>
        <v>REŞADİYE16710</v>
      </c>
      <c r="H125" s="1">
        <v>131236863</v>
      </c>
      <c r="I125" s="9" t="e">
        <f>IF(VLOOKUP(G125,'Bereketli Satış'!J:AK,5,0)="","",VLOOKUP(G125,'Bereketli Satış'!J:AK,5,0))</f>
        <v>#N/A</v>
      </c>
      <c r="J125" s="9" t="e">
        <f>IF(VLOOKUP(G125,'Bereketli Satış'!J:AK,28,0)="","",VLOOKUP(G125,'Bereketli Satış'!J:AK,28,0))</f>
        <v>#N/A</v>
      </c>
      <c r="K125" s="9"/>
      <c r="L125" s="128"/>
      <c r="M125" s="100" t="s">
        <v>53</v>
      </c>
      <c r="N125" s="9"/>
      <c r="O125" s="128">
        <v>46452</v>
      </c>
      <c r="P125" s="9" t="e">
        <f>IF(VLOOKUP(G125,'Bereketli Satış'!J:AK,32,0)="","",VLOOKUP(G125,'Bereketli Satış'!J:AK,32,0))</f>
        <v>#N/A</v>
      </c>
      <c r="Q125" s="9"/>
      <c r="R125" s="9"/>
    </row>
    <row r="126" spans="1:18">
      <c r="A126" s="8" t="s">
        <v>14</v>
      </c>
      <c r="B126" s="8" t="s">
        <v>28</v>
      </c>
      <c r="C126" s="8" t="s">
        <v>45</v>
      </c>
      <c r="D126" s="8">
        <v>361.8</v>
      </c>
      <c r="E126" s="8">
        <v>670</v>
      </c>
      <c r="F126" s="1">
        <v>3</v>
      </c>
      <c r="G126" s="1" t="str">
        <f t="shared" si="1"/>
        <v>DELİCE6703</v>
      </c>
      <c r="H126" s="1">
        <v>132224607</v>
      </c>
      <c r="I126" s="9" t="e">
        <f>IF(VLOOKUP(G126,'Bereketli Satış'!J:AK,5,0)="","",VLOOKUP(G126,'Bereketli Satış'!J:AK,5,0))</f>
        <v>#N/A</v>
      </c>
      <c r="J126" s="9" t="e">
        <f>IF(VLOOKUP(G126,'Bereketli Satış'!J:AK,28,0)="","",VLOOKUP(G126,'Bereketli Satış'!J:AK,28,0))</f>
        <v>#N/A</v>
      </c>
      <c r="K126" s="9"/>
      <c r="L126" s="128">
        <v>46477</v>
      </c>
      <c r="M126" s="100" t="e">
        <f>IF(VLOOKUP(G126,'Bereketli Satış'!J:AK,30,0)="","",VLOOKUP(G126,'Bereketli Satış'!J:AK,30,0))</f>
        <v>#N/A</v>
      </c>
      <c r="N126" s="100"/>
      <c r="O126" s="100"/>
      <c r="P126" s="9" t="e">
        <f>IF(VLOOKUP(G126,'Bereketli Satış'!J:AK,32,0)="","",VLOOKUP(G126,'Bereketli Satış'!J:AK,32,0))</f>
        <v>#N/A</v>
      </c>
      <c r="Q126" s="100"/>
      <c r="R126" s="100"/>
    </row>
    <row r="127" spans="1:18">
      <c r="A127" s="8" t="s">
        <v>14</v>
      </c>
      <c r="B127" s="8" t="s">
        <v>15</v>
      </c>
      <c r="C127" s="8" t="s">
        <v>16</v>
      </c>
      <c r="D127" s="8">
        <v>341.92</v>
      </c>
      <c r="E127" s="8">
        <v>166</v>
      </c>
      <c r="F127" s="1">
        <v>10</v>
      </c>
      <c r="G127" s="1" t="str">
        <f t="shared" si="1"/>
        <v>REŞADİYE16610</v>
      </c>
      <c r="H127" s="1"/>
      <c r="I127" s="9" t="e">
        <f>IF(VLOOKUP(G127,'Bereketli Satış'!J:AK,5,0)="","",VLOOKUP(G127,'Bereketli Satış'!J:AK,5,0))</f>
        <v>#N/A</v>
      </c>
      <c r="J127" s="9" t="e">
        <f>IF(VLOOKUP(G127,'Bereketli Satış'!J:AK,28,0)="","",VLOOKUP(G127,'Bereketli Satış'!J:AK,28,0))</f>
        <v>#N/A</v>
      </c>
      <c r="K127" s="100"/>
      <c r="L127" s="128"/>
      <c r="M127" s="100" t="e">
        <f>IF(VLOOKUP(G127,'Bereketli Satış'!J:AK,30,0)="","",VLOOKUP(G127,'Bereketli Satış'!J:AK,30,0))</f>
        <v>#N/A</v>
      </c>
      <c r="N127" s="100"/>
      <c r="O127" s="100"/>
      <c r="P127" s="9" t="e">
        <f>IF(VLOOKUP(G127,'Bereketli Satış'!J:AK,32,0)="","",VLOOKUP(G127,'Bereketli Satış'!J:AK,32,0))</f>
        <v>#N/A</v>
      </c>
      <c r="Q127" s="100"/>
      <c r="R127" s="100"/>
    </row>
    <row r="128" spans="1:18">
      <c r="A128" s="8" t="s">
        <v>14</v>
      </c>
      <c r="B128" s="8" t="s">
        <v>15</v>
      </c>
      <c r="C128" s="8" t="s">
        <v>16</v>
      </c>
      <c r="D128" s="8">
        <v>341.92</v>
      </c>
      <c r="E128" s="8">
        <v>166</v>
      </c>
      <c r="F128" s="1">
        <v>9</v>
      </c>
      <c r="G128" s="1" t="str">
        <f t="shared" si="1"/>
        <v>REŞADİYE1669</v>
      </c>
      <c r="H128" s="1"/>
      <c r="I128" s="9" t="e">
        <f>IF(VLOOKUP(G128,'Bereketli Satış'!J:AK,5,0)="","",VLOOKUP(G128,'Bereketli Satış'!J:AK,5,0))</f>
        <v>#N/A</v>
      </c>
      <c r="J128" s="9" t="e">
        <f>IF(VLOOKUP(G128,'Bereketli Satış'!J:AK,28,0)="","",VLOOKUP(G128,'Bereketli Satış'!J:AK,28,0))</f>
        <v>#N/A</v>
      </c>
      <c r="K128" s="100"/>
      <c r="L128" s="128"/>
      <c r="M128" s="100" t="e">
        <f>IF(VLOOKUP(G128,'Bereketli Satış'!J:AK,30,0)="","",VLOOKUP(G128,'Bereketli Satış'!J:AK,30,0))</f>
        <v>#N/A</v>
      </c>
      <c r="N128" s="100"/>
      <c r="O128" s="100"/>
      <c r="P128" s="9" t="e">
        <f>IF(VLOOKUP(G128,'Bereketli Satış'!J:AK,32,0)="","",VLOOKUP(G128,'Bereketli Satış'!J:AK,32,0))</f>
        <v>#N/A</v>
      </c>
      <c r="Q128" s="100"/>
      <c r="R128" s="100"/>
    </row>
    <row r="129" spans="1:18">
      <c r="A129" s="8" t="s">
        <v>14</v>
      </c>
      <c r="B129" s="8" t="s">
        <v>33</v>
      </c>
      <c r="C129" s="8" t="s">
        <v>54</v>
      </c>
      <c r="D129" s="8">
        <v>310.89999999999998</v>
      </c>
      <c r="E129" s="18">
        <v>315</v>
      </c>
      <c r="F129" s="8">
        <v>13</v>
      </c>
      <c r="G129" s="1" t="str">
        <f t="shared" si="1"/>
        <v>KINIK31513</v>
      </c>
      <c r="H129" s="8"/>
      <c r="I129" s="9" t="e">
        <f>IF(VLOOKUP(G129,'Bereketli Satış'!J:AK,5,0)="","",VLOOKUP(G129,'Bereketli Satış'!J:AK,5,0))</f>
        <v>#N/A</v>
      </c>
      <c r="J129" s="9" t="e">
        <f>IF(VLOOKUP(G129,'Bereketli Satış'!J:AK,28,0)="","",VLOOKUP(G129,'Bereketli Satış'!J:AK,28,0))</f>
        <v>#N/A</v>
      </c>
      <c r="K129" s="100"/>
      <c r="L129" s="128"/>
      <c r="M129" s="100" t="e">
        <f>IF(VLOOKUP(G129,'Bereketli Satış'!J:AK,30,0)="","",VLOOKUP(G129,'Bereketli Satış'!J:AK,30,0))</f>
        <v>#N/A</v>
      </c>
      <c r="N129" s="100"/>
      <c r="O129" s="100"/>
      <c r="P129" s="9" t="e">
        <f>IF(VLOOKUP(G129,'Bereketli Satış'!J:AK,32,0)="","",VLOOKUP(G129,'Bereketli Satış'!J:AK,32,0))</f>
        <v>#N/A</v>
      </c>
      <c r="Q129" s="100"/>
      <c r="R129" s="100"/>
    </row>
    <row r="130" spans="1:18">
      <c r="A130" s="8" t="s">
        <v>14</v>
      </c>
      <c r="B130" s="8" t="s">
        <v>23</v>
      </c>
      <c r="C130" s="8" t="s">
        <v>55</v>
      </c>
      <c r="D130" s="8">
        <v>433.54</v>
      </c>
      <c r="E130" s="18">
        <v>180</v>
      </c>
      <c r="F130" s="8">
        <v>13</v>
      </c>
      <c r="G130" s="1" t="str">
        <f t="shared" si="1"/>
        <v>KIRMIZILAR18013</v>
      </c>
      <c r="H130" s="8"/>
      <c r="I130" s="9" t="e">
        <f>IF(VLOOKUP(G130,'Bereketli Satış'!J:AK,5,0)="","",VLOOKUP(G130,'Bereketli Satış'!J:AK,5,0))</f>
        <v>#N/A</v>
      </c>
      <c r="J130" s="9" t="e">
        <f>IF(VLOOKUP(G130,'Bereketli Satış'!J:AK,28,0)="","",VLOOKUP(G130,'Bereketli Satış'!J:AK,28,0))</f>
        <v>#N/A</v>
      </c>
      <c r="K130" s="100"/>
      <c r="L130" s="128"/>
      <c r="M130" s="100" t="e">
        <f>IF(VLOOKUP(G130,'Bereketli Satış'!J:AK,30,0)="","",VLOOKUP(G130,'Bereketli Satış'!J:AK,30,0))</f>
        <v>#N/A</v>
      </c>
      <c r="N130" s="100"/>
      <c r="O130" s="100"/>
      <c r="P130" s="9" t="e">
        <f>IF(VLOOKUP(G130,'Bereketli Satış'!J:AK,32,0)="","",VLOOKUP(G130,'Bereketli Satış'!J:AK,32,0))</f>
        <v>#N/A</v>
      </c>
      <c r="Q130" s="100"/>
      <c r="R130" s="100"/>
    </row>
    <row r="131" spans="1:18">
      <c r="A131" s="8" t="s">
        <v>14</v>
      </c>
      <c r="B131" s="8" t="s">
        <v>15</v>
      </c>
      <c r="C131" s="8" t="s">
        <v>16</v>
      </c>
      <c r="D131" s="8">
        <v>346.88</v>
      </c>
      <c r="E131" s="8">
        <v>170</v>
      </c>
      <c r="F131" s="1">
        <v>11</v>
      </c>
      <c r="G131" s="1" t="str">
        <f t="shared" ref="G131:G194" si="2">C131&amp;E131&amp;F131</f>
        <v>REŞADİYE17011</v>
      </c>
      <c r="H131" s="1"/>
      <c r="I131" s="9" t="e">
        <f>IF(VLOOKUP(G131,'Bereketli Satış'!J:AK,5,0)="","",VLOOKUP(G131,'Bereketli Satış'!J:AK,5,0))</f>
        <v>#N/A</v>
      </c>
      <c r="J131" s="9" t="e">
        <f>IF(VLOOKUP(G131,'Bereketli Satış'!J:AK,28,0)="","",VLOOKUP(G131,'Bereketli Satış'!J:AK,28,0))</f>
        <v>#N/A</v>
      </c>
      <c r="K131" s="100"/>
      <c r="L131" s="128"/>
      <c r="M131" s="100" t="e">
        <f>IF(VLOOKUP(G131,'Bereketli Satış'!J:AK,30,0)="","",VLOOKUP(G131,'Bereketli Satış'!J:AK,30,0))</f>
        <v>#N/A</v>
      </c>
      <c r="N131" s="100"/>
      <c r="O131" s="100"/>
      <c r="P131" s="9" t="e">
        <f>IF(VLOOKUP(G131,'Bereketli Satış'!J:AK,32,0)="","",VLOOKUP(G131,'Bereketli Satış'!J:AK,32,0))</f>
        <v>#N/A</v>
      </c>
      <c r="Q131" s="100"/>
      <c r="R131" s="100"/>
    </row>
    <row r="132" spans="1:18">
      <c r="A132" s="8" t="s">
        <v>14</v>
      </c>
      <c r="B132" s="8" t="s">
        <v>15</v>
      </c>
      <c r="C132" s="8" t="s">
        <v>16</v>
      </c>
      <c r="D132" s="8">
        <v>348.76</v>
      </c>
      <c r="E132" s="8">
        <v>170</v>
      </c>
      <c r="F132" s="1">
        <v>12</v>
      </c>
      <c r="G132" s="1" t="str">
        <f t="shared" si="2"/>
        <v>REŞADİYE17012</v>
      </c>
      <c r="H132" s="1"/>
      <c r="I132" s="9" t="e">
        <f>IF(VLOOKUP(G132,'Bereketli Satış'!J:AK,5,0)="","",VLOOKUP(G132,'Bereketli Satış'!J:AK,5,0))</f>
        <v>#N/A</v>
      </c>
      <c r="J132" s="9" t="e">
        <f>IF(VLOOKUP(G132,'Bereketli Satış'!J:AK,28,0)="","",VLOOKUP(G132,'Bereketli Satış'!J:AK,28,0))</f>
        <v>#N/A</v>
      </c>
      <c r="K132" s="100"/>
      <c r="L132" s="128"/>
      <c r="M132" s="100" t="e">
        <f>IF(VLOOKUP(G132,'Bereketli Satış'!J:AK,30,0)="","",VLOOKUP(G132,'Bereketli Satış'!J:AK,30,0))</f>
        <v>#N/A</v>
      </c>
      <c r="N132" s="100"/>
      <c r="O132" s="100"/>
      <c r="P132" s="9" t="e">
        <f>IF(VLOOKUP(G132,'Bereketli Satış'!J:AK,32,0)="","",VLOOKUP(G132,'Bereketli Satış'!J:AK,32,0))</f>
        <v>#N/A</v>
      </c>
      <c r="Q132" s="100"/>
      <c r="R132" s="100"/>
    </row>
    <row r="133" spans="1:18">
      <c r="A133" s="8" t="s">
        <v>17</v>
      </c>
      <c r="B133" s="8" t="s">
        <v>21</v>
      </c>
      <c r="C133" s="8" t="s">
        <v>22</v>
      </c>
      <c r="D133" s="8">
        <v>529</v>
      </c>
      <c r="E133" s="18">
        <v>214</v>
      </c>
      <c r="F133" s="8">
        <v>10</v>
      </c>
      <c r="G133" s="1" t="str">
        <f t="shared" si="2"/>
        <v>KİLLİK21410</v>
      </c>
      <c r="H133" s="8"/>
      <c r="I133" s="9" t="e">
        <f>IF(VLOOKUP(G133,'Bereketli Satış'!J:AK,5,0)="","",VLOOKUP(G133,'Bereketli Satış'!J:AK,5,0))</f>
        <v>#N/A</v>
      </c>
      <c r="J133" s="9" t="e">
        <f>IF(VLOOKUP(G133,'Bereketli Satış'!J:AK,28,0)="","",VLOOKUP(G133,'Bereketli Satış'!J:AK,28,0))</f>
        <v>#N/A</v>
      </c>
      <c r="K133" s="100"/>
      <c r="L133" s="128"/>
      <c r="M133" s="100" t="e">
        <f>IF(VLOOKUP(G133,'Bereketli Satış'!J:AK,30,0)="","",VLOOKUP(G133,'Bereketli Satış'!J:AK,30,0))</f>
        <v>#N/A</v>
      </c>
      <c r="N133" s="9"/>
      <c r="O133" s="9"/>
      <c r="P133" s="9" t="e">
        <f>IF(VLOOKUP(G133,'Bereketli Satış'!J:AK,32,0)="","",VLOOKUP(G133,'Bereketli Satış'!J:AK,32,0))</f>
        <v>#N/A</v>
      </c>
      <c r="Q133" s="9"/>
      <c r="R133" s="9"/>
    </row>
    <row r="134" spans="1:18">
      <c r="A134" s="8" t="s">
        <v>14</v>
      </c>
      <c r="B134" s="8" t="s">
        <v>28</v>
      </c>
      <c r="C134" s="8" t="s">
        <v>45</v>
      </c>
      <c r="D134" s="8">
        <v>390.18</v>
      </c>
      <c r="E134" s="8">
        <v>670</v>
      </c>
      <c r="F134" s="1">
        <v>2</v>
      </c>
      <c r="G134" s="1" t="str">
        <f t="shared" si="2"/>
        <v>DELİCE6702</v>
      </c>
      <c r="H134" s="1"/>
      <c r="I134" s="9" t="e">
        <f>IF(VLOOKUP(G134,'Bereketli Satış'!J:AK,5,0)="","",VLOOKUP(G134,'Bereketli Satış'!J:AK,5,0))</f>
        <v>#N/A</v>
      </c>
      <c r="J134" s="9" t="e">
        <f>IF(VLOOKUP(G134,'Bereketli Satış'!J:AK,28,0)="","",VLOOKUP(G134,'Bereketli Satış'!J:AK,28,0))</f>
        <v>#N/A</v>
      </c>
      <c r="K134" s="9"/>
      <c r="L134" s="128"/>
      <c r="M134" s="100" t="e">
        <f>IF(VLOOKUP(G134,'Bereketli Satış'!J:AK,30,0)="","",VLOOKUP(G134,'Bereketli Satış'!J:AK,30,0))</f>
        <v>#N/A</v>
      </c>
      <c r="N134" s="100"/>
      <c r="O134" s="100"/>
      <c r="P134" s="9" t="e">
        <f>IF(VLOOKUP(G134,'Bereketli Satış'!J:AK,32,0)="","",VLOOKUP(G134,'Bereketli Satış'!J:AK,32,0))</f>
        <v>#N/A</v>
      </c>
      <c r="Q134" s="100"/>
      <c r="R134" s="100"/>
    </row>
    <row r="135" spans="1:18">
      <c r="A135" s="8" t="s">
        <v>14</v>
      </c>
      <c r="B135" s="8" t="s">
        <v>23</v>
      </c>
      <c r="C135" s="8" t="s">
        <v>56</v>
      </c>
      <c r="D135" s="8">
        <v>321.12</v>
      </c>
      <c r="E135" s="18">
        <v>14236</v>
      </c>
      <c r="F135" s="8">
        <v>20</v>
      </c>
      <c r="G135" s="1" t="str">
        <f t="shared" si="2"/>
        <v>KUVAYİ MİLLİYE1423620</v>
      </c>
      <c r="H135" s="8"/>
      <c r="I135" s="9" t="e">
        <f>IF(VLOOKUP(G135,'Bereketli Satış'!J:AK,5,0)="","",VLOOKUP(G135,'Bereketli Satış'!J:AK,5,0))</f>
        <v>#N/A</v>
      </c>
      <c r="J135" s="9" t="e">
        <f>IF(VLOOKUP(G135,'Bereketli Satış'!J:AK,28,0)="","",VLOOKUP(G135,'Bereketli Satış'!J:AK,28,0))</f>
        <v>#N/A</v>
      </c>
      <c r="K135" s="100"/>
      <c r="L135" s="128"/>
      <c r="M135" s="100" t="e">
        <f>IF(VLOOKUP(G135,'Bereketli Satış'!J:AK,30,0)="","",VLOOKUP(G135,'Bereketli Satış'!J:AK,30,0))</f>
        <v>#N/A</v>
      </c>
      <c r="N135" s="9"/>
      <c r="O135" s="9"/>
      <c r="P135" s="9" t="e">
        <f>IF(VLOOKUP(G135,'Bereketli Satış'!J:AK,32,0)="","",VLOOKUP(G135,'Bereketli Satış'!J:AK,32,0))</f>
        <v>#N/A</v>
      </c>
      <c r="Q135" s="9"/>
      <c r="R135" s="9"/>
    </row>
    <row r="136" spans="1:18">
      <c r="A136" s="8" t="s">
        <v>17</v>
      </c>
      <c r="B136" s="8" t="s">
        <v>57</v>
      </c>
      <c r="C136" s="8" t="s">
        <v>58</v>
      </c>
      <c r="D136" s="8">
        <v>518</v>
      </c>
      <c r="E136" s="8">
        <v>0</v>
      </c>
      <c r="F136" s="3">
        <v>970</v>
      </c>
      <c r="G136" s="1" t="str">
        <f t="shared" si="2"/>
        <v>MİLİNGE0970</v>
      </c>
      <c r="H136" s="3"/>
      <c r="I136" s="9" t="e">
        <f>IF(VLOOKUP(G136,'Bereketli Satış'!J:AK,5,0)="","",VLOOKUP(G136,'Bereketli Satış'!J:AK,5,0))</f>
        <v>#N/A</v>
      </c>
      <c r="J136" s="9" t="e">
        <f>IF(VLOOKUP(G136,'Bereketli Satış'!J:AK,28,0)="","",VLOOKUP(G136,'Bereketli Satış'!J:AK,28,0))</f>
        <v>#N/A</v>
      </c>
      <c r="K136" s="9"/>
      <c r="L136" s="128"/>
      <c r="M136" s="100" t="e">
        <f>IF(VLOOKUP(G136,'Bereketli Satış'!J:AK,30,0)="","",VLOOKUP(G136,'Bereketli Satış'!J:AK,30,0))</f>
        <v>#N/A</v>
      </c>
      <c r="N136" s="9"/>
      <c r="O136" s="9"/>
      <c r="P136" s="9" t="e">
        <f>IF(VLOOKUP(G136,'Bereketli Satış'!J:AK,32,0)="","",VLOOKUP(G136,'Bereketli Satış'!J:AK,32,0))</f>
        <v>#N/A</v>
      </c>
      <c r="Q136" s="9"/>
      <c r="R136" s="9"/>
    </row>
    <row r="137" spans="1:18">
      <c r="A137" s="8" t="s">
        <v>14</v>
      </c>
      <c r="B137" s="8" t="s">
        <v>15</v>
      </c>
      <c r="C137" s="8" t="s">
        <v>16</v>
      </c>
      <c r="D137" s="8">
        <v>379.5</v>
      </c>
      <c r="E137" s="8">
        <v>171</v>
      </c>
      <c r="F137" s="1">
        <v>13</v>
      </c>
      <c r="G137" s="1" t="str">
        <f t="shared" si="2"/>
        <v>REŞADİYE17113</v>
      </c>
      <c r="H137" s="1"/>
      <c r="I137" s="9" t="e">
        <f>IF(VLOOKUP(G137,'Bereketli Satış'!J:AK,5,0)="","",VLOOKUP(G137,'Bereketli Satış'!J:AK,5,0))</f>
        <v>#N/A</v>
      </c>
      <c r="J137" s="9" t="e">
        <f>IF(VLOOKUP(G137,'Bereketli Satış'!J:AK,28,0)="","",VLOOKUP(G137,'Bereketli Satış'!J:AK,28,0))</f>
        <v>#N/A</v>
      </c>
      <c r="K137" s="9"/>
      <c r="L137" s="128"/>
      <c r="M137" s="100" t="e">
        <f>IF(VLOOKUP(G137,'Bereketli Satış'!J:AK,30,0)="","",VLOOKUP(G137,'Bereketli Satış'!J:AK,30,0))</f>
        <v>#N/A</v>
      </c>
      <c r="N137" s="9"/>
      <c r="O137" s="9"/>
      <c r="P137" s="9" t="e">
        <f>IF(VLOOKUP(G137,'Bereketli Satış'!J:AK,32,0)="","",VLOOKUP(G137,'Bereketli Satış'!J:AK,32,0))</f>
        <v>#N/A</v>
      </c>
      <c r="Q137" s="9"/>
      <c r="R137" s="9"/>
    </row>
    <row r="138" spans="1:18">
      <c r="A138" s="8" t="s">
        <v>30</v>
      </c>
      <c r="B138" s="8" t="s">
        <v>31</v>
      </c>
      <c r="C138" s="8" t="s">
        <v>32</v>
      </c>
      <c r="D138" s="8">
        <v>258.98</v>
      </c>
      <c r="E138" s="8">
        <v>314</v>
      </c>
      <c r="F138" s="1">
        <v>15</v>
      </c>
      <c r="G138" s="1" t="str">
        <f t="shared" si="2"/>
        <v>CAMİKEBİR31415</v>
      </c>
      <c r="H138" s="1"/>
      <c r="I138" s="9" t="e">
        <f>IF(VLOOKUP(G138,'Bereketli Satış'!J:AK,5,0)="","",VLOOKUP(G138,'Bereketli Satış'!J:AK,5,0))</f>
        <v>#N/A</v>
      </c>
      <c r="J138" s="9" t="e">
        <f>IF(VLOOKUP(G138,'Bereketli Satış'!J:AK,28,0)="","",VLOOKUP(G138,'Bereketli Satış'!J:AK,28,0))</f>
        <v>#N/A</v>
      </c>
      <c r="K138" s="9"/>
      <c r="L138" s="128"/>
      <c r="M138" s="100" t="e">
        <f>IF(VLOOKUP(G138,'Bereketli Satış'!J:AK,30,0)="","",VLOOKUP(G138,'Bereketli Satış'!J:AK,30,0))</f>
        <v>#N/A</v>
      </c>
      <c r="N138" s="9"/>
      <c r="O138" s="9"/>
      <c r="P138" s="9" t="e">
        <f>IF(VLOOKUP(G138,'Bereketli Satış'!J:AK,32,0)="","",VLOOKUP(G138,'Bereketli Satış'!J:AK,32,0))</f>
        <v>#N/A</v>
      </c>
      <c r="Q138" s="9"/>
      <c r="R138" s="9"/>
    </row>
    <row r="139" spans="1:18">
      <c r="A139" s="8" t="s">
        <v>14</v>
      </c>
      <c r="B139" s="8" t="s">
        <v>33</v>
      </c>
      <c r="C139" s="8" t="s">
        <v>34</v>
      </c>
      <c r="D139" s="8">
        <v>549.04</v>
      </c>
      <c r="E139" s="8">
        <v>104</v>
      </c>
      <c r="F139" s="1">
        <v>14</v>
      </c>
      <c r="G139" s="1" t="str">
        <f t="shared" si="2"/>
        <v>ARMUTLU10414</v>
      </c>
      <c r="H139" s="1"/>
      <c r="I139" s="9" t="e">
        <f>IF(VLOOKUP(G139,'Bereketli Satış'!J:AK,5,0)="","",VLOOKUP(G139,'Bereketli Satış'!J:AK,5,0))</f>
        <v>#N/A</v>
      </c>
      <c r="J139" s="9" t="e">
        <f>IF(VLOOKUP(G139,'Bereketli Satış'!J:AK,28,0)="","",VLOOKUP(G139,'Bereketli Satış'!J:AK,28,0))</f>
        <v>#N/A</v>
      </c>
      <c r="K139" s="9"/>
      <c r="L139" s="128"/>
      <c r="M139" s="100" t="e">
        <f>IF(VLOOKUP(G139,'Bereketli Satış'!J:AK,30,0)="","",VLOOKUP(G139,'Bereketli Satış'!J:AK,30,0))</f>
        <v>#N/A</v>
      </c>
      <c r="N139" s="9"/>
      <c r="O139" s="9"/>
      <c r="P139" s="9" t="e">
        <f>IF(VLOOKUP(G139,'Bereketli Satış'!J:AK,32,0)="","",VLOOKUP(G139,'Bereketli Satış'!J:AK,32,0))</f>
        <v>#N/A</v>
      </c>
      <c r="Q139" s="9"/>
      <c r="R139" s="9"/>
    </row>
    <row r="140" spans="1:18">
      <c r="A140" s="8" t="s">
        <v>30</v>
      </c>
      <c r="B140" s="8" t="s">
        <v>31</v>
      </c>
      <c r="C140" s="8" t="s">
        <v>32</v>
      </c>
      <c r="D140" s="8">
        <v>269.73</v>
      </c>
      <c r="E140" s="8">
        <v>316</v>
      </c>
      <c r="F140" s="1">
        <v>28</v>
      </c>
      <c r="G140" s="1" t="str">
        <f t="shared" si="2"/>
        <v>CAMİKEBİR31628</v>
      </c>
      <c r="H140" s="1"/>
      <c r="I140" s="9" t="e">
        <f>IF(VLOOKUP(G140,'Bereketli Satış'!J:AK,5,0)="","",VLOOKUP(G140,'Bereketli Satış'!J:AK,5,0))</f>
        <v>#N/A</v>
      </c>
      <c r="J140" s="9" t="e">
        <f>IF(VLOOKUP(G140,'Bereketli Satış'!J:AK,28,0)="","",VLOOKUP(G140,'Bereketli Satış'!J:AK,28,0))</f>
        <v>#N/A</v>
      </c>
      <c r="K140" s="9"/>
      <c r="L140" s="128"/>
      <c r="M140" s="100" t="e">
        <f>IF(VLOOKUP(G140,'Bereketli Satış'!J:AK,30,0)="","",VLOOKUP(G140,'Bereketli Satış'!J:AK,30,0))</f>
        <v>#N/A</v>
      </c>
      <c r="N140" s="9"/>
      <c r="O140" s="9"/>
      <c r="P140" s="9" t="e">
        <f>IF(VLOOKUP(G140,'Bereketli Satış'!J:AK,32,0)="","",VLOOKUP(G140,'Bereketli Satış'!J:AK,32,0))</f>
        <v>#N/A</v>
      </c>
      <c r="Q140" s="9"/>
      <c r="R140" s="9"/>
    </row>
    <row r="141" spans="1:18">
      <c r="A141" s="8" t="s">
        <v>14</v>
      </c>
      <c r="B141" s="8" t="s">
        <v>15</v>
      </c>
      <c r="C141" s="8" t="s">
        <v>16</v>
      </c>
      <c r="D141" s="8">
        <v>300</v>
      </c>
      <c r="E141" s="8">
        <v>161</v>
      </c>
      <c r="F141" s="1">
        <v>7</v>
      </c>
      <c r="G141" s="1" t="str">
        <f t="shared" si="2"/>
        <v>REŞADİYE1617</v>
      </c>
      <c r="H141" s="1"/>
      <c r="I141" s="9" t="e">
        <f>IF(VLOOKUP(G141,'Bereketli Satış'!J:AK,5,0)="","",VLOOKUP(G141,'Bereketli Satış'!J:AK,5,0))</f>
        <v>#N/A</v>
      </c>
      <c r="J141" s="9" t="e">
        <f>IF(VLOOKUP(G141,'Bereketli Satış'!J:AK,28,0)="","",VLOOKUP(G141,'Bereketli Satış'!J:AK,28,0))</f>
        <v>#N/A</v>
      </c>
      <c r="K141" s="9"/>
      <c r="L141" s="128"/>
      <c r="M141" s="100" t="e">
        <f>IF(VLOOKUP(G141,'Bereketli Satış'!J:AK,30,0)="","",VLOOKUP(G141,'Bereketli Satış'!J:AK,30,0))</f>
        <v>#N/A</v>
      </c>
      <c r="N141" s="9"/>
      <c r="O141" s="9"/>
      <c r="P141" s="9" t="e">
        <f>IF(VLOOKUP(G141,'Bereketli Satış'!J:AK,32,0)="","",VLOOKUP(G141,'Bereketli Satış'!J:AK,32,0))</f>
        <v>#N/A</v>
      </c>
      <c r="Q141" s="9"/>
      <c r="R141" s="9"/>
    </row>
    <row r="142" spans="1:18">
      <c r="A142" s="8" t="s">
        <v>14</v>
      </c>
      <c r="B142" s="8" t="s">
        <v>33</v>
      </c>
      <c r="C142" s="8" t="s">
        <v>42</v>
      </c>
      <c r="D142" s="8">
        <v>378.79</v>
      </c>
      <c r="E142" s="8">
        <v>122</v>
      </c>
      <c r="F142" s="1">
        <v>30</v>
      </c>
      <c r="G142" s="1" t="str">
        <f t="shared" si="2"/>
        <v>İBİLLER12230</v>
      </c>
      <c r="H142" s="1"/>
      <c r="I142" s="9" t="e">
        <f>IF(VLOOKUP(G142,'Bereketli Satış'!J:AK,5,0)="","",VLOOKUP(G142,'Bereketli Satış'!J:AK,5,0))</f>
        <v>#N/A</v>
      </c>
      <c r="J142" s="9" t="e">
        <f>IF(VLOOKUP(G142,'Bereketli Satış'!J:AK,28,0)="","",VLOOKUP(G142,'Bereketli Satış'!J:AK,28,0))</f>
        <v>#N/A</v>
      </c>
      <c r="K142" s="9"/>
      <c r="L142" s="128"/>
      <c r="M142" s="100" t="e">
        <f>IF(VLOOKUP(G142,'Bereketli Satış'!J:AK,30,0)="","",VLOOKUP(G142,'Bereketli Satış'!J:AK,30,0))</f>
        <v>#N/A</v>
      </c>
      <c r="N142" s="9"/>
      <c r="O142" s="9"/>
      <c r="P142" s="9" t="e">
        <f>IF(VLOOKUP(G142,'Bereketli Satış'!J:AK,32,0)="","",VLOOKUP(G142,'Bereketli Satış'!J:AK,32,0))</f>
        <v>#N/A</v>
      </c>
      <c r="Q142" s="9"/>
      <c r="R142" s="9"/>
    </row>
    <row r="143" spans="1:18">
      <c r="A143" s="8" t="s">
        <v>14</v>
      </c>
      <c r="B143" s="8" t="s">
        <v>33</v>
      </c>
      <c r="C143" s="8" t="s">
        <v>42</v>
      </c>
      <c r="D143" s="8">
        <v>381.77</v>
      </c>
      <c r="E143" s="8">
        <v>122</v>
      </c>
      <c r="F143" s="1">
        <v>31</v>
      </c>
      <c r="G143" s="1" t="str">
        <f t="shared" si="2"/>
        <v>İBİLLER12231</v>
      </c>
      <c r="H143" s="1"/>
      <c r="I143" s="9" t="e">
        <f>IF(VLOOKUP(G143,'Bereketli Satış'!J:AK,5,0)="","",VLOOKUP(G143,'Bereketli Satış'!J:AK,5,0))</f>
        <v>#N/A</v>
      </c>
      <c r="J143" s="9" t="e">
        <f>IF(VLOOKUP(G143,'Bereketli Satış'!J:AK,28,0)="","",VLOOKUP(G143,'Bereketli Satış'!J:AK,28,0))</f>
        <v>#N/A</v>
      </c>
      <c r="K143" s="9"/>
      <c r="L143" s="128"/>
      <c r="M143" s="100" t="e">
        <f>IF(VLOOKUP(G143,'Bereketli Satış'!J:AK,30,0)="","",VLOOKUP(G143,'Bereketli Satış'!J:AK,30,0))</f>
        <v>#N/A</v>
      </c>
      <c r="N143" s="9"/>
      <c r="O143" s="9"/>
      <c r="P143" s="9" t="e">
        <f>IF(VLOOKUP(G143,'Bereketli Satış'!J:AK,32,0)="","",VLOOKUP(G143,'Bereketli Satış'!J:AK,32,0))</f>
        <v>#N/A</v>
      </c>
      <c r="Q143" s="9"/>
      <c r="R143" s="9"/>
    </row>
    <row r="144" spans="1:18">
      <c r="A144" s="8" t="s">
        <v>14</v>
      </c>
      <c r="B144" s="8" t="s">
        <v>33</v>
      </c>
      <c r="C144" s="8" t="s">
        <v>42</v>
      </c>
      <c r="D144" s="8">
        <v>384.49</v>
      </c>
      <c r="E144" s="8">
        <v>120</v>
      </c>
      <c r="F144" s="1">
        <v>7</v>
      </c>
      <c r="G144" s="1" t="str">
        <f t="shared" si="2"/>
        <v>İBİLLER1207</v>
      </c>
      <c r="H144" s="1">
        <v>134240966</v>
      </c>
      <c r="I144" s="9" t="e">
        <f>IF(VLOOKUP(G144,'Bereketli Satış'!J:AK,5,0)="","",VLOOKUP(G144,'Bereketli Satış'!J:AK,5,0))</f>
        <v>#N/A</v>
      </c>
      <c r="J144" s="9" t="e">
        <f>IF(VLOOKUP(G144,'Bereketli Satış'!J:AK,28,0)="","",VLOOKUP(G144,'Bereketli Satış'!J:AK,28,0))</f>
        <v>#N/A</v>
      </c>
      <c r="K144" s="9"/>
      <c r="L144" s="128">
        <v>46022</v>
      </c>
      <c r="M144" s="100" t="e">
        <f>IF(VLOOKUP(G144,'Bereketli Satış'!J:AK,30,0)="","",VLOOKUP(G144,'Bereketli Satış'!J:AK,30,0))</f>
        <v>#N/A</v>
      </c>
      <c r="N144" s="9"/>
      <c r="O144" s="9"/>
      <c r="P144" s="9" t="e">
        <f>IF(VLOOKUP(G144,'Bereketli Satış'!J:AK,32,0)="","",VLOOKUP(G144,'Bereketli Satış'!J:AK,32,0))</f>
        <v>#N/A</v>
      </c>
      <c r="Q144" s="9"/>
      <c r="R144" s="9"/>
    </row>
    <row r="145" spans="1:18">
      <c r="A145" s="8" t="s">
        <v>14</v>
      </c>
      <c r="B145" s="8" t="s">
        <v>15</v>
      </c>
      <c r="C145" s="8" t="s">
        <v>16</v>
      </c>
      <c r="D145" s="8">
        <v>362.35</v>
      </c>
      <c r="E145" s="8">
        <v>161</v>
      </c>
      <c r="F145" s="1">
        <v>6</v>
      </c>
      <c r="G145" s="1" t="str">
        <f t="shared" si="2"/>
        <v>REŞADİYE1616</v>
      </c>
      <c r="H145" s="1"/>
      <c r="I145" s="9" t="e">
        <f>IF(VLOOKUP(G145,'Bereketli Satış'!J:AK,5,0)="","",VLOOKUP(G145,'Bereketli Satış'!J:AK,5,0))</f>
        <v>#N/A</v>
      </c>
      <c r="J145" s="9" t="e">
        <f>IF(VLOOKUP(G145,'Bereketli Satış'!J:AK,28,0)="","",VLOOKUP(G145,'Bereketli Satış'!J:AK,28,0))</f>
        <v>#N/A</v>
      </c>
      <c r="K145" s="9"/>
      <c r="L145" s="128"/>
      <c r="M145" s="100" t="e">
        <f>IF(VLOOKUP(G145,'Bereketli Satış'!J:AK,30,0)="","",VLOOKUP(G145,'Bereketli Satış'!J:AK,30,0))</f>
        <v>#N/A</v>
      </c>
      <c r="N145" s="100"/>
      <c r="O145" s="100"/>
      <c r="P145" s="9" t="e">
        <f>IF(VLOOKUP(G145,'Bereketli Satış'!J:AK,32,0)="","",VLOOKUP(G145,'Bereketli Satış'!J:AK,32,0))</f>
        <v>#N/A</v>
      </c>
      <c r="Q145" s="100"/>
      <c r="R145" s="100"/>
    </row>
    <row r="146" spans="1:18">
      <c r="A146" s="8" t="s">
        <v>14</v>
      </c>
      <c r="B146" s="8" t="s">
        <v>15</v>
      </c>
      <c r="C146" s="8" t="s">
        <v>16</v>
      </c>
      <c r="D146" s="8">
        <v>363.17</v>
      </c>
      <c r="E146" s="8">
        <v>165</v>
      </c>
      <c r="F146" s="1">
        <v>10</v>
      </c>
      <c r="G146" s="1" t="str">
        <f t="shared" si="2"/>
        <v>REŞADİYE16510</v>
      </c>
      <c r="H146" s="1"/>
      <c r="I146" s="9" t="e">
        <f>IF(VLOOKUP(G146,'Bereketli Satış'!J:AK,5,0)="","",VLOOKUP(G146,'Bereketli Satış'!J:AK,5,0))</f>
        <v>#N/A</v>
      </c>
      <c r="J146" s="9" t="e">
        <f>IF(VLOOKUP(G146,'Bereketli Satış'!J:AK,28,0)="","",VLOOKUP(G146,'Bereketli Satış'!J:AK,28,0))</f>
        <v>#N/A</v>
      </c>
      <c r="K146" s="100"/>
      <c r="L146" s="128"/>
      <c r="M146" s="100" t="e">
        <f>IF(VLOOKUP(G146,'Bereketli Satış'!J:AK,30,0)="","",VLOOKUP(G146,'Bereketli Satış'!J:AK,30,0))</f>
        <v>#N/A</v>
      </c>
      <c r="N146" s="100"/>
      <c r="O146" s="100"/>
      <c r="P146" s="9" t="e">
        <f>IF(VLOOKUP(G146,'Bereketli Satış'!J:AK,32,0)="","",VLOOKUP(G146,'Bereketli Satış'!J:AK,32,0))</f>
        <v>#N/A</v>
      </c>
      <c r="Q146" s="100"/>
      <c r="R146" s="100"/>
    </row>
    <row r="147" spans="1:18">
      <c r="A147" s="8" t="s">
        <v>14</v>
      </c>
      <c r="B147" s="8" t="s">
        <v>15</v>
      </c>
      <c r="C147" s="8" t="s">
        <v>16</v>
      </c>
      <c r="D147" s="8">
        <v>364.5</v>
      </c>
      <c r="E147" s="8">
        <v>165</v>
      </c>
      <c r="F147" s="1">
        <v>11</v>
      </c>
      <c r="G147" s="1" t="str">
        <f t="shared" si="2"/>
        <v>REŞADİYE16511</v>
      </c>
      <c r="H147" s="1"/>
      <c r="I147" s="9" t="e">
        <f>IF(VLOOKUP(G147,'Bereketli Satış'!J:AK,5,0)="","",VLOOKUP(G147,'Bereketli Satış'!J:AK,5,0))</f>
        <v>#N/A</v>
      </c>
      <c r="J147" s="9" t="e">
        <f>IF(VLOOKUP(G147,'Bereketli Satış'!J:AK,28,0)="","",VLOOKUP(G147,'Bereketli Satış'!J:AK,28,0))</f>
        <v>#N/A</v>
      </c>
      <c r="K147" s="100"/>
      <c r="L147" s="128"/>
      <c r="M147" s="100" t="e">
        <f>IF(VLOOKUP(G147,'Bereketli Satış'!J:AK,30,0)="","",VLOOKUP(G147,'Bereketli Satış'!J:AK,30,0))</f>
        <v>#N/A</v>
      </c>
      <c r="N147" s="100"/>
      <c r="O147" s="100"/>
      <c r="P147" s="9" t="e">
        <f>IF(VLOOKUP(G147,'Bereketli Satış'!J:AK,32,0)="","",VLOOKUP(G147,'Bereketli Satış'!J:AK,32,0))</f>
        <v>#N/A</v>
      </c>
      <c r="Q147" s="100"/>
      <c r="R147" s="100"/>
    </row>
    <row r="148" spans="1:18">
      <c r="A148" s="8" t="s">
        <v>14</v>
      </c>
      <c r="B148" s="8" t="s">
        <v>15</v>
      </c>
      <c r="C148" s="8" t="s">
        <v>16</v>
      </c>
      <c r="D148" s="8">
        <v>365.23</v>
      </c>
      <c r="E148" s="8">
        <v>158</v>
      </c>
      <c r="F148" s="1">
        <v>12</v>
      </c>
      <c r="G148" s="1" t="str">
        <f t="shared" si="2"/>
        <v>REŞADİYE15812</v>
      </c>
      <c r="H148" s="1"/>
      <c r="I148" s="9" t="e">
        <f>IF(VLOOKUP(G148,'Bereketli Satış'!J:AK,5,0)="","",VLOOKUP(G148,'Bereketli Satış'!J:AK,5,0))</f>
        <v>#N/A</v>
      </c>
      <c r="J148" s="9" t="e">
        <f>IF(VLOOKUP(G148,'Bereketli Satış'!J:AK,28,0)="","",VLOOKUP(G148,'Bereketli Satış'!J:AK,28,0))</f>
        <v>#N/A</v>
      </c>
      <c r="K148" s="100"/>
      <c r="L148" s="128"/>
      <c r="M148" s="100" t="e">
        <f>IF(VLOOKUP(G148,'Bereketli Satış'!J:AK,30,0)="","",VLOOKUP(G148,'Bereketli Satış'!J:AK,30,0))</f>
        <v>#N/A</v>
      </c>
      <c r="N148" s="9"/>
      <c r="O148" s="9"/>
      <c r="P148" s="9" t="e">
        <f>IF(VLOOKUP(G148,'Bereketli Satış'!J:AK,32,0)="","",VLOOKUP(G148,'Bereketli Satış'!J:AK,32,0))</f>
        <v>#N/A</v>
      </c>
      <c r="Q148" s="9"/>
      <c r="R148" s="9"/>
    </row>
    <row r="149" spans="1:18">
      <c r="A149" s="8" t="s">
        <v>14</v>
      </c>
      <c r="B149" s="8" t="s">
        <v>33</v>
      </c>
      <c r="C149" s="8" t="s">
        <v>42</v>
      </c>
      <c r="D149" s="8">
        <v>384.49</v>
      </c>
      <c r="E149" s="8">
        <v>120</v>
      </c>
      <c r="F149" s="1">
        <v>12</v>
      </c>
      <c r="G149" s="1" t="str">
        <f t="shared" si="2"/>
        <v>İBİLLER12012</v>
      </c>
      <c r="H149" s="1">
        <v>134240963</v>
      </c>
      <c r="I149" s="9" t="e">
        <f>IF(VLOOKUP(G149,'Bereketli Satış'!J:AK,5,0)="","",VLOOKUP(G149,'Bereketli Satış'!J:AK,5,0))</f>
        <v>#N/A</v>
      </c>
      <c r="J149" s="9" t="e">
        <f>IF(VLOOKUP(G149,'Bereketli Satış'!J:AK,28,0)="","",VLOOKUP(G149,'Bereketli Satış'!J:AK,28,0))</f>
        <v>#N/A</v>
      </c>
      <c r="K149" s="9"/>
      <c r="L149" s="128">
        <v>46022</v>
      </c>
      <c r="M149" s="100" t="e">
        <f>IF(VLOOKUP(G149,'Bereketli Satış'!J:AK,30,0)="","",VLOOKUP(G149,'Bereketli Satış'!J:AK,30,0))</f>
        <v>#N/A</v>
      </c>
      <c r="N149" s="9"/>
      <c r="O149" s="9"/>
      <c r="P149" s="9" t="e">
        <f>IF(VLOOKUP(G149,'Bereketli Satış'!J:AK,32,0)="","",VLOOKUP(G149,'Bereketli Satış'!J:AK,32,0))</f>
        <v>#N/A</v>
      </c>
      <c r="Q149" s="9"/>
      <c r="R149" s="9"/>
    </row>
    <row r="150" spans="1:18">
      <c r="A150" s="8" t="s">
        <v>14</v>
      </c>
      <c r="B150" s="8" t="s">
        <v>15</v>
      </c>
      <c r="C150" s="8" t="s">
        <v>16</v>
      </c>
      <c r="D150" s="8">
        <v>366.42</v>
      </c>
      <c r="E150" s="8">
        <v>166</v>
      </c>
      <c r="F150" s="1">
        <v>17</v>
      </c>
      <c r="G150" s="1" t="str">
        <f t="shared" si="2"/>
        <v>REŞADİYE16617</v>
      </c>
      <c r="H150" s="1"/>
      <c r="I150" s="9" t="e">
        <f>IF(VLOOKUP(G150,'Bereketli Satış'!J:AK,5,0)="","",VLOOKUP(G150,'Bereketli Satış'!J:AK,5,0))</f>
        <v>#N/A</v>
      </c>
      <c r="J150" s="9" t="e">
        <f>IF(VLOOKUP(G150,'Bereketli Satış'!J:AK,28,0)="","",VLOOKUP(G150,'Bereketli Satış'!J:AK,28,0))</f>
        <v>#N/A</v>
      </c>
      <c r="K150" s="9"/>
      <c r="L150" s="128"/>
      <c r="M150" s="100" t="e">
        <f>IF(VLOOKUP(G150,'Bereketli Satış'!J:AK,30,0)="","",VLOOKUP(G150,'Bereketli Satış'!J:AK,30,0))</f>
        <v>#N/A</v>
      </c>
      <c r="N150" s="100"/>
      <c r="O150" s="100"/>
      <c r="P150" s="9" t="e">
        <f>IF(VLOOKUP(G150,'Bereketli Satış'!J:AK,32,0)="","",VLOOKUP(G150,'Bereketli Satış'!J:AK,32,0))</f>
        <v>#N/A</v>
      </c>
      <c r="Q150" s="100"/>
      <c r="R150" s="100"/>
    </row>
    <row r="151" spans="1:18">
      <c r="A151" s="8" t="s">
        <v>14</v>
      </c>
      <c r="B151" s="8" t="s">
        <v>15</v>
      </c>
      <c r="C151" s="8" t="s">
        <v>16</v>
      </c>
      <c r="D151" s="8">
        <v>366.43</v>
      </c>
      <c r="E151" s="8">
        <v>165</v>
      </c>
      <c r="F151" s="1">
        <v>12</v>
      </c>
      <c r="G151" s="1" t="str">
        <f t="shared" si="2"/>
        <v>REŞADİYE16512</v>
      </c>
      <c r="H151" s="1"/>
      <c r="I151" s="9" t="e">
        <f>IF(VLOOKUP(G151,'Bereketli Satış'!J:AK,5,0)="","",VLOOKUP(G151,'Bereketli Satış'!J:AK,5,0))</f>
        <v>#N/A</v>
      </c>
      <c r="J151" s="9" t="e">
        <f>IF(VLOOKUP(G151,'Bereketli Satış'!J:AK,28,0)="","",VLOOKUP(G151,'Bereketli Satış'!J:AK,28,0))</f>
        <v>#N/A</v>
      </c>
      <c r="K151" s="100"/>
      <c r="L151" s="128"/>
      <c r="M151" s="100" t="e">
        <f>IF(VLOOKUP(G151,'Bereketli Satış'!J:AK,30,0)="","",VLOOKUP(G151,'Bereketli Satış'!J:AK,30,0))</f>
        <v>#N/A</v>
      </c>
      <c r="N151" s="100"/>
      <c r="O151" s="100"/>
      <c r="P151" s="9" t="e">
        <f>IF(VLOOKUP(G151,'Bereketli Satış'!J:AK,32,0)="","",VLOOKUP(G151,'Bereketli Satış'!J:AK,32,0))</f>
        <v>#N/A</v>
      </c>
      <c r="Q151" s="100"/>
      <c r="R151" s="100"/>
    </row>
    <row r="152" spans="1:18">
      <c r="A152" s="8" t="s">
        <v>14</v>
      </c>
      <c r="B152" s="8" t="s">
        <v>15</v>
      </c>
      <c r="C152" s="8" t="s">
        <v>16</v>
      </c>
      <c r="D152" s="8">
        <v>366.44</v>
      </c>
      <c r="E152" s="8">
        <v>165</v>
      </c>
      <c r="F152" s="1">
        <v>9</v>
      </c>
      <c r="G152" s="1" t="str">
        <f t="shared" si="2"/>
        <v>REŞADİYE1659</v>
      </c>
      <c r="H152" s="1"/>
      <c r="I152" s="9" t="e">
        <f>IF(VLOOKUP(G152,'Bereketli Satış'!J:AK,5,0)="","",VLOOKUP(G152,'Bereketli Satış'!J:AK,5,0))</f>
        <v>#N/A</v>
      </c>
      <c r="J152" s="9" t="e">
        <f>IF(VLOOKUP(G152,'Bereketli Satış'!J:AK,28,0)="","",VLOOKUP(G152,'Bereketli Satış'!J:AK,28,0))</f>
        <v>#N/A</v>
      </c>
      <c r="K152" s="100"/>
      <c r="L152" s="128"/>
      <c r="M152" s="100" t="e">
        <f>IF(VLOOKUP(G152,'Bereketli Satış'!J:AK,30,0)="","",VLOOKUP(G152,'Bereketli Satış'!J:AK,30,0))</f>
        <v>#N/A</v>
      </c>
      <c r="N152" s="9"/>
      <c r="O152" s="9"/>
      <c r="P152" s="9" t="e">
        <f>IF(VLOOKUP(G152,'Bereketli Satış'!J:AK,32,0)="","",VLOOKUP(G152,'Bereketli Satış'!J:AK,32,0))</f>
        <v>#N/A</v>
      </c>
      <c r="Q152" s="9"/>
      <c r="R152" s="9"/>
    </row>
    <row r="153" spans="1:18">
      <c r="A153" s="8" t="s">
        <v>14</v>
      </c>
      <c r="B153" s="8" t="s">
        <v>15</v>
      </c>
      <c r="C153" s="8" t="s">
        <v>16</v>
      </c>
      <c r="D153" s="8">
        <v>367.56</v>
      </c>
      <c r="E153" s="8">
        <v>162</v>
      </c>
      <c r="F153" s="1">
        <v>21</v>
      </c>
      <c r="G153" s="1" t="str">
        <f t="shared" si="2"/>
        <v>REŞADİYE16221</v>
      </c>
      <c r="H153" s="1"/>
      <c r="I153" s="9" t="e">
        <f>IF(VLOOKUP(G153,'Bereketli Satış'!J:AK,5,0)="","",VLOOKUP(G153,'Bereketli Satış'!J:AK,5,0))</f>
        <v>#N/A</v>
      </c>
      <c r="J153" s="9" t="e">
        <f>IF(VLOOKUP(G153,'Bereketli Satış'!J:AK,28,0)="","",VLOOKUP(G153,'Bereketli Satış'!J:AK,28,0))</f>
        <v>#N/A</v>
      </c>
      <c r="K153" s="9"/>
      <c r="L153" s="128"/>
      <c r="M153" s="100" t="e">
        <f>IF(VLOOKUP(G153,'Bereketli Satış'!J:AK,30,0)="","",VLOOKUP(G153,'Bereketli Satış'!J:AK,30,0))</f>
        <v>#N/A</v>
      </c>
      <c r="N153" s="100"/>
      <c r="O153" s="100"/>
      <c r="P153" s="9" t="e">
        <f>IF(VLOOKUP(G153,'Bereketli Satış'!J:AK,32,0)="","",VLOOKUP(G153,'Bereketli Satış'!J:AK,32,0))</f>
        <v>#N/A</v>
      </c>
      <c r="Q153" s="100"/>
      <c r="R153" s="100"/>
    </row>
    <row r="154" spans="1:18">
      <c r="A154" s="8" t="s">
        <v>14</v>
      </c>
      <c r="B154" s="8" t="s">
        <v>15</v>
      </c>
      <c r="C154" s="8" t="s">
        <v>16</v>
      </c>
      <c r="D154" s="8">
        <v>368.2</v>
      </c>
      <c r="E154" s="8">
        <v>158</v>
      </c>
      <c r="F154" s="1">
        <v>13</v>
      </c>
      <c r="G154" s="1" t="str">
        <f t="shared" si="2"/>
        <v>REŞADİYE15813</v>
      </c>
      <c r="H154" s="1"/>
      <c r="I154" s="9" t="e">
        <f>IF(VLOOKUP(G154,'Bereketli Satış'!J:AK,5,0)="","",VLOOKUP(G154,'Bereketli Satış'!J:AK,5,0))</f>
        <v>#N/A</v>
      </c>
      <c r="J154" s="9" t="e">
        <f>IF(VLOOKUP(G154,'Bereketli Satış'!J:AK,28,0)="","",VLOOKUP(G154,'Bereketli Satış'!J:AK,28,0))</f>
        <v>#N/A</v>
      </c>
      <c r="K154" s="100"/>
      <c r="L154" s="128"/>
      <c r="M154" s="100" t="e">
        <f>IF(VLOOKUP(G154,'Bereketli Satış'!J:AK,30,0)="","",VLOOKUP(G154,'Bereketli Satış'!J:AK,30,0))</f>
        <v>#N/A</v>
      </c>
      <c r="N154" s="9"/>
      <c r="O154" s="9"/>
      <c r="P154" s="9" t="e">
        <f>IF(VLOOKUP(G154,'Bereketli Satış'!J:AK,32,0)="","",VLOOKUP(G154,'Bereketli Satış'!J:AK,32,0))</f>
        <v>#N/A</v>
      </c>
      <c r="Q154" s="9"/>
      <c r="R154" s="9"/>
    </row>
    <row r="155" spans="1:18">
      <c r="A155" s="8" t="s">
        <v>14</v>
      </c>
      <c r="B155" s="8" t="s">
        <v>15</v>
      </c>
      <c r="C155" s="8" t="s">
        <v>16</v>
      </c>
      <c r="D155" s="8">
        <v>368.69</v>
      </c>
      <c r="E155" s="8">
        <v>162</v>
      </c>
      <c r="F155" s="1">
        <v>22</v>
      </c>
      <c r="G155" s="1" t="str">
        <f t="shared" si="2"/>
        <v>REŞADİYE16222</v>
      </c>
      <c r="H155" s="1"/>
      <c r="I155" s="9" t="e">
        <f>IF(VLOOKUP(G155,'Bereketli Satış'!J:AK,5,0)="","",VLOOKUP(G155,'Bereketli Satış'!J:AK,5,0))</f>
        <v>#N/A</v>
      </c>
      <c r="J155" s="9" t="e">
        <f>IF(VLOOKUP(G155,'Bereketli Satış'!J:AK,28,0)="","",VLOOKUP(G155,'Bereketli Satış'!J:AK,28,0))</f>
        <v>#N/A</v>
      </c>
      <c r="K155" s="9"/>
      <c r="L155" s="128"/>
      <c r="M155" s="100" t="e">
        <f>IF(VLOOKUP(G155,'Bereketli Satış'!J:AK,30,0)="","",VLOOKUP(G155,'Bereketli Satış'!J:AK,30,0))</f>
        <v>#N/A</v>
      </c>
      <c r="N155" s="9"/>
      <c r="O155" s="9"/>
      <c r="P155" s="9" t="e">
        <f>IF(VLOOKUP(G155,'Bereketli Satış'!J:AK,32,0)="","",VLOOKUP(G155,'Bereketli Satış'!J:AK,32,0))</f>
        <v>#N/A</v>
      </c>
      <c r="Q155" s="9"/>
      <c r="R155" s="9"/>
    </row>
    <row r="156" spans="1:18">
      <c r="A156" s="8" t="s">
        <v>14</v>
      </c>
      <c r="B156" s="8" t="s">
        <v>15</v>
      </c>
      <c r="C156" s="8" t="s">
        <v>16</v>
      </c>
      <c r="D156" s="8">
        <v>368.76</v>
      </c>
      <c r="E156" s="8">
        <v>166</v>
      </c>
      <c r="F156" s="1">
        <v>18</v>
      </c>
      <c r="G156" s="1" t="str">
        <f t="shared" si="2"/>
        <v>REŞADİYE16618</v>
      </c>
      <c r="H156" s="1"/>
      <c r="I156" s="9" t="e">
        <f>IF(VLOOKUP(G156,'Bereketli Satış'!J:AK,5,0)="","",VLOOKUP(G156,'Bereketli Satış'!J:AK,5,0))</f>
        <v>#N/A</v>
      </c>
      <c r="J156" s="9" t="e">
        <f>IF(VLOOKUP(G156,'Bereketli Satış'!J:AK,28,0)="","",VLOOKUP(G156,'Bereketli Satış'!J:AK,28,0))</f>
        <v>#N/A</v>
      </c>
      <c r="K156" s="9"/>
      <c r="L156" s="128"/>
      <c r="M156" s="100" t="e">
        <f>IF(VLOOKUP(G156,'Bereketli Satış'!J:AK,30,0)="","",VLOOKUP(G156,'Bereketli Satış'!J:AK,30,0))</f>
        <v>#N/A</v>
      </c>
      <c r="N156" s="100"/>
      <c r="O156" s="100"/>
      <c r="P156" s="9" t="e">
        <f>IF(VLOOKUP(G156,'Bereketli Satış'!J:AK,32,0)="","",VLOOKUP(G156,'Bereketli Satış'!J:AK,32,0))</f>
        <v>#N/A</v>
      </c>
      <c r="Q156" s="100"/>
      <c r="R156" s="100"/>
    </row>
    <row r="157" spans="1:18">
      <c r="A157" s="8" t="s">
        <v>14</v>
      </c>
      <c r="B157" s="8" t="s">
        <v>23</v>
      </c>
      <c r="C157" s="8" t="s">
        <v>59</v>
      </c>
      <c r="D157" s="8">
        <v>815.21</v>
      </c>
      <c r="E157" s="8">
        <v>120</v>
      </c>
      <c r="F157" s="8">
        <v>14</v>
      </c>
      <c r="G157" s="1" t="str">
        <f t="shared" si="2"/>
        <v>TOYBELEN12014</v>
      </c>
      <c r="H157" s="8"/>
      <c r="I157" s="9" t="e">
        <f>IF(VLOOKUP(G157,'Bereketli Satış'!J:AK,5,0)="","",VLOOKUP(G157,'Bereketli Satış'!J:AK,5,0))</f>
        <v>#N/A</v>
      </c>
      <c r="J157" s="9" t="e">
        <f>IF(VLOOKUP(G157,'Bereketli Satış'!J:AK,28,0)="","",VLOOKUP(G157,'Bereketli Satış'!J:AK,28,0))</f>
        <v>#N/A</v>
      </c>
      <c r="K157" s="100"/>
      <c r="L157" s="128"/>
      <c r="M157" s="100" t="e">
        <f>IF(VLOOKUP(G157,'Bereketli Satış'!J:AK,30,0)="","",VLOOKUP(G157,'Bereketli Satış'!J:AK,30,0))</f>
        <v>#N/A</v>
      </c>
      <c r="N157" s="9"/>
      <c r="O157" s="9"/>
      <c r="P157" s="9" t="e">
        <f>IF(VLOOKUP(G157,'Bereketli Satış'!J:AK,32,0)="","",VLOOKUP(G157,'Bereketli Satış'!J:AK,32,0))</f>
        <v>#N/A</v>
      </c>
      <c r="Q157" s="9"/>
      <c r="R157" s="9"/>
    </row>
    <row r="158" spans="1:18">
      <c r="A158" s="8" t="s">
        <v>14</v>
      </c>
      <c r="B158" s="8" t="s">
        <v>33</v>
      </c>
      <c r="C158" s="8" t="s">
        <v>42</v>
      </c>
      <c r="D158" s="8">
        <v>389.99</v>
      </c>
      <c r="E158" s="8">
        <v>122</v>
      </c>
      <c r="F158" s="1">
        <v>35</v>
      </c>
      <c r="G158" s="1" t="str">
        <f t="shared" si="2"/>
        <v>İBİLLER12235</v>
      </c>
      <c r="H158" s="1"/>
      <c r="I158" s="9" t="e">
        <f>IF(VLOOKUP(G158,'Bereketli Satış'!J:AK,5,0)="","",VLOOKUP(G158,'Bereketli Satış'!J:AK,5,0))</f>
        <v>#N/A</v>
      </c>
      <c r="J158" s="9" t="e">
        <f>IF(VLOOKUP(G158,'Bereketli Satış'!J:AK,28,0)="","",VLOOKUP(G158,'Bereketli Satış'!J:AK,28,0))</f>
        <v>#N/A</v>
      </c>
      <c r="K158" s="9"/>
      <c r="L158" s="128"/>
      <c r="M158" s="100" t="e">
        <f>IF(VLOOKUP(G158,'Bereketli Satış'!J:AK,30,0)="","",VLOOKUP(G158,'Bereketli Satış'!J:AK,30,0))</f>
        <v>#N/A</v>
      </c>
      <c r="N158" s="9"/>
      <c r="O158" s="9"/>
      <c r="P158" s="9" t="e">
        <f>IF(VLOOKUP(G158,'Bereketli Satış'!J:AK,32,0)="","",VLOOKUP(G158,'Bereketli Satış'!J:AK,32,0))</f>
        <v>#N/A</v>
      </c>
      <c r="Q158" s="9"/>
      <c r="R158" s="9"/>
    </row>
    <row r="159" spans="1:18">
      <c r="A159" s="8" t="s">
        <v>14</v>
      </c>
      <c r="B159" s="8" t="s">
        <v>33</v>
      </c>
      <c r="C159" s="8" t="s">
        <v>42</v>
      </c>
      <c r="D159" s="8">
        <v>389.99</v>
      </c>
      <c r="E159" s="8">
        <v>122</v>
      </c>
      <c r="F159" s="1">
        <v>34</v>
      </c>
      <c r="G159" s="1" t="str">
        <f t="shared" si="2"/>
        <v>İBİLLER12234</v>
      </c>
      <c r="H159" s="1"/>
      <c r="I159" s="9" t="e">
        <f>IF(VLOOKUP(G159,'Bereketli Satış'!J:AK,5,0)="","",VLOOKUP(G159,'Bereketli Satış'!J:AK,5,0))</f>
        <v>#N/A</v>
      </c>
      <c r="J159" s="9" t="e">
        <f>IF(VLOOKUP(G159,'Bereketli Satış'!J:AK,28,0)="","",VLOOKUP(G159,'Bereketli Satış'!J:AK,28,0))</f>
        <v>#N/A</v>
      </c>
      <c r="K159" s="9"/>
      <c r="L159" s="128"/>
      <c r="M159" s="100" t="e">
        <f>IF(VLOOKUP(G159,'Bereketli Satış'!J:AK,30,0)="","",VLOOKUP(G159,'Bereketli Satış'!J:AK,30,0))</f>
        <v>#N/A</v>
      </c>
      <c r="N159" s="9"/>
      <c r="O159" s="9"/>
      <c r="P159" s="9" t="e">
        <f>IF(VLOOKUP(G159,'Bereketli Satış'!J:AK,32,0)="","",VLOOKUP(G159,'Bereketli Satış'!J:AK,32,0))</f>
        <v>#N/A</v>
      </c>
      <c r="Q159" s="9"/>
      <c r="R159" s="9"/>
    </row>
    <row r="160" spans="1:18">
      <c r="A160" s="8" t="s">
        <v>14</v>
      </c>
      <c r="B160" s="8" t="s">
        <v>15</v>
      </c>
      <c r="C160" s="8" t="s">
        <v>16</v>
      </c>
      <c r="D160" s="8">
        <v>370.34</v>
      </c>
      <c r="E160" s="8">
        <v>167</v>
      </c>
      <c r="F160" s="1">
        <v>15</v>
      </c>
      <c r="G160" s="1" t="str">
        <f t="shared" si="2"/>
        <v>REŞADİYE16715</v>
      </c>
      <c r="H160" s="1">
        <v>131438934</v>
      </c>
      <c r="I160" s="9" t="e">
        <f>IF(VLOOKUP(G160,'Bereketli Satış'!J:AK,5,0)="","",VLOOKUP(G160,'Bereketli Satış'!J:AK,5,0))</f>
        <v>#N/A</v>
      </c>
      <c r="J160" s="9" t="e">
        <f>IF(VLOOKUP(G160,'Bereketli Satış'!J:AK,28,0)="","",VLOOKUP(G160,'Bereketli Satış'!J:AK,28,0))</f>
        <v>#N/A</v>
      </c>
      <c r="K160" s="9"/>
      <c r="L160" s="128">
        <v>45824</v>
      </c>
      <c r="M160" s="100" t="e">
        <f>IF(VLOOKUP(G160,'Bereketli Satış'!J:AK,30,0)="","",VLOOKUP(G160,'Bereketli Satış'!J:AK,30,0))</f>
        <v>#N/A</v>
      </c>
      <c r="N160" s="9"/>
      <c r="O160" s="128"/>
      <c r="P160" s="9" t="e">
        <f>IF(VLOOKUP(G160,'Bereketli Satış'!J:AK,32,0)="","",VLOOKUP(G160,'Bereketli Satış'!J:AK,32,0))</f>
        <v>#N/A</v>
      </c>
      <c r="Q160" s="9"/>
      <c r="R160" s="9"/>
    </row>
    <row r="161" spans="1:18">
      <c r="A161" s="8" t="s">
        <v>14</v>
      </c>
      <c r="B161" s="8" t="s">
        <v>15</v>
      </c>
      <c r="C161" s="8" t="s">
        <v>16</v>
      </c>
      <c r="D161" s="8">
        <v>370.95</v>
      </c>
      <c r="E161" s="8">
        <v>162</v>
      </c>
      <c r="F161" s="1">
        <v>19</v>
      </c>
      <c r="G161" s="1" t="str">
        <f t="shared" si="2"/>
        <v>REŞADİYE16219</v>
      </c>
      <c r="H161" s="1"/>
      <c r="I161" s="9" t="e">
        <f>IF(VLOOKUP(G161,'Bereketli Satış'!J:AK,5,0)="","",VLOOKUP(G161,'Bereketli Satış'!J:AK,5,0))</f>
        <v>#N/A</v>
      </c>
      <c r="J161" s="9" t="e">
        <f>IF(VLOOKUP(G161,'Bereketli Satış'!J:AK,28,0)="","",VLOOKUP(G161,'Bereketli Satış'!J:AK,28,0))</f>
        <v>#N/A</v>
      </c>
      <c r="K161" s="9"/>
      <c r="L161" s="128"/>
      <c r="M161" s="100" t="e">
        <f>IF(VLOOKUP(G161,'Bereketli Satış'!J:AK,30,0)="","",VLOOKUP(G161,'Bereketli Satış'!J:AK,30,0))</f>
        <v>#N/A</v>
      </c>
      <c r="N161" s="9"/>
      <c r="O161" s="9"/>
      <c r="P161" s="9" t="e">
        <f>IF(VLOOKUP(G161,'Bereketli Satış'!J:AK,32,0)="","",VLOOKUP(G161,'Bereketli Satış'!J:AK,32,0))</f>
        <v>#N/A</v>
      </c>
      <c r="Q161" s="9"/>
      <c r="R161" s="9"/>
    </row>
    <row r="162" spans="1:18">
      <c r="A162" s="8" t="s">
        <v>14</v>
      </c>
      <c r="B162" s="8" t="s">
        <v>15</v>
      </c>
      <c r="C162" s="8" t="s">
        <v>16</v>
      </c>
      <c r="D162" s="8">
        <v>371.44</v>
      </c>
      <c r="E162" s="8">
        <v>167</v>
      </c>
      <c r="F162" s="1">
        <v>16</v>
      </c>
      <c r="G162" s="1" t="str">
        <f t="shared" si="2"/>
        <v>REŞADİYE16716</v>
      </c>
      <c r="H162" s="1">
        <v>131438935</v>
      </c>
      <c r="I162" s="9" t="e">
        <f>IF(VLOOKUP(G162,'Bereketli Satış'!J:AK,5,0)="","",VLOOKUP(G162,'Bereketli Satış'!J:AK,5,0))</f>
        <v>#N/A</v>
      </c>
      <c r="J162" s="9" t="e">
        <f>IF(VLOOKUP(G162,'Bereketli Satış'!J:AK,28,0)="","",VLOOKUP(G162,'Bereketli Satış'!J:AK,28,0))</f>
        <v>#N/A</v>
      </c>
      <c r="K162" s="9"/>
      <c r="L162" s="128">
        <v>45824</v>
      </c>
      <c r="M162" s="100" t="e">
        <f>IF(VLOOKUP(G162,'Bereketli Satış'!J:AK,30,0)="","",VLOOKUP(G162,'Bereketli Satış'!J:AK,30,0))</f>
        <v>#N/A</v>
      </c>
      <c r="N162" s="9"/>
      <c r="O162" s="128"/>
      <c r="P162" s="9" t="e">
        <f>IF(VLOOKUP(G162,'Bereketli Satış'!J:AK,32,0)="","",VLOOKUP(G162,'Bereketli Satış'!J:AK,32,0))</f>
        <v>#N/A</v>
      </c>
      <c r="Q162" s="9"/>
      <c r="R162" s="9"/>
    </row>
    <row r="163" spans="1:18">
      <c r="A163" s="8" t="s">
        <v>14</v>
      </c>
      <c r="B163" s="8" t="s">
        <v>15</v>
      </c>
      <c r="C163" s="8" t="s">
        <v>16</v>
      </c>
      <c r="D163" s="8">
        <v>371.52</v>
      </c>
      <c r="E163" s="8">
        <v>162</v>
      </c>
      <c r="F163" s="1">
        <v>20</v>
      </c>
      <c r="G163" s="1" t="str">
        <f t="shared" si="2"/>
        <v>REŞADİYE16220</v>
      </c>
      <c r="H163" s="1"/>
      <c r="I163" s="9" t="e">
        <f>IF(VLOOKUP(G163,'Bereketli Satış'!J:AK,5,0)="","",VLOOKUP(G163,'Bereketli Satış'!J:AK,5,0))</f>
        <v>#N/A</v>
      </c>
      <c r="J163" s="9" t="e">
        <f>IF(VLOOKUP(G163,'Bereketli Satış'!J:AK,28,0)="","",VLOOKUP(G163,'Bereketli Satış'!J:AK,28,0))</f>
        <v>#N/A</v>
      </c>
      <c r="K163" s="9"/>
      <c r="L163" s="128"/>
      <c r="M163" s="100" t="e">
        <f>IF(VLOOKUP(G163,'Bereketli Satış'!J:AK,30,0)="","",VLOOKUP(G163,'Bereketli Satış'!J:AK,30,0))</f>
        <v>#N/A</v>
      </c>
      <c r="N163" s="9"/>
      <c r="O163" s="9"/>
      <c r="P163" s="9" t="e">
        <f>IF(VLOOKUP(G163,'Bereketli Satış'!J:AK,32,0)="","",VLOOKUP(G163,'Bereketli Satış'!J:AK,32,0))</f>
        <v>#N/A</v>
      </c>
      <c r="Q163" s="9"/>
      <c r="R163" s="9"/>
    </row>
    <row r="164" spans="1:18">
      <c r="A164" s="8" t="s">
        <v>14</v>
      </c>
      <c r="B164" s="8" t="s">
        <v>15</v>
      </c>
      <c r="C164" s="8" t="s">
        <v>16</v>
      </c>
      <c r="D164" s="8">
        <v>371.96</v>
      </c>
      <c r="E164" s="8">
        <v>168</v>
      </c>
      <c r="F164" s="1">
        <v>12</v>
      </c>
      <c r="G164" s="1" t="str">
        <f t="shared" si="2"/>
        <v>REŞADİYE16812</v>
      </c>
      <c r="H164" s="1"/>
      <c r="I164" s="9" t="e">
        <f>IF(VLOOKUP(G164,'Bereketli Satış'!J:AK,5,0)="","",VLOOKUP(G164,'Bereketli Satış'!J:AK,5,0))</f>
        <v>#N/A</v>
      </c>
      <c r="J164" s="9" t="e">
        <f>IF(VLOOKUP(G164,'Bereketli Satış'!J:AK,28,0)="","",VLOOKUP(G164,'Bereketli Satış'!J:AK,28,0))</f>
        <v>#N/A</v>
      </c>
      <c r="K164" s="9"/>
      <c r="L164" s="128"/>
      <c r="M164" s="100" t="e">
        <f>IF(VLOOKUP(G164,'Bereketli Satış'!J:AK,30,0)="","",VLOOKUP(G164,'Bereketli Satış'!J:AK,30,0))</f>
        <v>#N/A</v>
      </c>
      <c r="N164" s="9"/>
      <c r="O164" s="9"/>
      <c r="P164" s="9" t="e">
        <f>IF(VLOOKUP(G164,'Bereketli Satış'!J:AK,32,0)="","",VLOOKUP(G164,'Bereketli Satış'!J:AK,32,0))</f>
        <v>#N/A</v>
      </c>
      <c r="Q164" s="9"/>
      <c r="R164" s="9"/>
    </row>
    <row r="165" spans="1:18">
      <c r="A165" s="8" t="s">
        <v>14</v>
      </c>
      <c r="B165" s="8" t="s">
        <v>15</v>
      </c>
      <c r="C165" s="8" t="s">
        <v>16</v>
      </c>
      <c r="D165" s="8">
        <v>374.1</v>
      </c>
      <c r="E165" s="8">
        <v>162</v>
      </c>
      <c r="F165" s="1">
        <v>18</v>
      </c>
      <c r="G165" s="1" t="str">
        <f t="shared" si="2"/>
        <v>REŞADİYE16218</v>
      </c>
      <c r="H165" s="1"/>
      <c r="I165" s="9" t="e">
        <f>IF(VLOOKUP(G165,'Bereketli Satış'!J:AK,5,0)="","",VLOOKUP(G165,'Bereketli Satış'!J:AK,5,0))</f>
        <v>#N/A</v>
      </c>
      <c r="J165" s="9" t="e">
        <f>IF(VLOOKUP(G165,'Bereketli Satış'!J:AK,28,0)="","",VLOOKUP(G165,'Bereketli Satış'!J:AK,28,0))</f>
        <v>#N/A</v>
      </c>
      <c r="K165" s="9"/>
      <c r="L165" s="128"/>
      <c r="M165" s="100" t="e">
        <f>IF(VLOOKUP(G165,'Bereketli Satış'!J:AK,30,0)="","",VLOOKUP(G165,'Bereketli Satış'!J:AK,30,0))</f>
        <v>#N/A</v>
      </c>
      <c r="N165" s="9"/>
      <c r="O165" s="9"/>
      <c r="P165" s="9" t="e">
        <f>IF(VLOOKUP(G165,'Bereketli Satış'!J:AK,32,0)="","",VLOOKUP(G165,'Bereketli Satış'!J:AK,32,0))</f>
        <v>#N/A</v>
      </c>
      <c r="Q165" s="9"/>
      <c r="R165" s="9"/>
    </row>
    <row r="166" spans="1:18">
      <c r="A166" s="8" t="s">
        <v>14</v>
      </c>
      <c r="B166" s="8" t="s">
        <v>15</v>
      </c>
      <c r="C166" s="8" t="s">
        <v>16</v>
      </c>
      <c r="D166" s="8">
        <v>374.25</v>
      </c>
      <c r="E166" s="8">
        <v>162</v>
      </c>
      <c r="F166" s="1">
        <v>17</v>
      </c>
      <c r="G166" s="1" t="str">
        <f t="shared" si="2"/>
        <v>REŞADİYE16217</v>
      </c>
      <c r="H166" s="1"/>
      <c r="I166" s="9" t="e">
        <f>IF(VLOOKUP(G166,'Bereketli Satış'!J:AK,5,0)="","",VLOOKUP(G166,'Bereketli Satış'!J:AK,5,0))</f>
        <v>#N/A</v>
      </c>
      <c r="J166" s="9" t="e">
        <f>IF(VLOOKUP(G166,'Bereketli Satış'!J:AK,28,0)="","",VLOOKUP(G166,'Bereketli Satış'!J:AK,28,0))</f>
        <v>#N/A</v>
      </c>
      <c r="K166" s="9"/>
      <c r="L166" s="128"/>
      <c r="M166" s="100" t="e">
        <f>IF(VLOOKUP(G166,'Bereketli Satış'!J:AK,30,0)="","",VLOOKUP(G166,'Bereketli Satış'!J:AK,30,0))</f>
        <v>#N/A</v>
      </c>
      <c r="N166" s="9"/>
      <c r="O166" s="9"/>
      <c r="P166" s="9" t="e">
        <f>IF(VLOOKUP(G166,'Bereketli Satış'!J:AK,32,0)="","",VLOOKUP(G166,'Bereketli Satış'!J:AK,32,0))</f>
        <v>#N/A</v>
      </c>
      <c r="Q166" s="9"/>
      <c r="R166" s="9"/>
    </row>
    <row r="167" spans="1:18">
      <c r="A167" s="8" t="s">
        <v>14</v>
      </c>
      <c r="B167" s="8" t="s">
        <v>33</v>
      </c>
      <c r="C167" s="8" t="s">
        <v>42</v>
      </c>
      <c r="D167" s="8">
        <v>390.07</v>
      </c>
      <c r="E167" s="8">
        <v>122</v>
      </c>
      <c r="F167" s="1">
        <v>36</v>
      </c>
      <c r="G167" s="1" t="str">
        <f t="shared" si="2"/>
        <v>İBİLLER12236</v>
      </c>
      <c r="H167" s="1"/>
      <c r="I167" s="9" t="e">
        <f>IF(VLOOKUP(G167,'Bereketli Satış'!J:AK,5,0)="","",VLOOKUP(G167,'Bereketli Satış'!J:AK,5,0))</f>
        <v>#N/A</v>
      </c>
      <c r="J167" s="9" t="e">
        <f>IF(VLOOKUP(G167,'Bereketli Satış'!J:AK,28,0)="","",VLOOKUP(G167,'Bereketli Satış'!J:AK,28,0))</f>
        <v>#N/A</v>
      </c>
      <c r="K167" s="9"/>
      <c r="L167" s="128"/>
      <c r="M167" s="100" t="e">
        <f>IF(VLOOKUP(G167,'Bereketli Satış'!J:AK,30,0)="","",VLOOKUP(G167,'Bereketli Satış'!J:AK,30,0))</f>
        <v>#N/A</v>
      </c>
      <c r="N167" s="9"/>
      <c r="O167" s="9"/>
      <c r="P167" s="9" t="e">
        <f>IF(VLOOKUP(G167,'Bereketli Satış'!J:AK,32,0)="","",VLOOKUP(G167,'Bereketli Satış'!J:AK,32,0))</f>
        <v>#N/A</v>
      </c>
      <c r="Q167" s="9"/>
      <c r="R167" s="9"/>
    </row>
    <row r="168" spans="1:18">
      <c r="A168" s="8" t="s">
        <v>14</v>
      </c>
      <c r="B168" s="8" t="s">
        <v>15</v>
      </c>
      <c r="C168" s="8" t="s">
        <v>16</v>
      </c>
      <c r="D168" s="8">
        <v>375.54</v>
      </c>
      <c r="E168" s="8">
        <v>162</v>
      </c>
      <c r="F168" s="1">
        <v>13</v>
      </c>
      <c r="G168" s="1" t="str">
        <f t="shared" si="2"/>
        <v>REŞADİYE16213</v>
      </c>
      <c r="H168" s="1"/>
      <c r="I168" s="9" t="e">
        <f>IF(VLOOKUP(G168,'Bereketli Satış'!J:AK,5,0)="","",VLOOKUP(G168,'Bereketli Satış'!J:AK,5,0))</f>
        <v>#N/A</v>
      </c>
      <c r="J168" s="9" t="e">
        <f>IF(VLOOKUP(G168,'Bereketli Satış'!J:AK,28,0)="","",VLOOKUP(G168,'Bereketli Satış'!J:AK,28,0))</f>
        <v>#N/A</v>
      </c>
      <c r="K168" s="9"/>
      <c r="L168" s="128"/>
      <c r="M168" s="100" t="e">
        <f>IF(VLOOKUP(G168,'Bereketli Satış'!J:AK,30,0)="","",VLOOKUP(G168,'Bereketli Satış'!J:AK,30,0))</f>
        <v>#N/A</v>
      </c>
      <c r="N168" s="9"/>
      <c r="O168" s="9"/>
      <c r="P168" s="9" t="e">
        <f>IF(VLOOKUP(G168,'Bereketli Satış'!J:AK,32,0)="","",VLOOKUP(G168,'Bereketli Satış'!J:AK,32,0))</f>
        <v>#N/A</v>
      </c>
      <c r="Q168" s="9"/>
      <c r="R168" s="9"/>
    </row>
    <row r="169" spans="1:18">
      <c r="A169" s="8" t="s">
        <v>14</v>
      </c>
      <c r="B169" s="8" t="s">
        <v>15</v>
      </c>
      <c r="C169" s="8" t="s">
        <v>16</v>
      </c>
      <c r="D169" s="8">
        <v>376.28</v>
      </c>
      <c r="E169" s="8">
        <v>162</v>
      </c>
      <c r="F169" s="1">
        <v>14</v>
      </c>
      <c r="G169" s="1" t="str">
        <f t="shared" si="2"/>
        <v>REŞADİYE16214</v>
      </c>
      <c r="H169" s="1"/>
      <c r="I169" s="9" t="e">
        <f>IF(VLOOKUP(G169,'Bereketli Satış'!J:AK,5,0)="","",VLOOKUP(G169,'Bereketli Satış'!J:AK,5,0))</f>
        <v>#N/A</v>
      </c>
      <c r="J169" s="9" t="e">
        <f>IF(VLOOKUP(G169,'Bereketli Satış'!J:AK,28,0)="","",VLOOKUP(G169,'Bereketli Satış'!J:AK,28,0))</f>
        <v>#N/A</v>
      </c>
      <c r="K169" s="9"/>
      <c r="L169" s="128"/>
      <c r="M169" s="100" t="e">
        <f>IF(VLOOKUP(G169,'Bereketli Satış'!J:AK,30,0)="","",VLOOKUP(G169,'Bereketli Satış'!J:AK,30,0))</f>
        <v>#N/A</v>
      </c>
      <c r="N169" s="100"/>
      <c r="O169" s="100"/>
      <c r="P169" s="9" t="e">
        <f>IF(VLOOKUP(G169,'Bereketli Satış'!J:AK,32,0)="","",VLOOKUP(G169,'Bereketli Satış'!J:AK,32,0))</f>
        <v>#N/A</v>
      </c>
      <c r="Q169" s="100"/>
      <c r="R169" s="100"/>
    </row>
    <row r="170" spans="1:18">
      <c r="A170" s="8" t="s">
        <v>14</v>
      </c>
      <c r="B170" s="8" t="s">
        <v>15</v>
      </c>
      <c r="C170" s="8" t="s">
        <v>16</v>
      </c>
      <c r="D170" s="8">
        <v>377.41</v>
      </c>
      <c r="E170" s="8">
        <v>165</v>
      </c>
      <c r="F170" s="1">
        <v>14</v>
      </c>
      <c r="G170" s="1" t="str">
        <f t="shared" si="2"/>
        <v>REŞADİYE16514</v>
      </c>
      <c r="H170" s="1">
        <v>131437793</v>
      </c>
      <c r="I170" s="9" t="e">
        <f>IF(VLOOKUP(G170,'Bereketli Satış'!J:AK,5,0)="","",VLOOKUP(G170,'Bereketli Satış'!J:AK,5,0))</f>
        <v>#N/A</v>
      </c>
      <c r="J170" s="9" t="e">
        <f>IF(VLOOKUP(G170,'Bereketli Satış'!J:AK,28,0)="","",VLOOKUP(G170,'Bereketli Satış'!J:AK,28,0))</f>
        <v>#N/A</v>
      </c>
      <c r="K170" s="100"/>
      <c r="L170" s="128">
        <v>46387</v>
      </c>
      <c r="M170" s="100" t="e">
        <f>IF(VLOOKUP(G170,'Bereketli Satış'!J:AK,30,0)="","",VLOOKUP(G170,'Bereketli Satış'!J:AK,30,0))</f>
        <v>#N/A</v>
      </c>
      <c r="N170" s="9"/>
      <c r="O170" s="9"/>
      <c r="P170" s="9" t="e">
        <f>IF(VLOOKUP(G170,'Bereketli Satış'!J:AK,32,0)="","",VLOOKUP(G170,'Bereketli Satış'!J:AK,32,0))</f>
        <v>#N/A</v>
      </c>
      <c r="Q170" s="9"/>
      <c r="R170" s="9"/>
    </row>
    <row r="171" spans="1:18">
      <c r="A171" s="8" t="s">
        <v>14</v>
      </c>
      <c r="B171" s="8" t="s">
        <v>15</v>
      </c>
      <c r="C171" s="8" t="s">
        <v>16</v>
      </c>
      <c r="D171" s="8">
        <v>378.74</v>
      </c>
      <c r="E171" s="8">
        <v>162</v>
      </c>
      <c r="F171" s="1">
        <v>15</v>
      </c>
      <c r="G171" s="1" t="str">
        <f t="shared" si="2"/>
        <v>REŞADİYE16215</v>
      </c>
      <c r="H171" s="1"/>
      <c r="I171" s="9" t="e">
        <f>IF(VLOOKUP(G171,'Bereketli Satış'!J:AK,5,0)="","",VLOOKUP(G171,'Bereketli Satış'!J:AK,5,0))</f>
        <v>#N/A</v>
      </c>
      <c r="J171" s="9" t="e">
        <f>IF(VLOOKUP(G171,'Bereketli Satış'!J:AK,28,0)="","",VLOOKUP(G171,'Bereketli Satış'!J:AK,28,0))</f>
        <v>#N/A</v>
      </c>
      <c r="K171" s="9"/>
      <c r="L171" s="128"/>
      <c r="M171" s="100" t="e">
        <f>IF(VLOOKUP(G171,'Bereketli Satış'!J:AK,30,0)="","",VLOOKUP(G171,'Bereketli Satış'!J:AK,30,0))</f>
        <v>#N/A</v>
      </c>
      <c r="N171" s="9"/>
      <c r="O171" s="9"/>
      <c r="P171" s="9" t="e">
        <f>IF(VLOOKUP(G171,'Bereketli Satış'!J:AK,32,0)="","",VLOOKUP(G171,'Bereketli Satış'!J:AK,32,0))</f>
        <v>#N/A</v>
      </c>
      <c r="Q171" s="9"/>
      <c r="R171" s="9"/>
    </row>
    <row r="172" spans="1:18">
      <c r="A172" s="8" t="s">
        <v>14</v>
      </c>
      <c r="B172" s="8" t="s">
        <v>33</v>
      </c>
      <c r="C172" s="8" t="s">
        <v>42</v>
      </c>
      <c r="D172" s="8">
        <v>390.18</v>
      </c>
      <c r="E172" s="8">
        <v>122</v>
      </c>
      <c r="F172" s="1">
        <v>37</v>
      </c>
      <c r="G172" s="1" t="str">
        <f t="shared" si="2"/>
        <v>İBİLLER12237</v>
      </c>
      <c r="H172" s="1"/>
      <c r="I172" s="9" t="e">
        <f>IF(VLOOKUP(G172,'Bereketli Satış'!J:AK,5,0)="","",VLOOKUP(G172,'Bereketli Satış'!J:AK,5,0))</f>
        <v>#N/A</v>
      </c>
      <c r="J172" s="9" t="e">
        <f>IF(VLOOKUP(G172,'Bereketli Satış'!J:AK,28,0)="","",VLOOKUP(G172,'Bereketli Satış'!J:AK,28,0))</f>
        <v>#N/A</v>
      </c>
      <c r="K172" s="9"/>
      <c r="L172" s="128"/>
      <c r="M172" s="100" t="e">
        <f>IF(VLOOKUP(G172,'Bereketli Satış'!J:AK,30,0)="","",VLOOKUP(G172,'Bereketli Satış'!J:AK,30,0))</f>
        <v>#N/A</v>
      </c>
      <c r="N172" s="9"/>
      <c r="O172" s="9"/>
      <c r="P172" s="9" t="e">
        <f>IF(VLOOKUP(G172,'Bereketli Satış'!J:AK,32,0)="","",VLOOKUP(G172,'Bereketli Satış'!J:AK,32,0))</f>
        <v>#N/A</v>
      </c>
      <c r="Q172" s="9"/>
      <c r="R172" s="9"/>
    </row>
    <row r="173" spans="1:18">
      <c r="A173" s="8" t="s">
        <v>14</v>
      </c>
      <c r="B173" s="8" t="s">
        <v>33</v>
      </c>
      <c r="C173" s="8" t="s">
        <v>42</v>
      </c>
      <c r="D173" s="8">
        <v>390.26</v>
      </c>
      <c r="E173" s="8">
        <v>122</v>
      </c>
      <c r="F173" s="1">
        <v>38</v>
      </c>
      <c r="G173" s="1" t="str">
        <f t="shared" si="2"/>
        <v>İBİLLER12238</v>
      </c>
      <c r="H173" s="1"/>
      <c r="I173" s="9" t="e">
        <f>IF(VLOOKUP(G173,'Bereketli Satış'!J:AK,5,0)="","",VLOOKUP(G173,'Bereketli Satış'!J:AK,5,0))</f>
        <v>#N/A</v>
      </c>
      <c r="J173" s="9" t="e">
        <f>IF(VLOOKUP(G173,'Bereketli Satış'!J:AK,28,0)="","",VLOOKUP(G173,'Bereketli Satış'!J:AK,28,0))</f>
        <v>#N/A</v>
      </c>
      <c r="K173" s="9"/>
      <c r="L173" s="128"/>
      <c r="M173" s="100" t="e">
        <f>IF(VLOOKUP(G173,'Bereketli Satış'!J:AK,30,0)="","",VLOOKUP(G173,'Bereketli Satış'!J:AK,30,0))</f>
        <v>#N/A</v>
      </c>
      <c r="N173" s="9"/>
      <c r="O173" s="9"/>
      <c r="P173" s="9" t="e">
        <f>IF(VLOOKUP(G173,'Bereketli Satış'!J:AK,32,0)="","",VLOOKUP(G173,'Bereketli Satış'!J:AK,32,0))</f>
        <v>#N/A</v>
      </c>
      <c r="Q173" s="9"/>
      <c r="R173" s="9"/>
    </row>
    <row r="174" spans="1:18">
      <c r="A174" s="8" t="s">
        <v>14</v>
      </c>
      <c r="B174" s="8" t="s">
        <v>33</v>
      </c>
      <c r="C174" s="8" t="s">
        <v>42</v>
      </c>
      <c r="D174" s="8">
        <v>391.1</v>
      </c>
      <c r="E174" s="8">
        <v>122</v>
      </c>
      <c r="F174" s="1">
        <v>39</v>
      </c>
      <c r="G174" s="1" t="str">
        <f t="shared" si="2"/>
        <v>İBİLLER12239</v>
      </c>
      <c r="H174" s="1"/>
      <c r="I174" s="9" t="e">
        <f>IF(VLOOKUP(G174,'Bereketli Satış'!J:AK,5,0)="","",VLOOKUP(G174,'Bereketli Satış'!J:AK,5,0))</f>
        <v>#N/A</v>
      </c>
      <c r="J174" s="9" t="e">
        <f>IF(VLOOKUP(G174,'Bereketli Satış'!J:AK,28,0)="","",VLOOKUP(G174,'Bereketli Satış'!J:AK,28,0))</f>
        <v>#N/A</v>
      </c>
      <c r="K174" s="9"/>
      <c r="L174" s="128"/>
      <c r="M174" s="100" t="e">
        <f>IF(VLOOKUP(G174,'Bereketli Satış'!J:AK,30,0)="","",VLOOKUP(G174,'Bereketli Satış'!J:AK,30,0))</f>
        <v>#N/A</v>
      </c>
      <c r="N174" s="9"/>
      <c r="O174" s="9"/>
      <c r="P174" s="9" t="e">
        <f>IF(VLOOKUP(G174,'Bereketli Satış'!J:AK,32,0)="","",VLOOKUP(G174,'Bereketli Satış'!J:AK,32,0))</f>
        <v>#N/A</v>
      </c>
      <c r="Q174" s="9"/>
      <c r="R174" s="9"/>
    </row>
    <row r="175" spans="1:18">
      <c r="A175" s="8" t="s">
        <v>14</v>
      </c>
      <c r="B175" s="8" t="s">
        <v>23</v>
      </c>
      <c r="C175" s="8" t="s">
        <v>60</v>
      </c>
      <c r="D175" s="8">
        <v>509.17</v>
      </c>
      <c r="E175" s="8">
        <v>139</v>
      </c>
      <c r="F175" s="1">
        <v>5</v>
      </c>
      <c r="G175" s="1" t="str">
        <f t="shared" si="2"/>
        <v>TURPLU1395</v>
      </c>
      <c r="H175" s="1"/>
      <c r="I175" s="9" t="e">
        <f>IF(VLOOKUP(G175,'Bereketli Satış'!J:AK,5,0)="","",VLOOKUP(G175,'Bereketli Satış'!J:AK,5,0))</f>
        <v>#N/A</v>
      </c>
      <c r="J175" s="9" t="e">
        <f>IF(VLOOKUP(G175,'Bereketli Satış'!J:AK,28,0)="","",VLOOKUP(G175,'Bereketli Satış'!J:AK,28,0))</f>
        <v>#N/A</v>
      </c>
      <c r="K175" s="9"/>
      <c r="L175" s="128"/>
      <c r="M175" s="100" t="e">
        <f>IF(VLOOKUP(G175,'Bereketli Satış'!J:AK,30,0)="","",VLOOKUP(G175,'Bereketli Satış'!J:AK,30,0))</f>
        <v>#N/A</v>
      </c>
      <c r="N175" s="16"/>
      <c r="O175" s="16"/>
      <c r="P175" s="9" t="e">
        <f>IF(VLOOKUP(G175,'Bereketli Satış'!J:AK,32,0)="","",VLOOKUP(G175,'Bereketli Satış'!J:AK,32,0))</f>
        <v>#N/A</v>
      </c>
      <c r="Q175" s="16"/>
      <c r="R175" s="16"/>
    </row>
    <row r="176" spans="1:18">
      <c r="A176" s="16" t="s">
        <v>61</v>
      </c>
      <c r="B176" s="16" t="s">
        <v>15</v>
      </c>
      <c r="C176" s="16" t="s">
        <v>62</v>
      </c>
      <c r="D176" s="16">
        <v>1562.25</v>
      </c>
      <c r="E176" s="16"/>
      <c r="F176" s="16"/>
      <c r="G176" s="1" t="str">
        <f t="shared" si="2"/>
        <v>ÜMİTELİ</v>
      </c>
      <c r="H176" s="16"/>
      <c r="I176" s="9" t="e">
        <f>IF(VLOOKUP(G176,'Bereketli Satış'!J:AK,5,0)="","",VLOOKUP(G176,'Bereketli Satış'!J:AK,5,0))</f>
        <v>#N/A</v>
      </c>
      <c r="J176" s="9" t="e">
        <f>IF(VLOOKUP(G176,'Bereketli Satış'!J:AK,28,0)="","",VLOOKUP(G176,'Bereketli Satış'!J:AK,28,0))</f>
        <v>#N/A</v>
      </c>
      <c r="K176" s="16"/>
      <c r="L176" s="98"/>
      <c r="M176" s="100" t="e">
        <f>IF(VLOOKUP(G176,'Bereketli Satış'!J:AK,30,0)="","",VLOOKUP(G176,'Bereketli Satış'!J:AK,30,0))</f>
        <v>#N/A</v>
      </c>
      <c r="N176" s="9"/>
      <c r="O176" s="9"/>
      <c r="P176" s="9" t="e">
        <f>IF(VLOOKUP(G176,'Bereketli Satış'!J:AK,32,0)="","",VLOOKUP(G176,'Bereketli Satış'!J:AK,32,0))</f>
        <v>#N/A</v>
      </c>
      <c r="Q176" s="9"/>
      <c r="R176" s="9"/>
    </row>
    <row r="177" spans="1:18">
      <c r="A177" s="8" t="s">
        <v>14</v>
      </c>
      <c r="B177" s="8" t="s">
        <v>15</v>
      </c>
      <c r="C177" s="8" t="s">
        <v>16</v>
      </c>
      <c r="D177" s="8">
        <v>379.31</v>
      </c>
      <c r="E177" s="8">
        <v>162</v>
      </c>
      <c r="F177" s="1">
        <v>16</v>
      </c>
      <c r="G177" s="1" t="str">
        <f t="shared" si="2"/>
        <v>REŞADİYE16216</v>
      </c>
      <c r="H177" s="1"/>
      <c r="I177" s="9" t="e">
        <f>IF(VLOOKUP(G177,'Bereketli Satış'!J:AK,5,0)="","",VLOOKUP(G177,'Bereketli Satış'!J:AK,5,0))</f>
        <v>#N/A</v>
      </c>
      <c r="J177" s="9" t="e">
        <f>IF(VLOOKUP(G177,'Bereketli Satış'!J:AK,28,0)="","",VLOOKUP(G177,'Bereketli Satış'!J:AK,28,0))</f>
        <v>#N/A</v>
      </c>
      <c r="K177" s="9"/>
      <c r="L177" s="128"/>
      <c r="M177" s="100" t="e">
        <f>IF(VLOOKUP(G177,'Bereketli Satış'!J:AK,30,0)="","",VLOOKUP(G177,'Bereketli Satış'!J:AK,30,0))</f>
        <v>#N/A</v>
      </c>
      <c r="N177" s="9"/>
      <c r="O177" s="9"/>
      <c r="P177" s="9" t="e">
        <f>IF(VLOOKUP(G177,'Bereketli Satış'!J:AK,32,0)="","",VLOOKUP(G177,'Bereketli Satış'!J:AK,32,0))</f>
        <v>#N/A</v>
      </c>
      <c r="Q177" s="9"/>
      <c r="R177" s="9"/>
    </row>
    <row r="178" spans="1:18">
      <c r="A178" s="8" t="s">
        <v>14</v>
      </c>
      <c r="B178" s="8" t="s">
        <v>15</v>
      </c>
      <c r="C178" s="8" t="s">
        <v>16</v>
      </c>
      <c r="D178" s="8">
        <v>380.28</v>
      </c>
      <c r="E178" s="8">
        <v>162</v>
      </c>
      <c r="F178" s="1">
        <v>23</v>
      </c>
      <c r="G178" s="1" t="str">
        <f t="shared" si="2"/>
        <v>REŞADİYE16223</v>
      </c>
      <c r="H178" s="1"/>
      <c r="I178" s="9" t="e">
        <f>IF(VLOOKUP(G178,'Bereketli Satış'!J:AK,5,0)="","",VLOOKUP(G178,'Bereketli Satış'!J:AK,5,0))</f>
        <v>#N/A</v>
      </c>
      <c r="J178" s="9" t="e">
        <f>IF(VLOOKUP(G178,'Bereketli Satış'!J:AK,28,0)="","",VLOOKUP(G178,'Bereketli Satış'!J:AK,28,0))</f>
        <v>#N/A</v>
      </c>
      <c r="K178" s="9"/>
      <c r="L178" s="128"/>
      <c r="M178" s="100" t="e">
        <f>IF(VLOOKUP(G178,'Bereketli Satış'!J:AK,30,0)="","",VLOOKUP(G178,'Bereketli Satış'!J:AK,30,0))</f>
        <v>#N/A</v>
      </c>
      <c r="N178" s="100"/>
      <c r="O178" s="100"/>
      <c r="P178" s="9" t="e">
        <f>IF(VLOOKUP(G178,'Bereketli Satış'!J:AK,32,0)="","",VLOOKUP(G178,'Bereketli Satış'!J:AK,32,0))</f>
        <v>#N/A</v>
      </c>
      <c r="Q178" s="100"/>
      <c r="R178" s="100"/>
    </row>
    <row r="179" spans="1:18">
      <c r="A179" s="8" t="s">
        <v>14</v>
      </c>
      <c r="B179" s="8" t="s">
        <v>15</v>
      </c>
      <c r="C179" s="8" t="s">
        <v>16</v>
      </c>
      <c r="D179" s="8">
        <v>380.83</v>
      </c>
      <c r="E179" s="8">
        <v>165</v>
      </c>
      <c r="F179" s="1">
        <v>13</v>
      </c>
      <c r="G179" s="1" t="str">
        <f t="shared" si="2"/>
        <v>REŞADİYE16513</v>
      </c>
      <c r="H179" s="1">
        <v>131437792</v>
      </c>
      <c r="I179" s="9" t="e">
        <f>IF(VLOOKUP(G179,'Bereketli Satış'!J:AK,5,0)="","",VLOOKUP(G179,'Bereketli Satış'!J:AK,5,0))</f>
        <v>#N/A</v>
      </c>
      <c r="J179" s="9" t="e">
        <f>IF(VLOOKUP(G179,'Bereketli Satış'!J:AK,28,0)="","",VLOOKUP(G179,'Bereketli Satış'!J:AK,28,0))</f>
        <v>#N/A</v>
      </c>
      <c r="K179" s="100"/>
      <c r="L179" s="128">
        <v>46387</v>
      </c>
      <c r="M179" s="100" t="e">
        <f>IF(VLOOKUP(G179,'Bereketli Satış'!J:AK,30,0)="","",VLOOKUP(G179,'Bereketli Satış'!J:AK,30,0))</f>
        <v>#N/A</v>
      </c>
      <c r="N179" s="9"/>
      <c r="O179" s="9"/>
      <c r="P179" s="9" t="e">
        <f>IF(VLOOKUP(G179,'Bereketli Satış'!J:AK,32,0)="","",VLOOKUP(G179,'Bereketli Satış'!J:AK,32,0))</f>
        <v>#N/A</v>
      </c>
      <c r="Q179" s="9"/>
      <c r="R179" s="9"/>
    </row>
    <row r="180" spans="1:18">
      <c r="A180" s="8" t="s">
        <v>14</v>
      </c>
      <c r="B180" s="8" t="s">
        <v>15</v>
      </c>
      <c r="C180" s="8" t="s">
        <v>16</v>
      </c>
      <c r="D180" s="8">
        <v>381.7</v>
      </c>
      <c r="E180" s="8">
        <v>162</v>
      </c>
      <c r="F180" s="1">
        <v>24</v>
      </c>
      <c r="G180" s="1" t="str">
        <f t="shared" si="2"/>
        <v>REŞADİYE16224</v>
      </c>
      <c r="H180" s="1"/>
      <c r="I180" s="9" t="e">
        <f>IF(VLOOKUP(G180,'Bereketli Satış'!J:AK,5,0)="","",VLOOKUP(G180,'Bereketli Satış'!J:AK,5,0))</f>
        <v>#N/A</v>
      </c>
      <c r="J180" s="9" t="e">
        <f>IF(VLOOKUP(G180,'Bereketli Satış'!J:AK,28,0)="","",VLOOKUP(G180,'Bereketli Satış'!J:AK,28,0))</f>
        <v>#N/A</v>
      </c>
      <c r="K180" s="9"/>
      <c r="L180" s="128"/>
      <c r="M180" s="100" t="e">
        <f>IF(VLOOKUP(G180,'Bereketli Satış'!J:AK,30,0)="","",VLOOKUP(G180,'Bereketli Satış'!J:AK,30,0))</f>
        <v>#N/A</v>
      </c>
      <c r="N180" s="100"/>
      <c r="O180" s="100"/>
      <c r="P180" s="9" t="e">
        <f>IF(VLOOKUP(G180,'Bereketli Satış'!J:AK,32,0)="","",VLOOKUP(G180,'Bereketli Satış'!J:AK,32,0))</f>
        <v>#N/A</v>
      </c>
      <c r="Q180" s="100"/>
      <c r="R180" s="100"/>
    </row>
    <row r="181" spans="1:18">
      <c r="A181" s="8" t="s">
        <v>14</v>
      </c>
      <c r="B181" s="8" t="s">
        <v>15</v>
      </c>
      <c r="C181" s="8" t="s">
        <v>16</v>
      </c>
      <c r="D181" s="8">
        <v>382.07</v>
      </c>
      <c r="E181" s="8">
        <v>166</v>
      </c>
      <c r="F181" s="1">
        <v>15</v>
      </c>
      <c r="G181" s="1" t="str">
        <f t="shared" si="2"/>
        <v>REŞADİYE16615</v>
      </c>
      <c r="H181" s="1"/>
      <c r="I181" s="9" t="e">
        <f>IF(VLOOKUP(G181,'Bereketli Satış'!J:AK,5,0)="","",VLOOKUP(G181,'Bereketli Satış'!J:AK,5,0))</f>
        <v>#N/A</v>
      </c>
      <c r="J181" s="9" t="e">
        <f>IF(VLOOKUP(G181,'Bereketli Satış'!J:AK,28,0)="","",VLOOKUP(G181,'Bereketli Satış'!J:AK,28,0))</f>
        <v>#N/A</v>
      </c>
      <c r="K181" s="100"/>
      <c r="L181" s="128"/>
      <c r="M181" s="100" t="e">
        <f>IF(VLOOKUP(G181,'Bereketli Satış'!J:AK,30,0)="","",VLOOKUP(G181,'Bereketli Satış'!J:AK,30,0))</f>
        <v>#N/A</v>
      </c>
      <c r="N181" s="9"/>
      <c r="O181" s="9"/>
      <c r="P181" s="9" t="e">
        <f>IF(VLOOKUP(G181,'Bereketli Satış'!J:AK,32,0)="","",VLOOKUP(G181,'Bereketli Satış'!J:AK,32,0))</f>
        <v>#N/A</v>
      </c>
      <c r="Q181" s="9"/>
      <c r="R181" s="9"/>
    </row>
    <row r="182" spans="1:18">
      <c r="A182" s="8" t="s">
        <v>14</v>
      </c>
      <c r="B182" s="8" t="s">
        <v>15</v>
      </c>
      <c r="C182" s="8" t="s">
        <v>63</v>
      </c>
      <c r="D182" s="13">
        <v>497.62</v>
      </c>
      <c r="E182" s="8">
        <v>103</v>
      </c>
      <c r="F182" s="1">
        <v>70</v>
      </c>
      <c r="G182" s="1" t="str">
        <f t="shared" si="2"/>
        <v>ILICABOĞAZI10370</v>
      </c>
      <c r="H182" s="1"/>
      <c r="I182" s="9" t="e">
        <f>IF(VLOOKUP(G182,'Bereketli Satış'!J:AK,5,0)="","",VLOOKUP(G182,'Bereketli Satış'!J:AK,5,0))</f>
        <v>#N/A</v>
      </c>
      <c r="J182" s="9" t="e">
        <f>IF(VLOOKUP(G182,'Bereketli Satış'!J:AK,28,0)="","",VLOOKUP(G182,'Bereketli Satış'!J:AK,28,0))</f>
        <v>#N/A</v>
      </c>
      <c r="K182" s="9"/>
      <c r="L182" s="128"/>
      <c r="M182" s="100" t="e">
        <f>IF(VLOOKUP(G182,'Bereketli Satış'!J:AK,30,0)="","",VLOOKUP(G182,'Bereketli Satış'!J:AK,30,0))</f>
        <v>#N/A</v>
      </c>
      <c r="N182" s="9"/>
      <c r="O182" s="9"/>
      <c r="P182" s="9" t="e">
        <f>IF(VLOOKUP(G182,'Bereketli Satış'!J:AK,32,0)="","",VLOOKUP(G182,'Bereketli Satış'!J:AK,32,0))</f>
        <v>#N/A</v>
      </c>
      <c r="Q182" s="9"/>
      <c r="R182" s="9"/>
    </row>
    <row r="183" spans="1:18">
      <c r="A183" s="8" t="s">
        <v>14</v>
      </c>
      <c r="B183" s="8" t="s">
        <v>33</v>
      </c>
      <c r="C183" s="8" t="s">
        <v>42</v>
      </c>
      <c r="D183" s="8">
        <v>393.23</v>
      </c>
      <c r="E183" s="8">
        <v>119</v>
      </c>
      <c r="F183" s="1">
        <v>10</v>
      </c>
      <c r="G183" s="1" t="str">
        <f t="shared" si="2"/>
        <v>İBİLLER11910</v>
      </c>
      <c r="H183" s="1"/>
      <c r="I183" s="9" t="e">
        <f>IF(VLOOKUP(G183,'Bereketli Satış'!J:AK,5,0)="","",VLOOKUP(G183,'Bereketli Satış'!J:AK,5,0))</f>
        <v>#N/A</v>
      </c>
      <c r="J183" s="9" t="e">
        <f>IF(VLOOKUP(G183,'Bereketli Satış'!J:AK,28,0)="","",VLOOKUP(G183,'Bereketli Satış'!J:AK,28,0))</f>
        <v>#N/A</v>
      </c>
      <c r="K183" s="9"/>
      <c r="L183" s="128"/>
      <c r="M183" s="100" t="e">
        <f>IF(VLOOKUP(G183,'Bereketli Satış'!J:AK,30,0)="","",VLOOKUP(G183,'Bereketli Satış'!J:AK,30,0))</f>
        <v>#N/A</v>
      </c>
      <c r="N183" s="9"/>
      <c r="O183" s="9"/>
      <c r="P183" s="9" t="e">
        <f>IF(VLOOKUP(G183,'Bereketli Satış'!J:AK,32,0)="","",VLOOKUP(G183,'Bereketli Satış'!J:AK,32,0))</f>
        <v>#N/A</v>
      </c>
      <c r="Q183" s="9"/>
      <c r="R183" s="9"/>
    </row>
    <row r="184" spans="1:18">
      <c r="A184" s="8" t="s">
        <v>14</v>
      </c>
      <c r="B184" s="8" t="s">
        <v>33</v>
      </c>
      <c r="C184" s="8" t="s">
        <v>42</v>
      </c>
      <c r="D184" s="8">
        <v>393.24</v>
      </c>
      <c r="E184" s="8">
        <v>119</v>
      </c>
      <c r="F184" s="1">
        <v>11</v>
      </c>
      <c r="G184" s="1" t="str">
        <f t="shared" si="2"/>
        <v>İBİLLER11911</v>
      </c>
      <c r="H184" s="1"/>
      <c r="I184" s="9" t="e">
        <f>IF(VLOOKUP(G184,'Bereketli Satış'!J:AK,5,0)="","",VLOOKUP(G184,'Bereketli Satış'!J:AK,5,0))</f>
        <v>#N/A</v>
      </c>
      <c r="J184" s="9" t="e">
        <f>IF(VLOOKUP(G184,'Bereketli Satış'!J:AK,28,0)="","",VLOOKUP(G184,'Bereketli Satış'!J:AK,28,0))</f>
        <v>#N/A</v>
      </c>
      <c r="K184" s="9"/>
      <c r="L184" s="128"/>
      <c r="M184" s="100" t="e">
        <f>IF(VLOOKUP(G184,'Bereketli Satış'!J:AK,30,0)="","",VLOOKUP(G184,'Bereketli Satış'!J:AK,30,0))</f>
        <v>#N/A</v>
      </c>
      <c r="N184" s="9"/>
      <c r="O184" s="9"/>
      <c r="P184" s="9" t="e">
        <f>IF(VLOOKUP(G184,'Bereketli Satış'!J:AK,32,0)="","",VLOOKUP(G184,'Bereketli Satış'!J:AK,32,0))</f>
        <v>#N/A</v>
      </c>
      <c r="Q184" s="9"/>
      <c r="R184" s="9"/>
    </row>
    <row r="185" spans="1:18">
      <c r="A185" s="8" t="s">
        <v>14</v>
      </c>
      <c r="B185" s="8" t="s">
        <v>33</v>
      </c>
      <c r="C185" s="8" t="s">
        <v>34</v>
      </c>
      <c r="D185" s="8">
        <v>577.46</v>
      </c>
      <c r="E185" s="8">
        <v>106</v>
      </c>
      <c r="F185" s="1">
        <v>1</v>
      </c>
      <c r="G185" s="1" t="str">
        <f t="shared" si="2"/>
        <v>ARMUTLU1061</v>
      </c>
      <c r="H185" s="1">
        <v>64214070</v>
      </c>
      <c r="I185" s="9" t="e">
        <f>IF(VLOOKUP(G185,'Bereketli Satış'!J:AK,5,0)="","",VLOOKUP(G185,'Bereketli Satış'!J:AK,5,0))</f>
        <v>#N/A</v>
      </c>
      <c r="J185" s="9" t="e">
        <f>IF(VLOOKUP(G185,'Bereketli Satış'!J:AK,28,0)="","",VLOOKUP(G185,'Bereketli Satış'!J:AK,28,0))</f>
        <v>#N/A</v>
      </c>
      <c r="K185" s="9"/>
      <c r="L185" s="128">
        <v>46295</v>
      </c>
      <c r="M185" s="100" t="e">
        <f>IF(VLOOKUP(G185,'Bereketli Satış'!J:AK,30,0)="","",VLOOKUP(G185,'Bereketli Satış'!J:AK,30,0))</f>
        <v>#N/A</v>
      </c>
      <c r="N185" s="9"/>
      <c r="O185" s="9"/>
      <c r="P185" s="9" t="e">
        <f>IF(VLOOKUP(G185,'Bereketli Satış'!J:AK,32,0)="","",VLOOKUP(G185,'Bereketli Satış'!J:AK,32,0))</f>
        <v>#N/A</v>
      </c>
      <c r="Q185" s="9"/>
      <c r="R185" s="9"/>
    </row>
    <row r="186" spans="1:18">
      <c r="A186" s="8" t="s">
        <v>14</v>
      </c>
      <c r="B186" s="8" t="s">
        <v>15</v>
      </c>
      <c r="C186" s="8" t="s">
        <v>16</v>
      </c>
      <c r="D186" s="8">
        <v>385.97</v>
      </c>
      <c r="E186" s="8">
        <v>181</v>
      </c>
      <c r="F186" s="8">
        <v>16</v>
      </c>
      <c r="G186" s="1" t="str">
        <f t="shared" si="2"/>
        <v>REŞADİYE18116</v>
      </c>
      <c r="H186" s="8"/>
      <c r="I186" s="9" t="e">
        <f>IF(VLOOKUP(G186,'Bereketli Satış'!J:AK,5,0)="","",VLOOKUP(G186,'Bereketli Satış'!J:AK,5,0))</f>
        <v>#N/A</v>
      </c>
      <c r="J186" s="9" t="e">
        <f>IF(VLOOKUP(G186,'Bereketli Satış'!J:AK,28,0)="","",VLOOKUP(G186,'Bereketli Satış'!J:AK,28,0))</f>
        <v>#N/A</v>
      </c>
      <c r="K186" s="9"/>
      <c r="L186" s="128"/>
      <c r="M186" s="100" t="e">
        <f>IF(VLOOKUP(G186,'Bereketli Satış'!J:AK,30,0)="","",VLOOKUP(G186,'Bereketli Satış'!J:AK,30,0))</f>
        <v>#N/A</v>
      </c>
      <c r="N186" s="9"/>
      <c r="O186" s="9"/>
      <c r="P186" s="9" t="e">
        <f>IF(VLOOKUP(G186,'Bereketli Satış'!J:AK,32,0)="","",VLOOKUP(G186,'Bereketli Satış'!J:AK,32,0))</f>
        <v>#N/A</v>
      </c>
      <c r="Q186" s="9"/>
      <c r="R186" s="9"/>
    </row>
    <row r="187" spans="1:18">
      <c r="A187" s="8" t="s">
        <v>14</v>
      </c>
      <c r="B187" s="8" t="s">
        <v>15</v>
      </c>
      <c r="C187" s="8" t="s">
        <v>16</v>
      </c>
      <c r="D187" s="8">
        <v>385.97</v>
      </c>
      <c r="E187" s="8">
        <v>181</v>
      </c>
      <c r="F187" s="8">
        <v>17</v>
      </c>
      <c r="G187" s="1" t="str">
        <f t="shared" si="2"/>
        <v>REŞADİYE18117</v>
      </c>
      <c r="H187" s="8"/>
      <c r="I187" s="9" t="e">
        <f>IF(VLOOKUP(G187,'Bereketli Satış'!J:AK,5,0)="","",VLOOKUP(G187,'Bereketli Satış'!J:AK,5,0))</f>
        <v>#N/A</v>
      </c>
      <c r="J187" s="9" t="e">
        <f>IF(VLOOKUP(G187,'Bereketli Satış'!J:AK,28,0)="","",VLOOKUP(G187,'Bereketli Satış'!J:AK,28,0))</f>
        <v>#N/A</v>
      </c>
      <c r="K187" s="9"/>
      <c r="L187" s="128"/>
      <c r="M187" s="100" t="e">
        <f>IF(VLOOKUP(G187,'Bereketli Satış'!J:AK,30,0)="","",VLOOKUP(G187,'Bereketli Satış'!J:AK,30,0))</f>
        <v>#N/A</v>
      </c>
      <c r="N187" s="100"/>
      <c r="O187" s="100"/>
      <c r="P187" s="9" t="e">
        <f>IF(VLOOKUP(G187,'Bereketli Satış'!J:AK,32,0)="","",VLOOKUP(G187,'Bereketli Satış'!J:AK,32,0))</f>
        <v>#N/A</v>
      </c>
      <c r="Q187" s="100"/>
      <c r="R187" s="100"/>
    </row>
    <row r="188" spans="1:18">
      <c r="A188" s="8" t="s">
        <v>14</v>
      </c>
      <c r="B188" s="8" t="s">
        <v>15</v>
      </c>
      <c r="C188" s="8" t="s">
        <v>16</v>
      </c>
      <c r="D188" s="8">
        <v>393.99</v>
      </c>
      <c r="E188" s="8">
        <v>167</v>
      </c>
      <c r="F188" s="1">
        <v>13</v>
      </c>
      <c r="G188" s="1" t="str">
        <f t="shared" si="2"/>
        <v>REŞADİYE16713</v>
      </c>
      <c r="H188" s="1"/>
      <c r="I188" s="9" t="e">
        <f>IF(VLOOKUP(G188,'Bereketli Satış'!J:AK,5,0)="","",VLOOKUP(G188,'Bereketli Satış'!J:AK,5,0))</f>
        <v>#N/A</v>
      </c>
      <c r="J188" s="9" t="e">
        <f>IF(VLOOKUP(G188,'Bereketli Satış'!J:AK,28,0)="","",VLOOKUP(G188,'Bereketli Satış'!J:AK,28,0))</f>
        <v>#N/A</v>
      </c>
      <c r="K188" s="100"/>
      <c r="L188" s="128"/>
      <c r="M188" s="100" t="e">
        <f>IF(VLOOKUP(G188,'Bereketli Satış'!J:AK,30,0)="","",VLOOKUP(G188,'Bereketli Satış'!J:AK,30,0))</f>
        <v>#N/A</v>
      </c>
      <c r="N188" s="100"/>
      <c r="O188" s="128"/>
      <c r="P188" s="9" t="e">
        <f>IF(VLOOKUP(G188,'Bereketli Satış'!J:AK,32,0)="","",VLOOKUP(G188,'Bereketli Satış'!J:AK,32,0))</f>
        <v>#N/A</v>
      </c>
      <c r="Q188" s="100"/>
      <c r="R188" s="100"/>
    </row>
    <row r="189" spans="1:18">
      <c r="A189" s="8" t="s">
        <v>14</v>
      </c>
      <c r="B189" s="8" t="s">
        <v>15</v>
      </c>
      <c r="C189" s="8" t="s">
        <v>16</v>
      </c>
      <c r="D189" s="8">
        <v>395.29</v>
      </c>
      <c r="E189" s="8">
        <v>166</v>
      </c>
      <c r="F189" s="1">
        <v>12</v>
      </c>
      <c r="G189" s="1" t="str">
        <f t="shared" si="2"/>
        <v>REŞADİYE16612</v>
      </c>
      <c r="H189" s="1"/>
      <c r="I189" s="9" t="e">
        <f>IF(VLOOKUP(G189,'Bereketli Satış'!J:AK,5,0)="","",VLOOKUP(G189,'Bereketli Satış'!J:AK,5,0))</f>
        <v>#N/A</v>
      </c>
      <c r="J189" s="9" t="e">
        <f>IF(VLOOKUP(G189,'Bereketli Satış'!J:AK,28,0)="","",VLOOKUP(G189,'Bereketli Satış'!J:AK,28,0))</f>
        <v>#N/A</v>
      </c>
      <c r="K189" s="100"/>
      <c r="L189" s="128"/>
      <c r="M189" s="100" t="e">
        <f>IF(VLOOKUP(G189,'Bereketli Satış'!J:AK,30,0)="","",VLOOKUP(G189,'Bereketli Satış'!J:AK,30,0))</f>
        <v>#N/A</v>
      </c>
      <c r="N189" s="100"/>
      <c r="O189" s="100"/>
      <c r="P189" s="9" t="e">
        <f>IF(VLOOKUP(G189,'Bereketli Satış'!J:AK,32,0)="","",VLOOKUP(G189,'Bereketli Satış'!J:AK,32,0))</f>
        <v>#N/A</v>
      </c>
      <c r="Q189" s="100"/>
      <c r="R189" s="100"/>
    </row>
    <row r="190" spans="1:18">
      <c r="A190" s="8" t="s">
        <v>14</v>
      </c>
      <c r="B190" s="8" t="s">
        <v>15</v>
      </c>
      <c r="C190" s="8" t="s">
        <v>16</v>
      </c>
      <c r="D190" s="8">
        <v>395.3</v>
      </c>
      <c r="E190" s="8">
        <v>166</v>
      </c>
      <c r="F190" s="1">
        <v>11</v>
      </c>
      <c r="G190" s="1" t="str">
        <f t="shared" si="2"/>
        <v>REŞADİYE16611</v>
      </c>
      <c r="H190" s="1"/>
      <c r="I190" s="9" t="e">
        <f>IF(VLOOKUP(G190,'Bereketli Satış'!J:AK,5,0)="","",VLOOKUP(G190,'Bereketli Satış'!J:AK,5,0))</f>
        <v>#N/A</v>
      </c>
      <c r="J190" s="9" t="e">
        <f>IF(VLOOKUP(G190,'Bereketli Satış'!J:AK,28,0)="","",VLOOKUP(G190,'Bereketli Satış'!J:AK,28,0))</f>
        <v>#N/A</v>
      </c>
      <c r="K190" s="100"/>
      <c r="L190" s="128"/>
      <c r="M190" s="100" t="e">
        <f>IF(VLOOKUP(G190,'Bereketli Satış'!J:AK,30,0)="","",VLOOKUP(G190,'Bereketli Satış'!J:AK,30,0))</f>
        <v>#N/A</v>
      </c>
      <c r="N190" s="9"/>
      <c r="O190" s="9"/>
      <c r="P190" s="9" t="e">
        <f>IF(VLOOKUP(G190,'Bereketli Satış'!J:AK,32,0)="","",VLOOKUP(G190,'Bereketli Satış'!J:AK,32,0))</f>
        <v>#N/A</v>
      </c>
      <c r="Q190" s="9"/>
      <c r="R190" s="9"/>
    </row>
    <row r="191" spans="1:18">
      <c r="A191" s="8" t="s">
        <v>14</v>
      </c>
      <c r="B191" s="8" t="s">
        <v>15</v>
      </c>
      <c r="C191" s="8" t="s">
        <v>16</v>
      </c>
      <c r="D191" s="8">
        <v>395.3</v>
      </c>
      <c r="E191" s="8">
        <v>166</v>
      </c>
      <c r="F191" s="1">
        <v>19</v>
      </c>
      <c r="G191" s="1" t="str">
        <f t="shared" si="2"/>
        <v>REŞADİYE16619</v>
      </c>
      <c r="H191" s="1"/>
      <c r="I191" s="9" t="e">
        <f>IF(VLOOKUP(G191,'Bereketli Satış'!J:AK,5,0)="","",VLOOKUP(G191,'Bereketli Satış'!J:AK,5,0))</f>
        <v>#N/A</v>
      </c>
      <c r="J191" s="9" t="e">
        <f>IF(VLOOKUP(G191,'Bereketli Satış'!J:AK,28,0)="","",VLOOKUP(G191,'Bereketli Satış'!J:AK,28,0))</f>
        <v>#N/A</v>
      </c>
      <c r="K191" s="9"/>
      <c r="L191" s="128"/>
      <c r="M191" s="100" t="e">
        <f>IF(VLOOKUP(G191,'Bereketli Satış'!J:AK,30,0)="","",VLOOKUP(G191,'Bereketli Satış'!J:AK,30,0))</f>
        <v>#N/A</v>
      </c>
      <c r="N191" s="9"/>
      <c r="O191" s="9"/>
      <c r="P191" s="9" t="e">
        <f>IF(VLOOKUP(G191,'Bereketli Satış'!J:AK,32,0)="","",VLOOKUP(G191,'Bereketli Satış'!J:AK,32,0))</f>
        <v>#N/A</v>
      </c>
      <c r="Q191" s="9"/>
      <c r="R191" s="9"/>
    </row>
    <row r="192" spans="1:18">
      <c r="A192" s="8" t="s">
        <v>14</v>
      </c>
      <c r="B192" s="8" t="s">
        <v>15</v>
      </c>
      <c r="C192" s="8" t="s">
        <v>16</v>
      </c>
      <c r="D192" s="8">
        <v>395.3</v>
      </c>
      <c r="E192" s="8">
        <v>166</v>
      </c>
      <c r="F192" s="1">
        <v>19</v>
      </c>
      <c r="G192" s="1" t="str">
        <f t="shared" si="2"/>
        <v>REŞADİYE16619</v>
      </c>
      <c r="H192" s="1"/>
      <c r="I192" s="9" t="e">
        <f>IF(VLOOKUP(G192,'Bereketli Satış'!J:AK,5,0)="","",VLOOKUP(G192,'Bereketli Satış'!J:AK,5,0))</f>
        <v>#N/A</v>
      </c>
      <c r="J192" s="9" t="e">
        <f>IF(VLOOKUP(G192,'Bereketli Satış'!J:AK,28,0)="","",VLOOKUP(G192,'Bereketli Satış'!J:AK,28,0))</f>
        <v>#N/A</v>
      </c>
      <c r="K192" s="9"/>
      <c r="L192" s="128"/>
      <c r="M192" s="100" t="e">
        <f>IF(VLOOKUP(G192,'Bereketli Satış'!J:AK,30,0)="","",VLOOKUP(G192,'Bereketli Satış'!J:AK,30,0))</f>
        <v>#N/A</v>
      </c>
      <c r="N192" s="9"/>
      <c r="O192" s="9"/>
      <c r="P192" s="9" t="e">
        <f>IF(VLOOKUP(G192,'Bereketli Satış'!J:AK,32,0)="","",VLOOKUP(G192,'Bereketli Satış'!J:AK,32,0))</f>
        <v>#N/A</v>
      </c>
      <c r="Q192" s="9"/>
      <c r="R192" s="9"/>
    </row>
    <row r="193" spans="1:18">
      <c r="A193" s="8" t="s">
        <v>14</v>
      </c>
      <c r="B193" s="8" t="s">
        <v>28</v>
      </c>
      <c r="C193" s="8" t="s">
        <v>29</v>
      </c>
      <c r="D193" s="8">
        <v>301.66000000000003</v>
      </c>
      <c r="E193" s="8">
        <v>169</v>
      </c>
      <c r="F193" s="1">
        <v>2</v>
      </c>
      <c r="G193" s="1" t="str">
        <f t="shared" si="2"/>
        <v>AŞAĞIMUSALAR1692</v>
      </c>
      <c r="H193" s="1"/>
      <c r="I193" s="9" t="e">
        <f>IF(VLOOKUP(G193,'Bereketli Satış'!J:AK,5,0)="","",VLOOKUP(G193,'Bereketli Satış'!J:AK,5,0))</f>
        <v>#N/A</v>
      </c>
      <c r="J193" s="9" t="e">
        <f>IF(VLOOKUP(G193,'Bereketli Satış'!J:AK,28,0)="","",VLOOKUP(G193,'Bereketli Satış'!J:AK,28,0))</f>
        <v>#N/A</v>
      </c>
      <c r="K193" s="9"/>
      <c r="L193" s="128"/>
      <c r="M193" s="100" t="e">
        <f>IF(VLOOKUP(G193,'Bereketli Satış'!J:AK,30,0)="","",VLOOKUP(G193,'Bereketli Satış'!J:AK,30,0))</f>
        <v>#N/A</v>
      </c>
      <c r="N193" s="9"/>
      <c r="O193" s="9"/>
      <c r="P193" s="9" t="e">
        <f>IF(VLOOKUP(G193,'Bereketli Satış'!J:AK,32,0)="","",VLOOKUP(G193,'Bereketli Satış'!J:AK,32,0))</f>
        <v>#N/A</v>
      </c>
      <c r="Q193" s="9"/>
      <c r="R193" s="9"/>
    </row>
    <row r="194" spans="1:18">
      <c r="A194" s="8" t="s">
        <v>14</v>
      </c>
      <c r="B194" s="8" t="s">
        <v>33</v>
      </c>
      <c r="C194" s="8" t="s">
        <v>42</v>
      </c>
      <c r="D194" s="8">
        <v>393.94</v>
      </c>
      <c r="E194" s="8">
        <v>118</v>
      </c>
      <c r="F194" s="1">
        <v>13</v>
      </c>
      <c r="G194" s="1" t="str">
        <f t="shared" si="2"/>
        <v>İBİLLER11813</v>
      </c>
      <c r="H194" s="1"/>
      <c r="I194" s="9" t="e">
        <f>IF(VLOOKUP(G194,'Bereketli Satış'!J:AK,5,0)="","",VLOOKUP(G194,'Bereketli Satış'!J:AK,5,0))</f>
        <v>#N/A</v>
      </c>
      <c r="J194" s="9" t="e">
        <f>IF(VLOOKUP(G194,'Bereketli Satış'!J:AK,28,0)="","",VLOOKUP(G194,'Bereketli Satış'!J:AK,28,0))</f>
        <v>#N/A</v>
      </c>
      <c r="K194" s="9"/>
      <c r="L194" s="128"/>
      <c r="M194" s="100" t="e">
        <f>IF(VLOOKUP(G194,'Bereketli Satış'!J:AK,30,0)="","",VLOOKUP(G194,'Bereketli Satış'!J:AK,30,0))</f>
        <v>#N/A</v>
      </c>
      <c r="N194" s="9"/>
      <c r="O194" s="9"/>
      <c r="P194" s="9" t="e">
        <f>IF(VLOOKUP(G194,'Bereketli Satış'!J:AK,32,0)="","",VLOOKUP(G194,'Bereketli Satış'!J:AK,32,0))</f>
        <v>#N/A</v>
      </c>
      <c r="Q194" s="9"/>
      <c r="R194" s="9"/>
    </row>
    <row r="195" spans="1:18">
      <c r="A195" s="8" t="s">
        <v>14</v>
      </c>
      <c r="B195" s="8" t="s">
        <v>33</v>
      </c>
      <c r="C195" s="8" t="s">
        <v>42</v>
      </c>
      <c r="D195" s="8">
        <v>394.23</v>
      </c>
      <c r="E195" s="8">
        <v>118</v>
      </c>
      <c r="F195" s="1">
        <v>14</v>
      </c>
      <c r="G195" s="1" t="str">
        <f t="shared" ref="G195:G258" si="3">C195&amp;E195&amp;F195</f>
        <v>İBİLLER11814</v>
      </c>
      <c r="H195" s="1"/>
      <c r="I195" s="9" t="e">
        <f>IF(VLOOKUP(G195,'Bereketli Satış'!J:AK,5,0)="","",VLOOKUP(G195,'Bereketli Satış'!J:AK,5,0))</f>
        <v>#N/A</v>
      </c>
      <c r="J195" s="9" t="e">
        <f>IF(VLOOKUP(G195,'Bereketli Satış'!J:AK,28,0)="","",VLOOKUP(G195,'Bereketli Satış'!J:AK,28,0))</f>
        <v>#N/A</v>
      </c>
      <c r="K195" s="9"/>
      <c r="L195" s="128"/>
      <c r="M195" s="100" t="e">
        <f>IF(VLOOKUP(G195,'Bereketli Satış'!J:AK,30,0)="","",VLOOKUP(G195,'Bereketli Satış'!J:AK,30,0))</f>
        <v>#N/A</v>
      </c>
      <c r="N195" s="9"/>
      <c r="O195" s="9"/>
      <c r="P195" s="9" t="e">
        <f>IF(VLOOKUP(G195,'Bereketli Satış'!J:AK,32,0)="","",VLOOKUP(G195,'Bereketli Satış'!J:AK,32,0))</f>
        <v>#N/A</v>
      </c>
      <c r="Q195" s="9"/>
      <c r="R195" s="9"/>
    </row>
    <row r="196" spans="1:18">
      <c r="A196" s="8" t="s">
        <v>14</v>
      </c>
      <c r="B196" s="8" t="s">
        <v>15</v>
      </c>
      <c r="C196" s="8" t="s">
        <v>63</v>
      </c>
      <c r="D196" s="13">
        <v>498.78</v>
      </c>
      <c r="E196" s="8">
        <v>103</v>
      </c>
      <c r="F196" s="1">
        <v>58</v>
      </c>
      <c r="G196" s="1" t="str">
        <f t="shared" si="3"/>
        <v>ILICABOĞAZI10358</v>
      </c>
      <c r="H196" s="1"/>
      <c r="I196" s="9" t="e">
        <f>IF(VLOOKUP(G196,'Bereketli Satış'!J:AK,5,0)="","",VLOOKUP(G196,'Bereketli Satış'!J:AK,5,0))</f>
        <v>#N/A</v>
      </c>
      <c r="J196" s="9" t="e">
        <f>IF(VLOOKUP(G196,'Bereketli Satış'!J:AK,28,0)="","",VLOOKUP(G196,'Bereketli Satış'!J:AK,28,0))</f>
        <v>#N/A</v>
      </c>
      <c r="K196" s="9"/>
      <c r="L196" s="128"/>
      <c r="M196" s="100" t="e">
        <f>IF(VLOOKUP(G196,'Bereketli Satış'!J:AK,30,0)="","",VLOOKUP(G196,'Bereketli Satış'!J:AK,30,0))</f>
        <v>#N/A</v>
      </c>
      <c r="N196" s="9"/>
      <c r="O196" s="9"/>
      <c r="P196" s="9" t="e">
        <f>IF(VLOOKUP(G196,'Bereketli Satış'!J:AK,32,0)="","",VLOOKUP(G196,'Bereketli Satış'!J:AK,32,0))</f>
        <v>#N/A</v>
      </c>
      <c r="Q196" s="9"/>
      <c r="R196" s="9"/>
    </row>
    <row r="197" spans="1:18">
      <c r="A197" s="8" t="s">
        <v>17</v>
      </c>
      <c r="B197" s="8" t="s">
        <v>18</v>
      </c>
      <c r="C197" s="8" t="s">
        <v>64</v>
      </c>
      <c r="D197" s="8">
        <v>344.75</v>
      </c>
      <c r="E197" s="18">
        <v>108</v>
      </c>
      <c r="F197" s="8">
        <v>6</v>
      </c>
      <c r="G197" s="1" t="str">
        <f t="shared" si="3"/>
        <v>Bardakçı1086</v>
      </c>
      <c r="H197" s="8"/>
      <c r="I197" s="9" t="e">
        <f>IF(VLOOKUP(G197,'Bereketli Satış'!J:AK,5,0)="","",VLOOKUP(G197,'Bereketli Satış'!J:AK,5,0))</f>
        <v>#N/A</v>
      </c>
      <c r="J197" s="9" t="e">
        <f>IF(VLOOKUP(G197,'Bereketli Satış'!J:AK,28,0)="","",VLOOKUP(G197,'Bereketli Satış'!J:AK,28,0))</f>
        <v>#N/A</v>
      </c>
      <c r="K197" s="9"/>
      <c r="L197" s="128"/>
      <c r="M197" s="100" t="e">
        <f>IF(VLOOKUP(G197,'Bereketli Satış'!J:AK,30,0)="","",VLOOKUP(G197,'Bereketli Satış'!J:AK,30,0))</f>
        <v>#N/A</v>
      </c>
      <c r="N197" s="9"/>
      <c r="O197" s="9"/>
      <c r="P197" s="9" t="e">
        <f>IF(VLOOKUP(G197,'Bereketli Satış'!J:AK,32,0)="","",VLOOKUP(G197,'Bereketli Satış'!J:AK,32,0))</f>
        <v>#N/A</v>
      </c>
      <c r="Q197" s="9"/>
      <c r="R197" s="9"/>
    </row>
    <row r="198" spans="1:18">
      <c r="A198" s="8" t="s">
        <v>17</v>
      </c>
      <c r="B198" s="8" t="s">
        <v>39</v>
      </c>
      <c r="C198" s="8" t="s">
        <v>40</v>
      </c>
      <c r="D198" s="8">
        <v>302.20999999999998</v>
      </c>
      <c r="E198" s="18">
        <v>103</v>
      </c>
      <c r="F198" s="8">
        <v>6</v>
      </c>
      <c r="G198" s="1" t="str">
        <f t="shared" si="3"/>
        <v>BEĞEL1036</v>
      </c>
      <c r="H198" s="8"/>
      <c r="I198" s="9" t="e">
        <f>IF(VLOOKUP(G198,'Bereketli Satış'!J:AK,5,0)="","",VLOOKUP(G198,'Bereketli Satış'!J:AK,5,0))</f>
        <v>#N/A</v>
      </c>
      <c r="J198" s="9" t="e">
        <f>IF(VLOOKUP(G198,'Bereketli Satış'!J:AK,28,0)="","",VLOOKUP(G198,'Bereketli Satış'!J:AK,28,0))</f>
        <v>#N/A</v>
      </c>
      <c r="K198" s="9"/>
      <c r="L198" s="128"/>
      <c r="M198" s="100" t="e">
        <f>IF(VLOOKUP(G198,'Bereketli Satış'!J:AK,30,0)="","",VLOOKUP(G198,'Bereketli Satış'!J:AK,30,0))</f>
        <v>#N/A</v>
      </c>
      <c r="N198" s="9"/>
      <c r="O198" s="9"/>
      <c r="P198" s="9" t="e">
        <f>IF(VLOOKUP(G198,'Bereketli Satış'!J:AK,32,0)="","",VLOOKUP(G198,'Bereketli Satış'!J:AK,32,0))</f>
        <v>#N/A</v>
      </c>
      <c r="Q198" s="9"/>
      <c r="R198" s="9"/>
    </row>
    <row r="199" spans="1:18">
      <c r="A199" s="8" t="s">
        <v>14</v>
      </c>
      <c r="B199" s="8" t="s">
        <v>33</v>
      </c>
      <c r="C199" s="8" t="s">
        <v>42</v>
      </c>
      <c r="D199" s="8">
        <v>394.44</v>
      </c>
      <c r="E199" s="8">
        <v>118</v>
      </c>
      <c r="F199" s="1">
        <v>15</v>
      </c>
      <c r="G199" s="1" t="str">
        <f t="shared" si="3"/>
        <v>İBİLLER11815</v>
      </c>
      <c r="H199" s="1"/>
      <c r="I199" s="9" t="e">
        <f>IF(VLOOKUP(G199,'Bereketli Satış'!J:AK,5,0)="","",VLOOKUP(G199,'Bereketli Satış'!J:AK,5,0))</f>
        <v>#N/A</v>
      </c>
      <c r="J199" s="9" t="e">
        <f>IF(VLOOKUP(G199,'Bereketli Satış'!J:AK,28,0)="","",VLOOKUP(G199,'Bereketli Satış'!J:AK,28,0))</f>
        <v>#N/A</v>
      </c>
      <c r="K199" s="9"/>
      <c r="L199" s="128"/>
      <c r="M199" s="100" t="e">
        <f>IF(VLOOKUP(G199,'Bereketli Satış'!J:AK,30,0)="","",VLOOKUP(G199,'Bereketli Satış'!J:AK,30,0))</f>
        <v>#N/A</v>
      </c>
      <c r="N199" s="9"/>
      <c r="O199" s="9"/>
      <c r="P199" s="9" t="e">
        <f>IF(VLOOKUP(G199,'Bereketli Satış'!J:AK,32,0)="","",VLOOKUP(G199,'Bereketli Satış'!J:AK,32,0))</f>
        <v>#N/A</v>
      </c>
      <c r="Q199" s="9"/>
      <c r="R199" s="9"/>
    </row>
    <row r="200" spans="1:18">
      <c r="A200" s="8" t="s">
        <v>14</v>
      </c>
      <c r="B200" s="8" t="s">
        <v>33</v>
      </c>
      <c r="C200" s="8" t="s">
        <v>42</v>
      </c>
      <c r="D200" s="8">
        <v>394.56</v>
      </c>
      <c r="E200" s="8">
        <v>118</v>
      </c>
      <c r="F200" s="1">
        <v>16</v>
      </c>
      <c r="G200" s="1" t="str">
        <f t="shared" si="3"/>
        <v>İBİLLER11816</v>
      </c>
      <c r="H200" s="1"/>
      <c r="I200" s="9" t="e">
        <f>IF(VLOOKUP(G200,'Bereketli Satış'!J:AK,5,0)="","",VLOOKUP(G200,'Bereketli Satış'!J:AK,5,0))</f>
        <v>#N/A</v>
      </c>
      <c r="J200" s="9" t="e">
        <f>IF(VLOOKUP(G200,'Bereketli Satış'!J:AK,28,0)="","",VLOOKUP(G200,'Bereketli Satış'!J:AK,28,0))</f>
        <v>#N/A</v>
      </c>
      <c r="K200" s="9"/>
      <c r="L200" s="128"/>
      <c r="M200" s="100" t="e">
        <f>IF(VLOOKUP(G200,'Bereketli Satış'!J:AK,30,0)="","",VLOOKUP(G200,'Bereketli Satış'!J:AK,30,0))</f>
        <v>#N/A</v>
      </c>
      <c r="N200" s="9"/>
      <c r="O200" s="9"/>
      <c r="P200" s="9" t="e">
        <f>IF(VLOOKUP(G200,'Bereketli Satış'!J:AK,32,0)="","",VLOOKUP(G200,'Bereketli Satış'!J:AK,32,0))</f>
        <v>#N/A</v>
      </c>
      <c r="Q200" s="9"/>
      <c r="R200" s="9"/>
    </row>
    <row r="201" spans="1:18">
      <c r="A201" s="8" t="s">
        <v>14</v>
      </c>
      <c r="B201" s="8" t="s">
        <v>33</v>
      </c>
      <c r="C201" s="8" t="s">
        <v>42</v>
      </c>
      <c r="D201" s="8">
        <v>394.77</v>
      </c>
      <c r="E201" s="8">
        <v>117</v>
      </c>
      <c r="F201" s="1">
        <v>23</v>
      </c>
      <c r="G201" s="1" t="str">
        <f t="shared" si="3"/>
        <v>İBİLLER11723</v>
      </c>
      <c r="H201" s="1"/>
      <c r="I201" s="9" t="e">
        <f>IF(VLOOKUP(G201,'Bereketli Satış'!J:AK,5,0)="","",VLOOKUP(G201,'Bereketli Satış'!J:AK,5,0))</f>
        <v>#N/A</v>
      </c>
      <c r="J201" s="9" t="e">
        <f>IF(VLOOKUP(G201,'Bereketli Satış'!J:AK,28,0)="","",VLOOKUP(G201,'Bereketli Satış'!J:AK,28,0))</f>
        <v>#N/A</v>
      </c>
      <c r="K201" s="9"/>
      <c r="L201" s="128"/>
      <c r="M201" s="100" t="e">
        <f>IF(VLOOKUP(G201,'Bereketli Satış'!J:AK,30,0)="","",VLOOKUP(G201,'Bereketli Satış'!J:AK,30,0))</f>
        <v>#N/A</v>
      </c>
      <c r="N201" s="9"/>
      <c r="O201" s="9"/>
      <c r="P201" s="9" t="e">
        <f>IF(VLOOKUP(G201,'Bereketli Satış'!J:AK,32,0)="","",VLOOKUP(G201,'Bereketli Satış'!J:AK,32,0))</f>
        <v>#N/A</v>
      </c>
      <c r="Q201" s="9"/>
      <c r="R201" s="9"/>
    </row>
    <row r="202" spans="1:18">
      <c r="A202" s="8" t="s">
        <v>14</v>
      </c>
      <c r="B202" s="8" t="s">
        <v>33</v>
      </c>
      <c r="C202" s="8" t="s">
        <v>42</v>
      </c>
      <c r="D202" s="8">
        <v>394.87</v>
      </c>
      <c r="E202" s="8">
        <v>118</v>
      </c>
      <c r="F202" s="1">
        <v>17</v>
      </c>
      <c r="G202" s="1" t="str">
        <f t="shared" si="3"/>
        <v>İBİLLER11817</v>
      </c>
      <c r="H202" s="1"/>
      <c r="I202" s="9" t="e">
        <f>IF(VLOOKUP(G202,'Bereketli Satış'!J:AK,5,0)="","",VLOOKUP(G202,'Bereketli Satış'!J:AK,5,0))</f>
        <v>#N/A</v>
      </c>
      <c r="J202" s="9" t="e">
        <f>IF(VLOOKUP(G202,'Bereketli Satış'!J:AK,28,0)="","",VLOOKUP(G202,'Bereketli Satış'!J:AK,28,0))</f>
        <v>#N/A</v>
      </c>
      <c r="K202" s="9"/>
      <c r="L202" s="128"/>
      <c r="M202" s="100" t="e">
        <f>IF(VLOOKUP(G202,'Bereketli Satış'!J:AK,30,0)="","",VLOOKUP(G202,'Bereketli Satış'!J:AK,30,0))</f>
        <v>#N/A</v>
      </c>
      <c r="N202" s="100"/>
      <c r="O202" s="100"/>
      <c r="P202" s="9" t="e">
        <f>IF(VLOOKUP(G202,'Bereketli Satış'!J:AK,32,0)="","",VLOOKUP(G202,'Bereketli Satış'!J:AK,32,0))</f>
        <v>#N/A</v>
      </c>
      <c r="Q202" s="100"/>
      <c r="R202" s="100"/>
    </row>
    <row r="203" spans="1:18">
      <c r="A203" s="8" t="s">
        <v>14</v>
      </c>
      <c r="B203" s="8" t="s">
        <v>15</v>
      </c>
      <c r="C203" s="8" t="s">
        <v>16</v>
      </c>
      <c r="D203" s="8">
        <v>404.24</v>
      </c>
      <c r="E203" s="8">
        <v>167</v>
      </c>
      <c r="F203" s="1">
        <v>14</v>
      </c>
      <c r="G203" s="1" t="str">
        <f t="shared" si="3"/>
        <v>REŞADİYE16714</v>
      </c>
      <c r="H203" s="1"/>
      <c r="I203" s="9" t="e">
        <f>IF(VLOOKUP(G203,'Bereketli Satış'!J:AK,5,0)="","",VLOOKUP(G203,'Bereketli Satış'!J:AK,5,0))</f>
        <v>#N/A</v>
      </c>
      <c r="J203" s="9" t="e">
        <f>IF(VLOOKUP(G203,'Bereketli Satış'!J:AK,28,0)="","",VLOOKUP(G203,'Bereketli Satış'!J:AK,28,0))</f>
        <v>#N/A</v>
      </c>
      <c r="K203" s="100"/>
      <c r="L203" s="128"/>
      <c r="M203" s="100" t="e">
        <f>IF(VLOOKUP(G203,'Bereketli Satış'!J:AK,30,0)="","",VLOOKUP(G203,'Bereketli Satış'!J:AK,30,0))</f>
        <v>#N/A</v>
      </c>
      <c r="N203" s="9"/>
      <c r="O203" s="128"/>
      <c r="P203" s="9" t="e">
        <f>IF(VLOOKUP(G203,'Bereketli Satış'!J:AK,32,0)="","",VLOOKUP(G203,'Bereketli Satış'!J:AK,32,0))</f>
        <v>#N/A</v>
      </c>
      <c r="Q203" s="9"/>
      <c r="R203" s="9"/>
    </row>
    <row r="204" spans="1:18">
      <c r="A204" s="8" t="s">
        <v>14</v>
      </c>
      <c r="B204" s="8" t="s">
        <v>15</v>
      </c>
      <c r="C204" s="8" t="s">
        <v>63</v>
      </c>
      <c r="D204" s="13">
        <v>364.12</v>
      </c>
      <c r="E204" s="8">
        <v>103</v>
      </c>
      <c r="F204" s="1">
        <v>48</v>
      </c>
      <c r="G204" s="1" t="str">
        <f t="shared" si="3"/>
        <v>ILICABOĞAZI10348</v>
      </c>
      <c r="H204" s="1"/>
      <c r="I204" s="9" t="e">
        <f>IF(VLOOKUP(G204,'Bereketli Satış'!J:AK,5,0)="","",VLOOKUP(G204,'Bereketli Satış'!J:AK,5,0))</f>
        <v>#N/A</v>
      </c>
      <c r="J204" s="9" t="e">
        <f>IF(VLOOKUP(G204,'Bereketli Satış'!J:AK,28,0)="","",VLOOKUP(G204,'Bereketli Satış'!J:AK,28,0))</f>
        <v>#N/A</v>
      </c>
      <c r="K204" s="9"/>
      <c r="L204" s="128"/>
      <c r="M204" s="100" t="e">
        <f>IF(VLOOKUP(G204,'Bereketli Satış'!J:AK,30,0)="","",VLOOKUP(G204,'Bereketli Satış'!J:AK,30,0))</f>
        <v>#N/A</v>
      </c>
      <c r="N204" s="100"/>
      <c r="O204" s="100"/>
      <c r="P204" s="9" t="e">
        <f>IF(VLOOKUP(G204,'Bereketli Satış'!J:AK,32,0)="","",VLOOKUP(G204,'Bereketli Satış'!J:AK,32,0))</f>
        <v>#N/A</v>
      </c>
      <c r="Q204" s="100"/>
      <c r="R204" s="100"/>
    </row>
    <row r="205" spans="1:18">
      <c r="A205" s="8" t="s">
        <v>14</v>
      </c>
      <c r="B205" s="8" t="s">
        <v>15</v>
      </c>
      <c r="C205" s="8" t="s">
        <v>16</v>
      </c>
      <c r="D205" s="8">
        <v>415.41</v>
      </c>
      <c r="E205" s="18">
        <v>157</v>
      </c>
      <c r="F205" s="8">
        <v>1</v>
      </c>
      <c r="G205" s="1" t="str">
        <f t="shared" si="3"/>
        <v>REŞADİYE1571</v>
      </c>
      <c r="H205" s="8"/>
      <c r="I205" s="9" t="e">
        <f>IF(VLOOKUP(G205,'Bereketli Satış'!J:AK,5,0)="","",VLOOKUP(G205,'Bereketli Satış'!J:AK,5,0))</f>
        <v>#N/A</v>
      </c>
      <c r="J205" s="9" t="e">
        <f>IF(VLOOKUP(G205,'Bereketli Satış'!J:AK,28,0)="","",VLOOKUP(G205,'Bereketli Satış'!J:AK,28,0))</f>
        <v>#N/A</v>
      </c>
      <c r="K205" s="100"/>
      <c r="L205" s="128"/>
      <c r="M205" s="100" t="e">
        <f>IF(VLOOKUP(G205,'Bereketli Satış'!J:AK,30,0)="","",VLOOKUP(G205,'Bereketli Satış'!J:AK,30,0))</f>
        <v>#N/A</v>
      </c>
      <c r="N205" s="9"/>
      <c r="O205" s="9"/>
      <c r="P205" s="9" t="e">
        <f>IF(VLOOKUP(G205,'Bereketli Satış'!J:AK,32,0)="","",VLOOKUP(G205,'Bereketli Satış'!J:AK,32,0))</f>
        <v>#N/A</v>
      </c>
      <c r="Q205" s="9"/>
      <c r="R205" s="9"/>
    </row>
    <row r="206" spans="1:18">
      <c r="A206" s="8" t="s">
        <v>14</v>
      </c>
      <c r="B206" s="8" t="s">
        <v>33</v>
      </c>
      <c r="C206" s="8" t="s">
        <v>42</v>
      </c>
      <c r="D206" s="8">
        <v>396.54</v>
      </c>
      <c r="E206" s="8">
        <v>122</v>
      </c>
      <c r="F206" s="1">
        <v>17</v>
      </c>
      <c r="G206" s="1" t="str">
        <f t="shared" si="3"/>
        <v>İBİLLER12217</v>
      </c>
      <c r="H206" s="1"/>
      <c r="I206" s="9" t="e">
        <f>IF(VLOOKUP(G206,'Bereketli Satış'!J:AK,5,0)="","",VLOOKUP(G206,'Bereketli Satış'!J:AK,5,0))</f>
        <v>#N/A</v>
      </c>
      <c r="J206" s="9" t="e">
        <f>IF(VLOOKUP(G206,'Bereketli Satış'!J:AK,28,0)="","",VLOOKUP(G206,'Bereketli Satış'!J:AK,28,0))</f>
        <v>#N/A</v>
      </c>
      <c r="K206" s="9"/>
      <c r="L206" s="128"/>
      <c r="M206" s="100" t="e">
        <f>IF(VLOOKUP(G206,'Bereketli Satış'!J:AK,30,0)="","",VLOOKUP(G206,'Bereketli Satış'!J:AK,30,0))</f>
        <v>#N/A</v>
      </c>
      <c r="N206" s="9"/>
      <c r="O206" s="9"/>
      <c r="P206" s="9" t="e">
        <f>IF(VLOOKUP(G206,'Bereketli Satış'!J:AK,32,0)="","",VLOOKUP(G206,'Bereketli Satış'!J:AK,32,0))</f>
        <v>#N/A</v>
      </c>
      <c r="Q206" s="9"/>
      <c r="R206" s="9"/>
    </row>
    <row r="207" spans="1:18">
      <c r="A207" s="8" t="s">
        <v>14</v>
      </c>
      <c r="B207" s="8" t="s">
        <v>33</v>
      </c>
      <c r="C207" s="8" t="s">
        <v>42</v>
      </c>
      <c r="D207" s="8">
        <v>396.65</v>
      </c>
      <c r="E207" s="8">
        <v>122</v>
      </c>
      <c r="F207" s="1">
        <v>18</v>
      </c>
      <c r="G207" s="1" t="str">
        <f t="shared" si="3"/>
        <v>İBİLLER12218</v>
      </c>
      <c r="H207" s="1"/>
      <c r="I207" s="9" t="e">
        <f>IF(VLOOKUP(G207,'Bereketli Satış'!J:AK,5,0)="","",VLOOKUP(G207,'Bereketli Satış'!J:AK,5,0))</f>
        <v>#N/A</v>
      </c>
      <c r="J207" s="9" t="e">
        <f>IF(VLOOKUP(G207,'Bereketli Satış'!J:AK,28,0)="","",VLOOKUP(G207,'Bereketli Satış'!J:AK,28,0))</f>
        <v>#N/A</v>
      </c>
      <c r="K207" s="9"/>
      <c r="L207" s="128"/>
      <c r="M207" s="100" t="e">
        <f>IF(VLOOKUP(G207,'Bereketli Satış'!J:AK,30,0)="","",VLOOKUP(G207,'Bereketli Satış'!J:AK,30,0))</f>
        <v>#N/A</v>
      </c>
      <c r="N207" s="9"/>
      <c r="O207" s="9"/>
      <c r="P207" s="9" t="e">
        <f>IF(VLOOKUP(G207,'Bereketli Satış'!J:AK,32,0)="","",VLOOKUP(G207,'Bereketli Satış'!J:AK,32,0))</f>
        <v>#N/A</v>
      </c>
      <c r="Q207" s="9"/>
      <c r="R207" s="9"/>
    </row>
    <row r="208" spans="1:18">
      <c r="A208" s="8" t="s">
        <v>14</v>
      </c>
      <c r="B208" s="8" t="s">
        <v>33</v>
      </c>
      <c r="C208" s="8" t="s">
        <v>42</v>
      </c>
      <c r="D208" s="8">
        <v>396.74</v>
      </c>
      <c r="E208" s="8">
        <v>122</v>
      </c>
      <c r="F208" s="1">
        <v>19</v>
      </c>
      <c r="G208" s="1" t="str">
        <f t="shared" si="3"/>
        <v>İBİLLER12219</v>
      </c>
      <c r="H208" s="1"/>
      <c r="I208" s="9" t="e">
        <f>IF(VLOOKUP(G208,'Bereketli Satış'!J:AK,5,0)="","",VLOOKUP(G208,'Bereketli Satış'!J:AK,5,0))</f>
        <v>#N/A</v>
      </c>
      <c r="J208" s="9" t="e">
        <f>IF(VLOOKUP(G208,'Bereketli Satış'!J:AK,28,0)="","",VLOOKUP(G208,'Bereketli Satış'!J:AK,28,0))</f>
        <v>#N/A</v>
      </c>
      <c r="K208" s="9"/>
      <c r="L208" s="128"/>
      <c r="M208" s="100" t="e">
        <f>IF(VLOOKUP(G208,'Bereketli Satış'!J:AK,30,0)="","",VLOOKUP(G208,'Bereketli Satış'!J:AK,30,0))</f>
        <v>#N/A</v>
      </c>
      <c r="N208" s="9"/>
      <c r="O208" s="9"/>
      <c r="P208" s="9" t="e">
        <f>IF(VLOOKUP(G208,'Bereketli Satış'!J:AK,32,0)="","",VLOOKUP(G208,'Bereketli Satış'!J:AK,32,0))</f>
        <v>#N/A</v>
      </c>
      <c r="Q208" s="9"/>
      <c r="R208" s="9"/>
    </row>
    <row r="209" spans="1:18">
      <c r="A209" s="8" t="s">
        <v>14</v>
      </c>
      <c r="B209" s="8" t="s">
        <v>33</v>
      </c>
      <c r="C209" s="8" t="s">
        <v>42</v>
      </c>
      <c r="D209" s="8">
        <v>396.78</v>
      </c>
      <c r="E209" s="8">
        <v>122</v>
      </c>
      <c r="F209" s="1">
        <v>20</v>
      </c>
      <c r="G209" s="1" t="str">
        <f t="shared" si="3"/>
        <v>İBİLLER12220</v>
      </c>
      <c r="H209" s="1"/>
      <c r="I209" s="9" t="e">
        <f>IF(VLOOKUP(G209,'Bereketli Satış'!J:AK,5,0)="","",VLOOKUP(G209,'Bereketli Satış'!J:AK,5,0))</f>
        <v>#N/A</v>
      </c>
      <c r="J209" s="9" t="e">
        <f>IF(VLOOKUP(G209,'Bereketli Satış'!J:AK,28,0)="","",VLOOKUP(G209,'Bereketli Satış'!J:AK,28,0))</f>
        <v>#N/A</v>
      </c>
      <c r="K209" s="9"/>
      <c r="L209" s="128"/>
      <c r="M209" s="100" t="e">
        <f>IF(VLOOKUP(G209,'Bereketli Satış'!J:AK,30,0)="","",VLOOKUP(G209,'Bereketli Satış'!J:AK,30,0))</f>
        <v>#N/A</v>
      </c>
      <c r="N209" s="9"/>
      <c r="O209" s="9"/>
      <c r="P209" s="9" t="e">
        <f>IF(VLOOKUP(G209,'Bereketli Satış'!J:AK,32,0)="","",VLOOKUP(G209,'Bereketli Satış'!J:AK,32,0))</f>
        <v>#N/A</v>
      </c>
      <c r="Q209" s="9"/>
      <c r="R209" s="9"/>
    </row>
    <row r="210" spans="1:18">
      <c r="A210" s="8" t="s">
        <v>14</v>
      </c>
      <c r="B210" s="8" t="s">
        <v>23</v>
      </c>
      <c r="C210" s="8" t="s">
        <v>41</v>
      </c>
      <c r="D210" s="8">
        <v>529</v>
      </c>
      <c r="E210" s="8">
        <v>135</v>
      </c>
      <c r="F210" s="8">
        <v>12</v>
      </c>
      <c r="G210" s="1" t="str">
        <f t="shared" si="3"/>
        <v>BÜYÜKPINAR13512</v>
      </c>
      <c r="H210" s="8"/>
      <c r="I210" s="9" t="e">
        <f>IF(VLOOKUP(G210,'Bereketli Satış'!J:AK,5,0)="","",VLOOKUP(G210,'Bereketli Satış'!J:AK,5,0))</f>
        <v>#N/A</v>
      </c>
      <c r="J210" s="9" t="e">
        <f>IF(VLOOKUP(G210,'Bereketli Satış'!J:AK,28,0)="","",VLOOKUP(G210,'Bereketli Satış'!J:AK,28,0))</f>
        <v>#N/A</v>
      </c>
      <c r="K210" s="9"/>
      <c r="L210" s="128"/>
      <c r="M210" s="100" t="e">
        <f>IF(VLOOKUP(G210,'Bereketli Satış'!J:AK,30,0)="","",VLOOKUP(G210,'Bereketli Satış'!J:AK,30,0))</f>
        <v>#N/A</v>
      </c>
      <c r="N210" s="9"/>
      <c r="O210" s="9"/>
      <c r="P210" s="9" t="e">
        <f>IF(VLOOKUP(G210,'Bereketli Satış'!J:AK,32,0)="","",VLOOKUP(G210,'Bereketli Satış'!J:AK,32,0))</f>
        <v>#N/A</v>
      </c>
      <c r="Q210" s="9"/>
      <c r="R210" s="9"/>
    </row>
    <row r="211" spans="1:18">
      <c r="A211" s="8" t="s">
        <v>30</v>
      </c>
      <c r="B211" s="8" t="s">
        <v>31</v>
      </c>
      <c r="C211" s="8" t="s">
        <v>32</v>
      </c>
      <c r="D211" s="8">
        <v>314.76</v>
      </c>
      <c r="E211" s="8">
        <v>314</v>
      </c>
      <c r="F211" s="1">
        <v>16</v>
      </c>
      <c r="G211" s="1" t="str">
        <f t="shared" si="3"/>
        <v>CAMİKEBİR31416</v>
      </c>
      <c r="H211" s="1"/>
      <c r="I211" s="9" t="e">
        <f>IF(VLOOKUP(G211,'Bereketli Satış'!J:AK,5,0)="","",VLOOKUP(G211,'Bereketli Satış'!J:AK,5,0))</f>
        <v>#N/A</v>
      </c>
      <c r="J211" s="9" t="e">
        <f>IF(VLOOKUP(G211,'Bereketli Satış'!J:AK,28,0)="","",VLOOKUP(G211,'Bereketli Satış'!J:AK,28,0))</f>
        <v>#N/A</v>
      </c>
      <c r="K211" s="9"/>
      <c r="L211" s="128"/>
      <c r="M211" s="100" t="e">
        <f>IF(VLOOKUP(G211,'Bereketli Satış'!J:AK,30,0)="","",VLOOKUP(G211,'Bereketli Satış'!J:AK,30,0))</f>
        <v>#N/A</v>
      </c>
      <c r="N211" s="9"/>
      <c r="O211" s="9"/>
      <c r="P211" s="9" t="e">
        <f>IF(VLOOKUP(G211,'Bereketli Satış'!J:AK,32,0)="","",VLOOKUP(G211,'Bereketli Satış'!J:AK,32,0))</f>
        <v>#N/A</v>
      </c>
      <c r="Q211" s="9"/>
      <c r="R211" s="9"/>
    </row>
    <row r="212" spans="1:18">
      <c r="A212" s="8" t="s">
        <v>30</v>
      </c>
      <c r="B212" s="8" t="s">
        <v>31</v>
      </c>
      <c r="C212" s="8" t="s">
        <v>32</v>
      </c>
      <c r="D212" s="8">
        <v>393.84</v>
      </c>
      <c r="E212" s="8">
        <v>314</v>
      </c>
      <c r="F212" s="1">
        <v>1</v>
      </c>
      <c r="G212" s="1" t="str">
        <f t="shared" si="3"/>
        <v>CAMİKEBİR3141</v>
      </c>
      <c r="H212" s="1"/>
      <c r="I212" s="9" t="e">
        <f>IF(VLOOKUP(G212,'Bereketli Satış'!J:AK,5,0)="","",VLOOKUP(G212,'Bereketli Satış'!J:AK,5,0))</f>
        <v>#N/A</v>
      </c>
      <c r="J212" s="9" t="e">
        <f>IF(VLOOKUP(G212,'Bereketli Satış'!J:AK,28,0)="","",VLOOKUP(G212,'Bereketli Satış'!J:AK,28,0))</f>
        <v>#N/A</v>
      </c>
      <c r="K212" s="9"/>
      <c r="L212" s="128"/>
      <c r="M212" s="100" t="e">
        <f>IF(VLOOKUP(G212,'Bereketli Satış'!J:AK,30,0)="","",VLOOKUP(G212,'Bereketli Satış'!J:AK,30,0))</f>
        <v>#N/A</v>
      </c>
      <c r="N212" s="100"/>
      <c r="O212" s="100"/>
      <c r="P212" s="9" t="e">
        <f>IF(VLOOKUP(G212,'Bereketli Satış'!J:AK,32,0)="","",VLOOKUP(G212,'Bereketli Satış'!J:AK,32,0))</f>
        <v>#N/A</v>
      </c>
      <c r="Q212" s="100"/>
      <c r="R212" s="100"/>
    </row>
    <row r="213" spans="1:18">
      <c r="A213" s="8" t="s">
        <v>17</v>
      </c>
      <c r="B213" s="8" t="s">
        <v>21</v>
      </c>
      <c r="C213" s="8" t="s">
        <v>22</v>
      </c>
      <c r="D213" s="8">
        <v>430</v>
      </c>
      <c r="E213" s="18">
        <v>236</v>
      </c>
      <c r="F213" s="8">
        <v>5</v>
      </c>
      <c r="G213" s="1" t="str">
        <f t="shared" si="3"/>
        <v>KİLLİK2365</v>
      </c>
      <c r="H213" s="8">
        <v>31169574</v>
      </c>
      <c r="I213" s="9" t="e">
        <f>IF(VLOOKUP(G213,'Bereketli Satış'!J:AK,5,0)="","",VLOOKUP(G213,'Bereketli Satış'!J:AK,5,0))</f>
        <v>#N/A</v>
      </c>
      <c r="J213" s="9" t="e">
        <f>IF(VLOOKUP(G213,'Bereketli Satış'!J:AK,28,0)="","",VLOOKUP(G213,'Bereketli Satış'!J:AK,28,0))</f>
        <v>#N/A</v>
      </c>
      <c r="K213" s="100"/>
      <c r="L213" s="128">
        <v>45930</v>
      </c>
      <c r="M213" s="100" t="e">
        <f>IF(VLOOKUP(G213,'Bereketli Satış'!J:AK,30,0)="","",VLOOKUP(G213,'Bereketli Satış'!J:AK,30,0))</f>
        <v>#N/A</v>
      </c>
      <c r="N213" s="9"/>
      <c r="O213" s="9"/>
      <c r="P213" s="9" t="e">
        <f>IF(VLOOKUP(G213,'Bereketli Satış'!J:AK,32,0)="","",VLOOKUP(G213,'Bereketli Satış'!J:AK,32,0))</f>
        <v>#N/A</v>
      </c>
      <c r="Q213" s="9"/>
      <c r="R213" s="9"/>
    </row>
    <row r="214" spans="1:18">
      <c r="A214" s="8" t="s">
        <v>14</v>
      </c>
      <c r="B214" s="8" t="s">
        <v>15</v>
      </c>
      <c r="C214" s="8" t="s">
        <v>16</v>
      </c>
      <c r="D214" s="8">
        <v>421.96</v>
      </c>
      <c r="E214" s="8">
        <v>178</v>
      </c>
      <c r="F214" s="1">
        <v>9</v>
      </c>
      <c r="G214" s="1" t="str">
        <f t="shared" si="3"/>
        <v>REŞADİYE1789</v>
      </c>
      <c r="H214" s="1"/>
      <c r="I214" s="9" t="e">
        <f>IF(VLOOKUP(G214,'Bereketli Satış'!J:AK,5,0)="","",VLOOKUP(G214,'Bereketli Satış'!J:AK,5,0))</f>
        <v>#N/A</v>
      </c>
      <c r="J214" s="9" t="e">
        <f>IF(VLOOKUP(G214,'Bereketli Satış'!J:AK,28,0)="","",VLOOKUP(G214,'Bereketli Satış'!J:AK,28,0))</f>
        <v>#N/A</v>
      </c>
      <c r="K214" s="9"/>
      <c r="L214" s="128"/>
      <c r="M214" s="100" t="e">
        <f>IF(VLOOKUP(G214,'Bereketli Satış'!J:AK,30,0)="","",VLOOKUP(G214,'Bereketli Satış'!J:AK,30,0))</f>
        <v>#N/A</v>
      </c>
      <c r="N214" s="9"/>
      <c r="O214" s="9"/>
      <c r="P214" s="9" t="e">
        <f>IF(VLOOKUP(G214,'Bereketli Satış'!J:AK,32,0)="","",VLOOKUP(G214,'Bereketli Satış'!J:AK,32,0))</f>
        <v>#N/A</v>
      </c>
      <c r="Q214" s="9"/>
      <c r="R214" s="9"/>
    </row>
    <row r="215" spans="1:18">
      <c r="A215" s="8" t="s">
        <v>14</v>
      </c>
      <c r="B215" s="8" t="s">
        <v>33</v>
      </c>
      <c r="C215" s="8" t="s">
        <v>42</v>
      </c>
      <c r="D215" s="8">
        <v>396.86</v>
      </c>
      <c r="E215" s="8">
        <v>122</v>
      </c>
      <c r="F215" s="1">
        <v>21</v>
      </c>
      <c r="G215" s="1" t="str">
        <f t="shared" si="3"/>
        <v>İBİLLER12221</v>
      </c>
      <c r="H215" s="1"/>
      <c r="I215" s="9" t="e">
        <f>IF(VLOOKUP(G215,'Bereketli Satış'!J:AK,5,0)="","",VLOOKUP(G215,'Bereketli Satış'!J:AK,5,0))</f>
        <v>#N/A</v>
      </c>
      <c r="J215" s="9" t="e">
        <f>IF(VLOOKUP(G215,'Bereketli Satış'!J:AK,28,0)="","",VLOOKUP(G215,'Bereketli Satış'!J:AK,28,0))</f>
        <v>#N/A</v>
      </c>
      <c r="K215" s="9"/>
      <c r="L215" s="128"/>
      <c r="M215" s="100" t="e">
        <f>IF(VLOOKUP(G215,'Bereketli Satış'!J:AK,30,0)="","",VLOOKUP(G215,'Bereketli Satış'!J:AK,30,0))</f>
        <v>#N/A</v>
      </c>
      <c r="N215" s="100"/>
      <c r="O215" s="100"/>
      <c r="P215" s="9" t="e">
        <f>IF(VLOOKUP(G215,'Bereketli Satış'!J:AK,32,0)="","",VLOOKUP(G215,'Bereketli Satış'!J:AK,32,0))</f>
        <v>#N/A</v>
      </c>
      <c r="Q215" s="100"/>
      <c r="R215" s="100"/>
    </row>
    <row r="216" spans="1:18">
      <c r="A216" s="8" t="s">
        <v>14</v>
      </c>
      <c r="B216" s="8" t="s">
        <v>33</v>
      </c>
      <c r="C216" s="8" t="s">
        <v>42</v>
      </c>
      <c r="D216" s="8">
        <v>399.23</v>
      </c>
      <c r="E216" s="8">
        <v>116</v>
      </c>
      <c r="F216" s="1">
        <v>20</v>
      </c>
      <c r="G216" s="1" t="str">
        <f t="shared" si="3"/>
        <v>İBİLLER11620</v>
      </c>
      <c r="H216" s="1"/>
      <c r="I216" s="9" t="e">
        <f>IF(VLOOKUP(G216,'Bereketli Satış'!J:AK,5,0)="","",VLOOKUP(G216,'Bereketli Satış'!J:AK,5,0))</f>
        <v>#N/A</v>
      </c>
      <c r="J216" s="9" t="e">
        <f>IF(VLOOKUP(G216,'Bereketli Satış'!J:AK,28,0)="","",VLOOKUP(G216,'Bereketli Satış'!J:AK,28,0))</f>
        <v>#N/A</v>
      </c>
      <c r="K216" s="100"/>
      <c r="L216" s="128"/>
      <c r="M216" s="100" t="e">
        <f>IF(VLOOKUP(G216,'Bereketli Satış'!J:AK,30,0)="","",VLOOKUP(G216,'Bereketli Satış'!J:AK,30,0))</f>
        <v>#N/A</v>
      </c>
      <c r="N216" s="100"/>
      <c r="O216" s="100"/>
      <c r="P216" s="9" t="e">
        <f>IF(VLOOKUP(G216,'Bereketli Satış'!J:AK,32,0)="","",VLOOKUP(G216,'Bereketli Satış'!J:AK,32,0))</f>
        <v>#N/A</v>
      </c>
      <c r="Q216" s="100"/>
      <c r="R216" s="100"/>
    </row>
    <row r="217" spans="1:18">
      <c r="A217" s="8" t="s">
        <v>14</v>
      </c>
      <c r="B217" s="8" t="s">
        <v>33</v>
      </c>
      <c r="C217" s="8" t="s">
        <v>42</v>
      </c>
      <c r="D217" s="8">
        <v>400.05</v>
      </c>
      <c r="E217" s="8">
        <v>116</v>
      </c>
      <c r="F217" s="1">
        <v>19</v>
      </c>
      <c r="G217" s="1" t="str">
        <f t="shared" si="3"/>
        <v>İBİLLER11619</v>
      </c>
      <c r="H217" s="1"/>
      <c r="I217" s="9" t="e">
        <f>IF(VLOOKUP(G217,'Bereketli Satış'!J:AK,5,0)="","",VLOOKUP(G217,'Bereketli Satış'!J:AK,5,0))</f>
        <v>#N/A</v>
      </c>
      <c r="J217" s="9" t="e">
        <f>IF(VLOOKUP(G217,'Bereketli Satış'!J:AK,28,0)="","",VLOOKUP(G217,'Bereketli Satış'!J:AK,28,0))</f>
        <v>#N/A</v>
      </c>
      <c r="K217" s="100"/>
      <c r="L217" s="128"/>
      <c r="M217" s="100" t="e">
        <f>IF(VLOOKUP(G217,'Bereketli Satış'!J:AK,30,0)="","",VLOOKUP(G217,'Bereketli Satış'!J:AK,30,0))</f>
        <v>#N/A</v>
      </c>
      <c r="N217" s="9"/>
      <c r="O217" s="9"/>
      <c r="P217" s="9" t="e">
        <f>IF(VLOOKUP(G217,'Bereketli Satış'!J:AK,32,0)="","",VLOOKUP(G217,'Bereketli Satış'!J:AK,32,0))</f>
        <v>#N/A</v>
      </c>
      <c r="Q217" s="9"/>
      <c r="R217" s="9"/>
    </row>
    <row r="218" spans="1:18">
      <c r="A218" s="8" t="s">
        <v>14</v>
      </c>
      <c r="B218" s="8" t="s">
        <v>33</v>
      </c>
      <c r="C218" s="8" t="s">
        <v>42</v>
      </c>
      <c r="D218" s="8">
        <v>406.56</v>
      </c>
      <c r="E218" s="8">
        <v>111</v>
      </c>
      <c r="F218" s="1">
        <v>23</v>
      </c>
      <c r="G218" s="1" t="str">
        <f t="shared" si="3"/>
        <v>İBİLLER11123</v>
      </c>
      <c r="H218" s="1"/>
      <c r="I218" s="9" t="e">
        <f>IF(VLOOKUP(G218,'Bereketli Satış'!J:AK,5,0)="","",VLOOKUP(G218,'Bereketli Satış'!J:AK,5,0))</f>
        <v>#N/A</v>
      </c>
      <c r="J218" s="9" t="e">
        <f>IF(VLOOKUP(G218,'Bereketli Satış'!J:AK,28,0)="","",VLOOKUP(G218,'Bereketli Satış'!J:AK,28,0))</f>
        <v>#N/A</v>
      </c>
      <c r="K218" s="9"/>
      <c r="L218" s="128"/>
      <c r="M218" s="100" t="e">
        <f>IF(VLOOKUP(G218,'Bereketli Satış'!J:AK,30,0)="","",VLOOKUP(G218,'Bereketli Satış'!J:AK,30,0))</f>
        <v>#N/A</v>
      </c>
      <c r="N218" s="9"/>
      <c r="O218" s="9"/>
      <c r="P218" s="9" t="e">
        <f>IF(VLOOKUP(G218,'Bereketli Satış'!J:AK,32,0)="","",VLOOKUP(G218,'Bereketli Satış'!J:AK,32,0))</f>
        <v>#N/A</v>
      </c>
      <c r="Q218" s="9"/>
      <c r="R218" s="9"/>
    </row>
    <row r="219" spans="1:18">
      <c r="A219" s="8" t="s">
        <v>14</v>
      </c>
      <c r="B219" s="8" t="s">
        <v>33</v>
      </c>
      <c r="C219" s="8" t="s">
        <v>42</v>
      </c>
      <c r="D219" s="8">
        <v>406.58</v>
      </c>
      <c r="E219" s="8">
        <v>111</v>
      </c>
      <c r="F219" s="1">
        <v>22</v>
      </c>
      <c r="G219" s="1" t="str">
        <f t="shared" si="3"/>
        <v>İBİLLER11122</v>
      </c>
      <c r="H219" s="1"/>
      <c r="I219" s="9" t="e">
        <f>IF(VLOOKUP(G219,'Bereketli Satış'!J:AK,5,0)="","",VLOOKUP(G219,'Bereketli Satış'!J:AK,5,0))</f>
        <v>#N/A</v>
      </c>
      <c r="J219" s="9" t="e">
        <f>IF(VLOOKUP(G219,'Bereketli Satış'!J:AK,28,0)="","",VLOOKUP(G219,'Bereketli Satış'!J:AK,28,0))</f>
        <v>#N/A</v>
      </c>
      <c r="K219" s="9"/>
      <c r="L219" s="128"/>
      <c r="M219" s="100" t="e">
        <f>IF(VLOOKUP(G219,'Bereketli Satış'!J:AK,30,0)="","",VLOOKUP(G219,'Bereketli Satış'!J:AK,30,0))</f>
        <v>#N/A</v>
      </c>
      <c r="N219" s="9"/>
      <c r="O219" s="9"/>
      <c r="P219" s="9" t="e">
        <f>IF(VLOOKUP(G219,'Bereketli Satış'!J:AK,32,0)="","",VLOOKUP(G219,'Bereketli Satış'!J:AK,32,0))</f>
        <v>#N/A</v>
      </c>
      <c r="Q219" s="9"/>
      <c r="R219" s="9"/>
    </row>
    <row r="220" spans="1:18">
      <c r="A220" s="8" t="s">
        <v>14</v>
      </c>
      <c r="B220" s="8" t="s">
        <v>33</v>
      </c>
      <c r="C220" s="8" t="s">
        <v>42</v>
      </c>
      <c r="D220" s="8">
        <v>406.86</v>
      </c>
      <c r="E220" s="8">
        <v>111</v>
      </c>
      <c r="F220" s="1">
        <v>21</v>
      </c>
      <c r="G220" s="1" t="str">
        <f t="shared" si="3"/>
        <v>İBİLLER11121</v>
      </c>
      <c r="H220" s="1"/>
      <c r="I220" s="9" t="e">
        <f>IF(VLOOKUP(G220,'Bereketli Satış'!J:AK,5,0)="","",VLOOKUP(G220,'Bereketli Satış'!J:AK,5,0))</f>
        <v>#N/A</v>
      </c>
      <c r="J220" s="9" t="e">
        <f>IF(VLOOKUP(G220,'Bereketli Satış'!J:AK,28,0)="","",VLOOKUP(G220,'Bereketli Satış'!J:AK,28,0))</f>
        <v>#N/A</v>
      </c>
      <c r="K220" s="9"/>
      <c r="L220" s="128"/>
      <c r="M220" s="100" t="e">
        <f>IF(VLOOKUP(G220,'Bereketli Satış'!J:AK,30,0)="","",VLOOKUP(G220,'Bereketli Satış'!J:AK,30,0))</f>
        <v>#N/A</v>
      </c>
      <c r="N220" s="9"/>
      <c r="O220" s="9"/>
      <c r="P220" s="9" t="e">
        <f>IF(VLOOKUP(G220,'Bereketli Satış'!J:AK,32,0)="","",VLOOKUP(G220,'Bereketli Satış'!J:AK,32,0))</f>
        <v>#N/A</v>
      </c>
      <c r="Q220" s="9"/>
      <c r="R220" s="9"/>
    </row>
    <row r="221" spans="1:18">
      <c r="A221" s="8" t="s">
        <v>14</v>
      </c>
      <c r="B221" s="8" t="s">
        <v>15</v>
      </c>
      <c r="C221" s="8" t="s">
        <v>16</v>
      </c>
      <c r="D221" s="8">
        <v>439.45</v>
      </c>
      <c r="E221" s="8">
        <v>178</v>
      </c>
      <c r="F221" s="1">
        <v>10</v>
      </c>
      <c r="G221" s="1" t="str">
        <f t="shared" si="3"/>
        <v>REŞADİYE17810</v>
      </c>
      <c r="H221" s="1"/>
      <c r="I221" s="9" t="e">
        <f>IF(VLOOKUP(G221,'Bereketli Satış'!J:AK,5,0)="","",VLOOKUP(G221,'Bereketli Satış'!J:AK,5,0))</f>
        <v>#N/A</v>
      </c>
      <c r="J221" s="9" t="e">
        <f>IF(VLOOKUP(G221,'Bereketli Satış'!J:AK,28,0)="","",VLOOKUP(G221,'Bereketli Satış'!J:AK,28,0))</f>
        <v>#N/A</v>
      </c>
      <c r="K221" s="9"/>
      <c r="L221" s="128"/>
      <c r="M221" s="100" t="e">
        <f>IF(VLOOKUP(G221,'Bereketli Satış'!J:AK,30,0)="","",VLOOKUP(G221,'Bereketli Satış'!J:AK,30,0))</f>
        <v>#N/A</v>
      </c>
      <c r="N221" s="9"/>
      <c r="O221" s="9"/>
      <c r="P221" s="9" t="e">
        <f>IF(VLOOKUP(G221,'Bereketli Satış'!J:AK,32,0)="","",VLOOKUP(G221,'Bereketli Satış'!J:AK,32,0))</f>
        <v>#N/A</v>
      </c>
      <c r="Q221" s="9"/>
      <c r="R221" s="9"/>
    </row>
    <row r="222" spans="1:18">
      <c r="A222" s="8" t="s">
        <v>14</v>
      </c>
      <c r="B222" s="108" t="s">
        <v>28</v>
      </c>
      <c r="C222" s="8" t="s">
        <v>65</v>
      </c>
      <c r="D222" s="8">
        <v>870.75</v>
      </c>
      <c r="E222" s="8">
        <v>116</v>
      </c>
      <c r="F222" s="3">
        <v>69</v>
      </c>
      <c r="G222" s="1" t="str">
        <f t="shared" si="3"/>
        <v>ÇELİKLER11669</v>
      </c>
      <c r="H222" s="3">
        <v>116740568</v>
      </c>
      <c r="I222" s="9" t="e">
        <f>IF(VLOOKUP(G222,'Bereketli Satış'!J:AK,5,0)="","",VLOOKUP(G222,'Bereketli Satış'!J:AK,5,0))</f>
        <v>#N/A</v>
      </c>
      <c r="J222" s="9" t="e">
        <f>IF(VLOOKUP(G222,'Bereketli Satış'!J:AK,28,0)="","",VLOOKUP(G222,'Bereketli Satış'!J:AK,28,0))</f>
        <v>#N/A</v>
      </c>
      <c r="K222" s="9"/>
      <c r="L222" s="128">
        <v>46387</v>
      </c>
      <c r="M222" s="100" t="e">
        <f>IF(VLOOKUP(G222,'Bereketli Satış'!J:AK,30,0)="","",VLOOKUP(G222,'Bereketli Satış'!J:AK,30,0))</f>
        <v>#N/A</v>
      </c>
      <c r="N222" s="9"/>
      <c r="O222" s="9"/>
      <c r="P222" s="9" t="e">
        <f>IF(VLOOKUP(G222,'Bereketli Satış'!J:AK,32,0)="","",VLOOKUP(G222,'Bereketli Satış'!J:AK,32,0))</f>
        <v>#N/A</v>
      </c>
      <c r="Q222" s="9"/>
      <c r="R222" s="9"/>
    </row>
    <row r="223" spans="1:18">
      <c r="A223" s="8" t="s">
        <v>14</v>
      </c>
      <c r="B223" s="8" t="s">
        <v>15</v>
      </c>
      <c r="C223" s="8" t="s">
        <v>16</v>
      </c>
      <c r="D223" s="8">
        <v>448.89</v>
      </c>
      <c r="E223" s="8">
        <v>178</v>
      </c>
      <c r="F223" s="1">
        <v>13</v>
      </c>
      <c r="G223" s="1" t="str">
        <f t="shared" si="3"/>
        <v>REŞADİYE17813</v>
      </c>
      <c r="H223" s="1"/>
      <c r="I223" s="9" t="e">
        <f>IF(VLOOKUP(G223,'Bereketli Satış'!J:AK,5,0)="","",VLOOKUP(G223,'Bereketli Satış'!J:AK,5,0))</f>
        <v>#N/A</v>
      </c>
      <c r="J223" s="9" t="e">
        <f>IF(VLOOKUP(G223,'Bereketli Satış'!J:AK,28,0)="","",VLOOKUP(G223,'Bereketli Satış'!J:AK,28,0))</f>
        <v>#N/A</v>
      </c>
      <c r="K223" s="9"/>
      <c r="L223" s="128"/>
      <c r="M223" s="100" t="e">
        <f>IF(VLOOKUP(G223,'Bereketli Satış'!J:AK,30,0)="","",VLOOKUP(G223,'Bereketli Satış'!J:AK,30,0))</f>
        <v>#N/A</v>
      </c>
      <c r="N223" s="9"/>
      <c r="O223" s="9"/>
      <c r="P223" s="9" t="e">
        <f>IF(VLOOKUP(G223,'Bereketli Satış'!J:AK,32,0)="","",VLOOKUP(G223,'Bereketli Satış'!J:AK,32,0))</f>
        <v>#N/A</v>
      </c>
      <c r="Q223" s="9"/>
      <c r="R223" s="9"/>
    </row>
    <row r="224" spans="1:18">
      <c r="A224" s="8" t="s">
        <v>14</v>
      </c>
      <c r="B224" s="8" t="s">
        <v>33</v>
      </c>
      <c r="C224" s="8" t="s">
        <v>34</v>
      </c>
      <c r="D224" s="8">
        <v>549.12</v>
      </c>
      <c r="E224" s="8">
        <v>104</v>
      </c>
      <c r="F224" s="1">
        <v>13</v>
      </c>
      <c r="G224" s="1" t="str">
        <f t="shared" si="3"/>
        <v>ARMUTLU10413</v>
      </c>
      <c r="H224" s="1"/>
      <c r="I224" s="9" t="e">
        <f>IF(VLOOKUP(G224,'Bereketli Satış'!J:AK,5,0)="","",VLOOKUP(G224,'Bereketli Satış'!J:AK,5,0))</f>
        <v>#N/A</v>
      </c>
      <c r="J224" s="9" t="e">
        <f>IF(VLOOKUP(G224,'Bereketli Satış'!J:AK,28,0)="","",VLOOKUP(G224,'Bereketli Satış'!J:AK,28,0))</f>
        <v>#N/A</v>
      </c>
      <c r="K224" s="9"/>
      <c r="L224" s="128"/>
      <c r="M224" s="100" t="e">
        <f>IF(VLOOKUP(G224,'Bereketli Satış'!J:AK,30,0)="","",VLOOKUP(G224,'Bereketli Satış'!J:AK,30,0))</f>
        <v>#N/A</v>
      </c>
      <c r="N224" s="9"/>
      <c r="O224" s="9"/>
      <c r="P224" s="9" t="e">
        <f>IF(VLOOKUP(G224,'Bereketli Satış'!J:AK,32,0)="","",VLOOKUP(G224,'Bereketli Satış'!J:AK,32,0))</f>
        <v>#N/A</v>
      </c>
      <c r="Q224" s="9"/>
      <c r="R224" s="9"/>
    </row>
    <row r="225" spans="1:18">
      <c r="A225" s="8" t="s">
        <v>14</v>
      </c>
      <c r="B225" s="8" t="s">
        <v>33</v>
      </c>
      <c r="C225" s="8" t="s">
        <v>42</v>
      </c>
      <c r="D225" s="8">
        <v>407.09</v>
      </c>
      <c r="E225" s="8">
        <v>119</v>
      </c>
      <c r="F225" s="1">
        <v>19</v>
      </c>
      <c r="G225" s="1" t="str">
        <f t="shared" si="3"/>
        <v>İBİLLER11919</v>
      </c>
      <c r="H225" s="1"/>
      <c r="I225" s="9" t="e">
        <f>IF(VLOOKUP(G225,'Bereketli Satış'!J:AK,5,0)="","",VLOOKUP(G225,'Bereketli Satış'!J:AK,5,0))</f>
        <v>#N/A</v>
      </c>
      <c r="J225" s="9" t="e">
        <f>IF(VLOOKUP(G225,'Bereketli Satış'!J:AK,28,0)="","",VLOOKUP(G225,'Bereketli Satış'!J:AK,28,0))</f>
        <v>#N/A</v>
      </c>
      <c r="K225" s="9"/>
      <c r="L225" s="128"/>
      <c r="M225" s="100" t="e">
        <f>IF(VLOOKUP(G225,'Bereketli Satış'!J:AK,30,0)="","",VLOOKUP(G225,'Bereketli Satış'!J:AK,30,0))</f>
        <v>#N/A</v>
      </c>
      <c r="N225" s="9"/>
      <c r="O225" s="9"/>
      <c r="P225" s="9" t="e">
        <f>IF(VLOOKUP(G225,'Bereketli Satış'!J:AK,32,0)="","",VLOOKUP(G225,'Bereketli Satış'!J:AK,32,0))</f>
        <v>#N/A</v>
      </c>
      <c r="Q225" s="9"/>
      <c r="R225" s="9"/>
    </row>
    <row r="226" spans="1:18">
      <c r="A226" s="8" t="s">
        <v>14</v>
      </c>
      <c r="B226" s="8" t="s">
        <v>28</v>
      </c>
      <c r="C226" s="8" t="s">
        <v>45</v>
      </c>
      <c r="D226" s="8">
        <v>397.59</v>
      </c>
      <c r="E226" s="8">
        <v>256</v>
      </c>
      <c r="F226" s="1">
        <v>10</v>
      </c>
      <c r="G226" s="1" t="str">
        <f t="shared" si="3"/>
        <v>DELİCE25610</v>
      </c>
      <c r="H226" s="1"/>
      <c r="I226" s="9" t="e">
        <f>IF(VLOOKUP(G226,'Bereketli Satış'!J:AK,5,0)="","",VLOOKUP(G226,'Bereketli Satış'!J:AK,5,0))</f>
        <v>#N/A</v>
      </c>
      <c r="J226" s="9" t="e">
        <f>IF(VLOOKUP(G226,'Bereketli Satış'!J:AK,28,0)="","",VLOOKUP(G226,'Bereketli Satış'!J:AK,28,0))</f>
        <v>#N/A</v>
      </c>
      <c r="K226" s="9"/>
      <c r="L226" s="128"/>
      <c r="M226" s="100" t="e">
        <f>IF(VLOOKUP(G226,'Bereketli Satış'!J:AK,30,0)="","",VLOOKUP(G226,'Bereketli Satış'!J:AK,30,0))</f>
        <v>#N/A</v>
      </c>
      <c r="N226" s="9"/>
      <c r="O226" s="9"/>
      <c r="P226" s="9" t="e">
        <f>IF(VLOOKUP(G226,'Bereketli Satış'!J:AK,32,0)="","",VLOOKUP(G226,'Bereketli Satış'!J:AK,32,0))</f>
        <v>#N/A</v>
      </c>
      <c r="Q226" s="9"/>
      <c r="R226" s="9"/>
    </row>
    <row r="227" spans="1:18">
      <c r="A227" s="8" t="s">
        <v>14</v>
      </c>
      <c r="B227" s="8" t="s">
        <v>33</v>
      </c>
      <c r="C227" s="8" t="s">
        <v>34</v>
      </c>
      <c r="D227" s="8">
        <v>549.34</v>
      </c>
      <c r="E227" s="8">
        <v>104</v>
      </c>
      <c r="F227" s="100">
        <v>11</v>
      </c>
      <c r="G227" s="1" t="str">
        <f t="shared" si="3"/>
        <v>ARMUTLU10411</v>
      </c>
      <c r="H227" s="100"/>
      <c r="I227" s="9" t="e">
        <f>IF(VLOOKUP(G227,'Bereketli Satış'!J:AK,5,0)="","",VLOOKUP(G227,'Bereketli Satış'!J:AK,5,0))</f>
        <v>#N/A</v>
      </c>
      <c r="J227" s="9" t="e">
        <f>IF(VLOOKUP(G227,'Bereketli Satış'!J:AK,28,0)="","",VLOOKUP(G227,'Bereketli Satış'!J:AK,28,0))</f>
        <v>#N/A</v>
      </c>
      <c r="K227" s="9"/>
      <c r="L227" s="128"/>
      <c r="M227" s="100" t="e">
        <f>IF(VLOOKUP(G227,'Bereketli Satış'!J:AK,30,0)="","",VLOOKUP(G227,'Bereketli Satış'!J:AK,30,0))</f>
        <v>#N/A</v>
      </c>
      <c r="N227" s="9"/>
      <c r="O227" s="9"/>
      <c r="P227" s="9" t="e">
        <f>IF(VLOOKUP(G227,'Bereketli Satış'!J:AK,32,0)="","",VLOOKUP(G227,'Bereketli Satış'!J:AK,32,0))</f>
        <v>#N/A</v>
      </c>
      <c r="Q227" s="9"/>
      <c r="R227" s="9"/>
    </row>
    <row r="228" spans="1:18">
      <c r="A228" s="8" t="s">
        <v>14</v>
      </c>
      <c r="B228" s="8" t="s">
        <v>33</v>
      </c>
      <c r="C228" s="8" t="s">
        <v>34</v>
      </c>
      <c r="D228" s="8">
        <v>554.96</v>
      </c>
      <c r="E228" s="8">
        <v>105</v>
      </c>
      <c r="F228" s="1">
        <v>16</v>
      </c>
      <c r="G228" s="1" t="str">
        <f t="shared" si="3"/>
        <v>ARMUTLU10516</v>
      </c>
      <c r="H228" s="1"/>
      <c r="I228" s="9" t="e">
        <f>IF(VLOOKUP(G228,'Bereketli Satış'!J:AK,5,0)="","",VLOOKUP(G228,'Bereketli Satış'!J:AK,5,0))</f>
        <v>#N/A</v>
      </c>
      <c r="J228" s="9" t="e">
        <f>IF(VLOOKUP(G228,'Bereketli Satış'!J:AK,28,0)="","",VLOOKUP(G228,'Bereketli Satış'!J:AK,28,0))</f>
        <v>#N/A</v>
      </c>
      <c r="K228" s="9"/>
      <c r="L228" s="128"/>
      <c r="M228" s="100" t="e">
        <f>IF(VLOOKUP(G228,'Bereketli Satış'!J:AK,30,0)="","",VLOOKUP(G228,'Bereketli Satış'!J:AK,30,0))</f>
        <v>#N/A</v>
      </c>
      <c r="N228" s="9"/>
      <c r="O228" s="9"/>
      <c r="P228" s="9" t="e">
        <f>IF(VLOOKUP(G228,'Bereketli Satış'!J:AK,32,0)="","",VLOOKUP(G228,'Bereketli Satış'!J:AK,32,0))</f>
        <v>#N/A</v>
      </c>
      <c r="Q228" s="9"/>
      <c r="R228" s="9"/>
    </row>
    <row r="229" spans="1:18">
      <c r="A229" s="8" t="s">
        <v>14</v>
      </c>
      <c r="B229" s="8" t="s">
        <v>33</v>
      </c>
      <c r="C229" s="8" t="s">
        <v>34</v>
      </c>
      <c r="D229" s="8">
        <v>557.13</v>
      </c>
      <c r="E229" s="8">
        <v>106</v>
      </c>
      <c r="F229" s="1">
        <v>8</v>
      </c>
      <c r="G229" s="1" t="str">
        <f t="shared" si="3"/>
        <v>ARMUTLU1068</v>
      </c>
      <c r="H229" s="1"/>
      <c r="I229" s="9" t="e">
        <f>IF(VLOOKUP(G229,'Bereketli Satış'!J:AK,5,0)="","",VLOOKUP(G229,'Bereketli Satış'!J:AK,5,0))</f>
        <v>#N/A</v>
      </c>
      <c r="J229" s="9" t="e">
        <f>IF(VLOOKUP(G229,'Bereketli Satış'!J:AK,28,0)="","",VLOOKUP(G229,'Bereketli Satış'!J:AK,28,0))</f>
        <v>#N/A</v>
      </c>
      <c r="K229" s="9"/>
      <c r="L229" s="128"/>
      <c r="M229" s="100" t="e">
        <f>IF(VLOOKUP(G229,'Bereketli Satış'!J:AK,30,0)="","",VLOOKUP(G229,'Bereketli Satış'!J:AK,30,0))</f>
        <v>#N/A</v>
      </c>
      <c r="N229" s="9"/>
      <c r="O229" s="9"/>
      <c r="P229" s="9" t="e">
        <f>IF(VLOOKUP(G229,'Bereketli Satış'!J:AK,32,0)="","",VLOOKUP(G229,'Bereketli Satış'!J:AK,32,0))</f>
        <v>#N/A</v>
      </c>
      <c r="Q229" s="9"/>
      <c r="R229" s="9"/>
    </row>
    <row r="230" spans="1:18">
      <c r="A230" s="8" t="s">
        <v>14</v>
      </c>
      <c r="B230" s="8" t="s">
        <v>33</v>
      </c>
      <c r="C230" s="8" t="s">
        <v>42</v>
      </c>
      <c r="D230" s="8">
        <v>407.52</v>
      </c>
      <c r="E230" s="8">
        <v>119</v>
      </c>
      <c r="F230" s="1">
        <v>18</v>
      </c>
      <c r="G230" s="1" t="str">
        <f t="shared" si="3"/>
        <v>İBİLLER11918</v>
      </c>
      <c r="H230" s="1"/>
      <c r="I230" s="9" t="e">
        <f>IF(VLOOKUP(G230,'Bereketli Satış'!J:AK,5,0)="","",VLOOKUP(G230,'Bereketli Satış'!J:AK,5,0))</f>
        <v>#N/A</v>
      </c>
      <c r="J230" s="9" t="e">
        <f>IF(VLOOKUP(G230,'Bereketli Satış'!J:AK,28,0)="","",VLOOKUP(G230,'Bereketli Satış'!J:AK,28,0))</f>
        <v>#N/A</v>
      </c>
      <c r="K230" s="9"/>
      <c r="L230" s="128"/>
      <c r="M230" s="100" t="e">
        <f>IF(VLOOKUP(G230,'Bereketli Satış'!J:AK,30,0)="","",VLOOKUP(G230,'Bereketli Satış'!J:AK,30,0))</f>
        <v>#N/A</v>
      </c>
      <c r="N230" s="9"/>
      <c r="O230" s="9"/>
      <c r="P230" s="9" t="e">
        <f>IF(VLOOKUP(G230,'Bereketli Satış'!J:AK,32,0)="","",VLOOKUP(G230,'Bereketli Satış'!J:AK,32,0))</f>
        <v>#N/A</v>
      </c>
      <c r="Q230" s="9"/>
      <c r="R230" s="9"/>
    </row>
    <row r="231" spans="1:18">
      <c r="A231" s="8" t="s">
        <v>14</v>
      </c>
      <c r="B231" s="8" t="s">
        <v>33</v>
      </c>
      <c r="C231" s="8" t="s">
        <v>34</v>
      </c>
      <c r="D231" s="8">
        <v>559.51</v>
      </c>
      <c r="E231" s="8">
        <v>106</v>
      </c>
      <c r="F231" s="1">
        <v>7</v>
      </c>
      <c r="G231" s="1" t="str">
        <f t="shared" si="3"/>
        <v>ARMUTLU1067</v>
      </c>
      <c r="H231" s="1"/>
      <c r="I231" s="9" t="e">
        <f>IF(VLOOKUP(G231,'Bereketli Satış'!J:AK,5,0)="","",VLOOKUP(G231,'Bereketli Satış'!J:AK,5,0))</f>
        <v>#N/A</v>
      </c>
      <c r="J231" s="9" t="e">
        <f>IF(VLOOKUP(G231,'Bereketli Satış'!J:AK,28,0)="","",VLOOKUP(G231,'Bereketli Satış'!J:AK,28,0))</f>
        <v>#N/A</v>
      </c>
      <c r="K231" s="9"/>
      <c r="L231" s="128"/>
      <c r="M231" s="100" t="e">
        <f>IF(VLOOKUP(G231,'Bereketli Satış'!J:AK,30,0)="","",VLOOKUP(G231,'Bereketli Satış'!J:AK,30,0))</f>
        <v>#N/A</v>
      </c>
      <c r="N231" s="9"/>
      <c r="O231" s="9"/>
      <c r="P231" s="9" t="e">
        <f>IF(VLOOKUP(G231,'Bereketli Satış'!J:AK,32,0)="","",VLOOKUP(G231,'Bereketli Satış'!J:AK,32,0))</f>
        <v>#N/A</v>
      </c>
      <c r="Q231" s="9"/>
      <c r="R231" s="9"/>
    </row>
    <row r="232" spans="1:18">
      <c r="A232" s="8" t="s">
        <v>14</v>
      </c>
      <c r="B232" s="8" t="s">
        <v>33</v>
      </c>
      <c r="C232" s="8" t="s">
        <v>34</v>
      </c>
      <c r="D232" s="8">
        <v>559.84</v>
      </c>
      <c r="E232" s="8">
        <v>104</v>
      </c>
      <c r="F232" s="1">
        <v>2</v>
      </c>
      <c r="G232" s="1" t="str">
        <f t="shared" si="3"/>
        <v>ARMUTLU1042</v>
      </c>
      <c r="H232" s="1"/>
      <c r="I232" s="9" t="e">
        <f>IF(VLOOKUP(G232,'Bereketli Satış'!J:AK,5,0)="","",VLOOKUP(G232,'Bereketli Satış'!J:AK,5,0))</f>
        <v>#N/A</v>
      </c>
      <c r="J232" s="9" t="e">
        <f>IF(VLOOKUP(G232,'Bereketli Satış'!J:AK,28,0)="","",VLOOKUP(G232,'Bereketli Satış'!J:AK,28,0))</f>
        <v>#N/A</v>
      </c>
      <c r="K232" s="9"/>
      <c r="L232" s="128"/>
      <c r="M232" s="100" t="e">
        <f>IF(VLOOKUP(G232,'Bereketli Satış'!J:AK,30,0)="","",VLOOKUP(G232,'Bereketli Satış'!J:AK,30,0))</f>
        <v>#N/A</v>
      </c>
      <c r="N232" s="9"/>
      <c r="O232" s="9"/>
      <c r="P232" s="9" t="e">
        <f>IF(VLOOKUP(G232,'Bereketli Satış'!J:AK,32,0)="","",VLOOKUP(G232,'Bereketli Satış'!J:AK,32,0))</f>
        <v>#N/A</v>
      </c>
      <c r="Q232" s="9"/>
      <c r="R232" s="9"/>
    </row>
    <row r="233" spans="1:18">
      <c r="A233" s="8" t="s">
        <v>14</v>
      </c>
      <c r="B233" s="8" t="s">
        <v>15</v>
      </c>
      <c r="C233" s="8" t="s">
        <v>16</v>
      </c>
      <c r="D233" s="8">
        <v>489</v>
      </c>
      <c r="E233" s="8">
        <v>163</v>
      </c>
      <c r="F233" s="1">
        <v>14</v>
      </c>
      <c r="G233" s="1" t="str">
        <f t="shared" si="3"/>
        <v>REŞADİYE16314</v>
      </c>
      <c r="H233" s="1"/>
      <c r="I233" s="9" t="e">
        <f>IF(VLOOKUP(G233,'Bereketli Satış'!J:AK,5,0)="","",VLOOKUP(G233,'Bereketli Satış'!J:AK,5,0))</f>
        <v>#N/A</v>
      </c>
      <c r="J233" s="9" t="e">
        <f>IF(VLOOKUP(G233,'Bereketli Satış'!J:AK,28,0)="","",VLOOKUP(G233,'Bereketli Satış'!J:AK,28,0))</f>
        <v>#N/A</v>
      </c>
      <c r="K233" s="9"/>
      <c r="L233" s="128"/>
      <c r="M233" s="100" t="e">
        <f>IF(VLOOKUP(G233,'Bereketli Satış'!J:AK,30,0)="","",VLOOKUP(G233,'Bereketli Satış'!J:AK,30,0))</f>
        <v>#N/A</v>
      </c>
      <c r="N233" s="9"/>
      <c r="O233" s="9"/>
      <c r="P233" s="9" t="e">
        <f>IF(VLOOKUP(G233,'Bereketli Satış'!J:AK,32,0)="","",VLOOKUP(G233,'Bereketli Satış'!J:AK,32,0))</f>
        <v>#N/A</v>
      </c>
      <c r="Q233" s="9"/>
      <c r="R233" s="9"/>
    </row>
    <row r="234" spans="1:18">
      <c r="A234" s="8" t="s">
        <v>14</v>
      </c>
      <c r="B234" s="8" t="s">
        <v>66</v>
      </c>
      <c r="C234" s="8" t="s">
        <v>67</v>
      </c>
      <c r="D234" s="8">
        <v>527.88</v>
      </c>
      <c r="E234" s="8">
        <v>266</v>
      </c>
      <c r="F234" s="8">
        <v>8</v>
      </c>
      <c r="G234" s="1" t="str">
        <f t="shared" si="3"/>
        <v>ERDEL2668</v>
      </c>
      <c r="H234" s="8"/>
      <c r="I234" s="9" t="e">
        <f>IF(VLOOKUP(G234,'Bereketli Satış'!J:AK,5,0)="","",VLOOKUP(G234,'Bereketli Satış'!J:AK,5,0))</f>
        <v>#N/A</v>
      </c>
      <c r="J234" s="9" t="e">
        <f>IF(VLOOKUP(G234,'Bereketli Satış'!J:AK,28,0)="","",VLOOKUP(G234,'Bereketli Satış'!J:AK,28,0))</f>
        <v>#N/A</v>
      </c>
      <c r="K234" s="9"/>
      <c r="L234" s="128"/>
      <c r="M234" s="100" t="e">
        <f>IF(VLOOKUP(G234,'Bereketli Satış'!J:AK,30,0)="","",VLOOKUP(G234,'Bereketli Satış'!J:AK,30,0))</f>
        <v>#N/A</v>
      </c>
      <c r="N234" s="9"/>
      <c r="O234" s="9"/>
      <c r="P234" s="9" t="e">
        <f>IF(VLOOKUP(G234,'Bereketli Satış'!J:AK,32,0)="","",VLOOKUP(G234,'Bereketli Satış'!J:AK,32,0))</f>
        <v>#N/A</v>
      </c>
      <c r="Q234" s="9"/>
      <c r="R234" s="9"/>
    </row>
    <row r="235" spans="1:18">
      <c r="A235" s="8" t="s">
        <v>14</v>
      </c>
      <c r="B235" s="8" t="s">
        <v>33</v>
      </c>
      <c r="C235" s="8" t="s">
        <v>34</v>
      </c>
      <c r="D235" s="8">
        <v>559.88</v>
      </c>
      <c r="E235" s="8">
        <v>104</v>
      </c>
      <c r="F235" s="1">
        <v>4</v>
      </c>
      <c r="G235" s="1" t="str">
        <f t="shared" si="3"/>
        <v>ARMUTLU1044</v>
      </c>
      <c r="H235" s="1">
        <v>64213753</v>
      </c>
      <c r="I235" s="9" t="e">
        <f>IF(VLOOKUP(G235,'Bereketli Satış'!J:AK,5,0)="","",VLOOKUP(G235,'Bereketli Satış'!J:AK,5,0))</f>
        <v>#N/A</v>
      </c>
      <c r="J235" s="9" t="e">
        <f>IF(VLOOKUP(G235,'Bereketli Satış'!J:AK,28,0)="","",VLOOKUP(G235,'Bereketli Satış'!J:AK,28,0))</f>
        <v>#N/A</v>
      </c>
      <c r="K235" s="9"/>
      <c r="L235" s="128">
        <v>46815</v>
      </c>
      <c r="M235" s="100" t="e">
        <f>IF(VLOOKUP(G235,'Bereketli Satış'!J:AK,30,0)="","",VLOOKUP(G235,'Bereketli Satış'!J:AK,30,0))</f>
        <v>#N/A</v>
      </c>
      <c r="N235" s="9"/>
      <c r="O235" s="9"/>
      <c r="P235" s="9" t="e">
        <f>IF(VLOOKUP(G235,'Bereketli Satış'!J:AK,32,0)="","",VLOOKUP(G235,'Bereketli Satış'!J:AK,32,0))</f>
        <v>#N/A</v>
      </c>
      <c r="Q235" s="9"/>
      <c r="R235" s="9"/>
    </row>
    <row r="236" spans="1:18">
      <c r="A236" s="8" t="s">
        <v>14</v>
      </c>
      <c r="B236" s="8" t="s">
        <v>15</v>
      </c>
      <c r="C236" s="8" t="s">
        <v>63</v>
      </c>
      <c r="D236" s="13">
        <v>505.18</v>
      </c>
      <c r="E236" s="8">
        <v>103</v>
      </c>
      <c r="F236" s="1">
        <v>37</v>
      </c>
      <c r="G236" s="1" t="str">
        <f t="shared" si="3"/>
        <v>ILICABOĞAZI10337</v>
      </c>
      <c r="H236" s="1"/>
      <c r="I236" s="9" t="e">
        <f>IF(VLOOKUP(G236,'Bereketli Satış'!J:AK,5,0)="","",VLOOKUP(G236,'Bereketli Satış'!J:AK,5,0))</f>
        <v>#N/A</v>
      </c>
      <c r="J236" s="9" t="e">
        <f>IF(VLOOKUP(G236,'Bereketli Satış'!J:AK,28,0)="","",VLOOKUP(G236,'Bereketli Satış'!J:AK,28,0))</f>
        <v>#N/A</v>
      </c>
      <c r="K236" s="9"/>
      <c r="L236" s="128"/>
      <c r="M236" s="100" t="e">
        <f>IF(VLOOKUP(G236,'Bereketli Satış'!J:AK,30,0)="","",VLOOKUP(G236,'Bereketli Satış'!J:AK,30,0))</f>
        <v>#N/A</v>
      </c>
      <c r="N236" s="9"/>
      <c r="O236" s="9"/>
      <c r="P236" s="9" t="e">
        <f>IF(VLOOKUP(G236,'Bereketli Satış'!J:AK,32,0)="","",VLOOKUP(G236,'Bereketli Satış'!J:AK,32,0))</f>
        <v>#N/A</v>
      </c>
      <c r="Q236" s="9"/>
      <c r="R236" s="9"/>
    </row>
    <row r="237" spans="1:18">
      <c r="A237" s="8" t="s">
        <v>14</v>
      </c>
      <c r="B237" s="8" t="s">
        <v>33</v>
      </c>
      <c r="C237" s="8" t="s">
        <v>34</v>
      </c>
      <c r="D237" s="8">
        <v>559.92999999999995</v>
      </c>
      <c r="E237" s="8">
        <v>104</v>
      </c>
      <c r="F237" s="1">
        <v>7</v>
      </c>
      <c r="G237" s="1" t="str">
        <f t="shared" si="3"/>
        <v>ARMUTLU1047</v>
      </c>
      <c r="H237" s="1"/>
      <c r="I237" s="9" t="e">
        <f>IF(VLOOKUP(G237,'Bereketli Satış'!J:AK,5,0)="","",VLOOKUP(G237,'Bereketli Satış'!J:AK,5,0))</f>
        <v>#N/A</v>
      </c>
      <c r="J237" s="9" t="e">
        <f>IF(VLOOKUP(G237,'Bereketli Satış'!J:AK,28,0)="","",VLOOKUP(G237,'Bereketli Satış'!J:AK,28,0))</f>
        <v>#N/A</v>
      </c>
      <c r="K237" s="9"/>
      <c r="L237" s="128"/>
      <c r="M237" s="100" t="e">
        <f>IF(VLOOKUP(G237,'Bereketli Satış'!J:AK,30,0)="","",VLOOKUP(G237,'Bereketli Satış'!J:AK,30,0))</f>
        <v>#N/A</v>
      </c>
      <c r="N237" s="9"/>
      <c r="O237" s="9"/>
      <c r="P237" s="9" t="e">
        <f>IF(VLOOKUP(G237,'Bereketli Satış'!J:AK,32,0)="","",VLOOKUP(G237,'Bereketli Satış'!J:AK,32,0))</f>
        <v>#N/A</v>
      </c>
      <c r="Q237" s="9"/>
      <c r="R237" s="9"/>
    </row>
    <row r="238" spans="1:18">
      <c r="A238" s="8" t="s">
        <v>14</v>
      </c>
      <c r="B238" s="8" t="s">
        <v>33</v>
      </c>
      <c r="C238" s="8" t="s">
        <v>34</v>
      </c>
      <c r="D238" s="8">
        <v>559.95000000000005</v>
      </c>
      <c r="E238" s="8">
        <v>104</v>
      </c>
      <c r="F238" s="1">
        <v>8</v>
      </c>
      <c r="G238" s="1" t="str">
        <f t="shared" si="3"/>
        <v>ARMUTLU1048</v>
      </c>
      <c r="H238" s="1"/>
      <c r="I238" s="9" t="e">
        <f>IF(VLOOKUP(G238,'Bereketli Satış'!J:AK,5,0)="","",VLOOKUP(G238,'Bereketli Satış'!J:AK,5,0))</f>
        <v>#N/A</v>
      </c>
      <c r="J238" s="9" t="e">
        <f>IF(VLOOKUP(G238,'Bereketli Satış'!J:AK,28,0)="","",VLOOKUP(G238,'Bereketli Satış'!J:AK,28,0))</f>
        <v>#N/A</v>
      </c>
      <c r="K238" s="9"/>
      <c r="L238" s="128"/>
      <c r="M238" s="100" t="e">
        <f>IF(VLOOKUP(G238,'Bereketli Satış'!J:AK,30,0)="","",VLOOKUP(G238,'Bereketli Satış'!J:AK,30,0))</f>
        <v>#N/A</v>
      </c>
      <c r="N238" s="9"/>
      <c r="O238" s="9"/>
      <c r="P238" s="9" t="e">
        <f>IF(VLOOKUP(G238,'Bereketli Satış'!J:AK,32,0)="","",VLOOKUP(G238,'Bereketli Satış'!J:AK,32,0))</f>
        <v>#N/A</v>
      </c>
      <c r="Q238" s="9"/>
      <c r="R238" s="9"/>
    </row>
    <row r="239" spans="1:18">
      <c r="A239" s="8" t="s">
        <v>14</v>
      </c>
      <c r="B239" s="8" t="s">
        <v>33</v>
      </c>
      <c r="C239" s="8" t="s">
        <v>34</v>
      </c>
      <c r="D239" s="8">
        <v>561.91</v>
      </c>
      <c r="E239" s="8">
        <v>106</v>
      </c>
      <c r="F239" s="1">
        <v>6</v>
      </c>
      <c r="G239" s="1" t="str">
        <f t="shared" si="3"/>
        <v>ARMUTLU1066</v>
      </c>
      <c r="H239" s="1"/>
      <c r="I239" s="9" t="e">
        <f>IF(VLOOKUP(G239,'Bereketli Satış'!J:AK,5,0)="","",VLOOKUP(G239,'Bereketli Satış'!J:AK,5,0))</f>
        <v>#N/A</v>
      </c>
      <c r="J239" s="9" t="e">
        <f>IF(VLOOKUP(G239,'Bereketli Satış'!J:AK,28,0)="","",VLOOKUP(G239,'Bereketli Satış'!J:AK,28,0))</f>
        <v>#N/A</v>
      </c>
      <c r="K239" s="9"/>
      <c r="L239" s="128"/>
      <c r="M239" s="100" t="e">
        <f>IF(VLOOKUP(G239,'Bereketli Satış'!J:AK,30,0)="","",VLOOKUP(G239,'Bereketli Satış'!J:AK,30,0))</f>
        <v>#N/A</v>
      </c>
      <c r="N239" s="9"/>
      <c r="O239" s="9"/>
      <c r="P239" s="9" t="e">
        <f>IF(VLOOKUP(G239,'Bereketli Satış'!J:AK,32,0)="","",VLOOKUP(G239,'Bereketli Satış'!J:AK,32,0))</f>
        <v>#N/A</v>
      </c>
      <c r="Q239" s="9"/>
      <c r="R239" s="9"/>
    </row>
    <row r="240" spans="1:18">
      <c r="A240" s="8" t="s">
        <v>14</v>
      </c>
      <c r="B240" s="8" t="s">
        <v>33</v>
      </c>
      <c r="C240" s="8" t="s">
        <v>34</v>
      </c>
      <c r="D240" s="8">
        <v>565.64</v>
      </c>
      <c r="E240" s="8">
        <v>106</v>
      </c>
      <c r="F240" s="1">
        <v>9</v>
      </c>
      <c r="G240" s="1" t="str">
        <f t="shared" si="3"/>
        <v>ARMUTLU1069</v>
      </c>
      <c r="H240" s="1"/>
      <c r="I240" s="9" t="e">
        <f>IF(VLOOKUP(G240,'Bereketli Satış'!J:AK,5,0)="","",VLOOKUP(G240,'Bereketli Satış'!J:AK,5,0))</f>
        <v>#N/A</v>
      </c>
      <c r="J240" s="9" t="e">
        <f>IF(VLOOKUP(G240,'Bereketli Satış'!J:AK,28,0)="","",VLOOKUP(G240,'Bereketli Satış'!J:AK,28,0))</f>
        <v>#N/A</v>
      </c>
      <c r="K240" s="9"/>
      <c r="L240" s="128"/>
      <c r="M240" s="100" t="e">
        <f>IF(VLOOKUP(G240,'Bereketli Satış'!J:AK,30,0)="","",VLOOKUP(G240,'Bereketli Satış'!J:AK,30,0))</f>
        <v>#N/A</v>
      </c>
      <c r="N240" s="9"/>
      <c r="O240" s="9"/>
      <c r="P240" s="9" t="e">
        <f>IF(VLOOKUP(G240,'Bereketli Satış'!J:AK,32,0)="","",VLOOKUP(G240,'Bereketli Satış'!J:AK,32,0))</f>
        <v>#N/A</v>
      </c>
      <c r="Q240" s="9"/>
      <c r="R240" s="9"/>
    </row>
    <row r="241" spans="1:18">
      <c r="A241" s="8" t="s">
        <v>14</v>
      </c>
      <c r="B241" s="8" t="s">
        <v>33</v>
      </c>
      <c r="C241" s="8" t="s">
        <v>42</v>
      </c>
      <c r="D241" s="8">
        <v>407.79</v>
      </c>
      <c r="E241" s="8">
        <v>119</v>
      </c>
      <c r="F241" s="1">
        <v>17</v>
      </c>
      <c r="G241" s="1" t="str">
        <f t="shared" si="3"/>
        <v>İBİLLER11917</v>
      </c>
      <c r="H241" s="1"/>
      <c r="I241" s="9" t="e">
        <f>IF(VLOOKUP(G241,'Bereketli Satış'!J:AK,5,0)="","",VLOOKUP(G241,'Bereketli Satış'!J:AK,5,0))</f>
        <v>#N/A</v>
      </c>
      <c r="J241" s="9" t="e">
        <f>IF(VLOOKUP(G241,'Bereketli Satış'!J:AK,28,0)="","",VLOOKUP(G241,'Bereketli Satış'!J:AK,28,0))</f>
        <v>#N/A</v>
      </c>
      <c r="K241" s="9"/>
      <c r="L241" s="128"/>
      <c r="M241" s="100" t="e">
        <f>IF(VLOOKUP(G241,'Bereketli Satış'!J:AK,30,0)="","",VLOOKUP(G241,'Bereketli Satış'!J:AK,30,0))</f>
        <v>#N/A</v>
      </c>
      <c r="N241" s="9"/>
      <c r="O241" s="9"/>
      <c r="P241" s="9" t="e">
        <f>IF(VLOOKUP(G241,'Bereketli Satış'!J:AK,32,0)="","",VLOOKUP(G241,'Bereketli Satış'!J:AK,32,0))</f>
        <v>#N/A</v>
      </c>
      <c r="Q241" s="9"/>
      <c r="R241" s="9"/>
    </row>
    <row r="242" spans="1:18">
      <c r="A242" s="8" t="s">
        <v>14</v>
      </c>
      <c r="B242" s="8" t="s">
        <v>33</v>
      </c>
      <c r="C242" s="8" t="s">
        <v>42</v>
      </c>
      <c r="D242" s="8">
        <v>413.58</v>
      </c>
      <c r="E242" s="8">
        <v>122</v>
      </c>
      <c r="F242" s="1">
        <v>28</v>
      </c>
      <c r="G242" s="1" t="str">
        <f t="shared" si="3"/>
        <v>İBİLLER12228</v>
      </c>
      <c r="H242" s="1"/>
      <c r="I242" s="9" t="e">
        <f>IF(VLOOKUP(G242,'Bereketli Satış'!J:AK,5,0)="","",VLOOKUP(G242,'Bereketli Satış'!J:AK,5,0))</f>
        <v>#N/A</v>
      </c>
      <c r="J242" s="9" t="e">
        <f>IF(VLOOKUP(G242,'Bereketli Satış'!J:AK,28,0)="","",VLOOKUP(G242,'Bereketli Satış'!J:AK,28,0))</f>
        <v>#N/A</v>
      </c>
      <c r="K242" s="9"/>
      <c r="L242" s="128"/>
      <c r="M242" s="100" t="e">
        <f>IF(VLOOKUP(G242,'Bereketli Satış'!J:AK,30,0)="","",VLOOKUP(G242,'Bereketli Satış'!J:AK,30,0))</f>
        <v>#N/A</v>
      </c>
      <c r="N242" s="9"/>
      <c r="O242" s="9"/>
      <c r="P242" s="9" t="e">
        <f>IF(VLOOKUP(G242,'Bereketli Satış'!J:AK,32,0)="","",VLOOKUP(G242,'Bereketli Satış'!J:AK,32,0))</f>
        <v>#N/A</v>
      </c>
      <c r="Q242" s="9"/>
      <c r="R242" s="9"/>
    </row>
    <row r="243" spans="1:18">
      <c r="A243" s="8" t="s">
        <v>14</v>
      </c>
      <c r="B243" s="8" t="s">
        <v>33</v>
      </c>
      <c r="C243" s="8" t="s">
        <v>42</v>
      </c>
      <c r="D243" s="8">
        <v>413.6</v>
      </c>
      <c r="E243" s="8">
        <v>122</v>
      </c>
      <c r="F243" s="1">
        <v>27</v>
      </c>
      <c r="G243" s="1" t="str">
        <f t="shared" si="3"/>
        <v>İBİLLER12227</v>
      </c>
      <c r="H243" s="1"/>
      <c r="I243" s="9" t="e">
        <f>IF(VLOOKUP(G243,'Bereketli Satış'!J:AK,5,0)="","",VLOOKUP(G243,'Bereketli Satış'!J:AK,5,0))</f>
        <v>#N/A</v>
      </c>
      <c r="J243" s="9" t="e">
        <f>IF(VLOOKUP(G243,'Bereketli Satış'!J:AK,28,0)="","",VLOOKUP(G243,'Bereketli Satış'!J:AK,28,0))</f>
        <v>#N/A</v>
      </c>
      <c r="K243" s="9"/>
      <c r="L243" s="128"/>
      <c r="M243" s="100" t="e">
        <f>IF(VLOOKUP(G243,'Bereketli Satış'!J:AK,30,0)="","",VLOOKUP(G243,'Bereketli Satış'!J:AK,30,0))</f>
        <v>#N/A</v>
      </c>
      <c r="N243" s="9"/>
      <c r="O243" s="9"/>
      <c r="P243" s="9" t="e">
        <f>IF(VLOOKUP(G243,'Bereketli Satış'!J:AK,32,0)="","",VLOOKUP(G243,'Bereketli Satış'!J:AK,32,0))</f>
        <v>#N/A</v>
      </c>
      <c r="Q243" s="9"/>
      <c r="R243" s="9"/>
    </row>
    <row r="244" spans="1:18">
      <c r="A244" s="8" t="s">
        <v>14</v>
      </c>
      <c r="B244" s="8" t="s">
        <v>15</v>
      </c>
      <c r="C244" s="8" t="s">
        <v>16</v>
      </c>
      <c r="D244" s="8">
        <v>465.56</v>
      </c>
      <c r="E244" s="8">
        <v>178</v>
      </c>
      <c r="F244" s="1">
        <v>14</v>
      </c>
      <c r="G244" s="1" t="str">
        <f t="shared" si="3"/>
        <v>REŞADİYE17814</v>
      </c>
      <c r="H244" s="1">
        <v>131438343</v>
      </c>
      <c r="I244" s="9" t="e">
        <f>IF(VLOOKUP(G244,'Bereketli Satış'!J:AK,5,0)="","",VLOOKUP(G244,'Bereketli Satış'!J:AK,5,0))</f>
        <v>#N/A</v>
      </c>
      <c r="J244" s="9" t="e">
        <f>IF(VLOOKUP(G244,'Bereketli Satış'!J:AK,28,0)="","",VLOOKUP(G244,'Bereketli Satış'!J:AK,28,0))</f>
        <v>#N/A</v>
      </c>
      <c r="K244" s="9"/>
      <c r="L244" s="128">
        <v>46813</v>
      </c>
      <c r="M244" s="100" t="e">
        <f>IF(VLOOKUP(G244,'Bereketli Satış'!J:AK,30,0)="","",VLOOKUP(G244,'Bereketli Satış'!J:AK,30,0))</f>
        <v>#N/A</v>
      </c>
      <c r="N244" s="100"/>
      <c r="O244" s="100"/>
      <c r="P244" s="9" t="e">
        <f>IF(VLOOKUP(G244,'Bereketli Satış'!J:AK,32,0)="","",VLOOKUP(G244,'Bereketli Satış'!J:AK,32,0))</f>
        <v>#N/A</v>
      </c>
      <c r="Q244" s="100"/>
      <c r="R244" s="100"/>
    </row>
    <row r="245" spans="1:18">
      <c r="A245" s="8" t="s">
        <v>14</v>
      </c>
      <c r="B245" s="8" t="s">
        <v>15</v>
      </c>
      <c r="C245" s="8" t="s">
        <v>16</v>
      </c>
      <c r="D245" s="8">
        <v>465.71</v>
      </c>
      <c r="E245" s="18">
        <v>157</v>
      </c>
      <c r="F245" s="8">
        <v>6</v>
      </c>
      <c r="G245" s="1" t="str">
        <f t="shared" si="3"/>
        <v>REŞADİYE1576</v>
      </c>
      <c r="H245" s="8"/>
      <c r="I245" s="9" t="e">
        <f>IF(VLOOKUP(G245,'Bereketli Satış'!J:AK,5,0)="","",VLOOKUP(G245,'Bereketli Satış'!J:AK,5,0))</f>
        <v>#N/A</v>
      </c>
      <c r="J245" s="9" t="e">
        <f>IF(VLOOKUP(G245,'Bereketli Satış'!J:AK,28,0)="","",VLOOKUP(G245,'Bereketli Satış'!J:AK,28,0))</f>
        <v>#N/A</v>
      </c>
      <c r="K245" s="100"/>
      <c r="L245" s="128"/>
      <c r="M245" s="100" t="e">
        <f>IF(VLOOKUP(G245,'Bereketli Satış'!J:AK,30,0)="","",VLOOKUP(G245,'Bereketli Satış'!J:AK,30,0))</f>
        <v>#N/A</v>
      </c>
      <c r="N245" s="9"/>
      <c r="O245" s="9"/>
      <c r="P245" s="9" t="e">
        <f>IF(VLOOKUP(G245,'Bereketli Satış'!J:AK,32,0)="","",VLOOKUP(G245,'Bereketli Satış'!J:AK,32,0))</f>
        <v>#N/A</v>
      </c>
      <c r="Q245" s="9"/>
      <c r="R245" s="9"/>
    </row>
    <row r="246" spans="1:18">
      <c r="A246" s="8" t="s">
        <v>14</v>
      </c>
      <c r="B246" s="8" t="s">
        <v>33</v>
      </c>
      <c r="C246" s="8" t="s">
        <v>34</v>
      </c>
      <c r="D246" s="8">
        <v>571.47</v>
      </c>
      <c r="E246" s="8">
        <v>106</v>
      </c>
      <c r="F246" s="1">
        <v>2</v>
      </c>
      <c r="G246" s="1" t="str">
        <f t="shared" si="3"/>
        <v>ARMUTLU1062</v>
      </c>
      <c r="H246" s="1"/>
      <c r="I246" s="9" t="e">
        <f>IF(VLOOKUP(G246,'Bereketli Satış'!J:AK,5,0)="","",VLOOKUP(G246,'Bereketli Satış'!J:AK,5,0))</f>
        <v>#N/A</v>
      </c>
      <c r="J246" s="9" t="e">
        <f>IF(VLOOKUP(G246,'Bereketli Satış'!J:AK,28,0)="","",VLOOKUP(G246,'Bereketli Satış'!J:AK,28,0))</f>
        <v>#N/A</v>
      </c>
      <c r="K246" s="9"/>
      <c r="L246" s="128"/>
      <c r="M246" s="100" t="e">
        <f>IF(VLOOKUP(G246,'Bereketli Satış'!J:AK,30,0)="","",VLOOKUP(G246,'Bereketli Satış'!J:AK,30,0))</f>
        <v>#N/A</v>
      </c>
      <c r="N246" s="100"/>
      <c r="O246" s="100"/>
      <c r="P246" s="9" t="e">
        <f>IF(VLOOKUP(G246,'Bereketli Satış'!J:AK,32,0)="","",VLOOKUP(G246,'Bereketli Satış'!J:AK,32,0))</f>
        <v>#N/A</v>
      </c>
      <c r="Q246" s="100"/>
      <c r="R246" s="100"/>
    </row>
    <row r="247" spans="1:18">
      <c r="A247" s="8" t="s">
        <v>14</v>
      </c>
      <c r="B247" s="8" t="s">
        <v>33</v>
      </c>
      <c r="C247" s="8" t="s">
        <v>42</v>
      </c>
      <c r="D247" s="8">
        <v>415.65</v>
      </c>
      <c r="E247" s="8">
        <v>116</v>
      </c>
      <c r="F247" s="1">
        <v>23</v>
      </c>
      <c r="G247" s="1" t="str">
        <f t="shared" si="3"/>
        <v>İBİLLER11623</v>
      </c>
      <c r="H247" s="1"/>
      <c r="I247" s="9" t="e">
        <f>IF(VLOOKUP(G247,'Bereketli Satış'!J:AK,5,0)="","",VLOOKUP(G247,'Bereketli Satış'!J:AK,5,0))</f>
        <v>#N/A</v>
      </c>
      <c r="J247" s="9" t="e">
        <f>IF(VLOOKUP(G247,'Bereketli Satış'!J:AK,28,0)="","",VLOOKUP(G247,'Bereketli Satış'!J:AK,28,0))</f>
        <v>#N/A</v>
      </c>
      <c r="K247" s="100"/>
      <c r="L247" s="128"/>
      <c r="M247" s="100" t="e">
        <f>IF(VLOOKUP(G247,'Bereketli Satış'!J:AK,30,0)="","",VLOOKUP(G247,'Bereketli Satış'!J:AK,30,0))</f>
        <v>#N/A</v>
      </c>
      <c r="N247" s="9"/>
      <c r="O247" s="9"/>
      <c r="P247" s="9" t="e">
        <f>IF(VLOOKUP(G247,'Bereketli Satış'!J:AK,32,0)="","",VLOOKUP(G247,'Bereketli Satış'!J:AK,32,0))</f>
        <v>#N/A</v>
      </c>
      <c r="Q247" s="9"/>
      <c r="R247" s="9"/>
    </row>
    <row r="248" spans="1:18">
      <c r="A248" s="8" t="s">
        <v>14</v>
      </c>
      <c r="B248" s="8" t="s">
        <v>33</v>
      </c>
      <c r="C248" s="8" t="s">
        <v>42</v>
      </c>
      <c r="D248" s="8">
        <v>417.69</v>
      </c>
      <c r="E248" s="8">
        <v>122</v>
      </c>
      <c r="F248" s="1">
        <v>16</v>
      </c>
      <c r="G248" s="1" t="str">
        <f t="shared" si="3"/>
        <v>İBİLLER12216</v>
      </c>
      <c r="H248" s="1"/>
      <c r="I248" s="9" t="e">
        <f>IF(VLOOKUP(G248,'Bereketli Satış'!J:AK,5,0)="","",VLOOKUP(G248,'Bereketli Satış'!J:AK,5,0))</f>
        <v>#N/A</v>
      </c>
      <c r="J248" s="9" t="e">
        <f>IF(VLOOKUP(G248,'Bereketli Satış'!J:AK,28,0)="","",VLOOKUP(G248,'Bereketli Satış'!J:AK,28,0))</f>
        <v>#N/A</v>
      </c>
      <c r="K248" s="9"/>
      <c r="L248" s="128"/>
      <c r="M248" s="100" t="e">
        <f>IF(VLOOKUP(G248,'Bereketli Satış'!J:AK,30,0)="","",VLOOKUP(G248,'Bereketli Satış'!J:AK,30,0))</f>
        <v>#N/A</v>
      </c>
      <c r="N248" s="9"/>
      <c r="O248" s="9"/>
      <c r="P248" s="9" t="e">
        <f>IF(VLOOKUP(G248,'Bereketli Satış'!J:AK,32,0)="","",VLOOKUP(G248,'Bereketli Satış'!J:AK,32,0))</f>
        <v>#N/A</v>
      </c>
      <c r="Q248" s="9"/>
      <c r="R248" s="9"/>
    </row>
    <row r="249" spans="1:18">
      <c r="A249" s="8" t="s">
        <v>14</v>
      </c>
      <c r="B249" s="8" t="s">
        <v>33</v>
      </c>
      <c r="C249" s="8" t="s">
        <v>42</v>
      </c>
      <c r="D249" s="8">
        <v>421.63</v>
      </c>
      <c r="E249" s="8">
        <v>122</v>
      </c>
      <c r="F249" s="1">
        <v>25</v>
      </c>
      <c r="G249" s="1" t="str">
        <f t="shared" si="3"/>
        <v>İBİLLER12225</v>
      </c>
      <c r="H249" s="1"/>
      <c r="I249" s="9" t="e">
        <f>IF(VLOOKUP(G249,'Bereketli Satış'!J:AK,5,0)="","",VLOOKUP(G249,'Bereketli Satış'!J:AK,5,0))</f>
        <v>#N/A</v>
      </c>
      <c r="J249" s="9" t="e">
        <f>IF(VLOOKUP(G249,'Bereketli Satış'!J:AK,28,0)="","",VLOOKUP(G249,'Bereketli Satış'!J:AK,28,0))</f>
        <v>#N/A</v>
      </c>
      <c r="K249" s="9"/>
      <c r="L249" s="128"/>
      <c r="M249" s="100" t="e">
        <f>IF(VLOOKUP(G249,'Bereketli Satış'!J:AK,30,0)="","",VLOOKUP(G249,'Bereketli Satış'!J:AK,30,0))</f>
        <v>#N/A</v>
      </c>
      <c r="N249" s="9"/>
      <c r="O249" s="9"/>
      <c r="P249" s="9" t="e">
        <f>IF(VLOOKUP(G249,'Bereketli Satış'!J:AK,32,0)="","",VLOOKUP(G249,'Bereketli Satış'!J:AK,32,0))</f>
        <v>#N/A</v>
      </c>
      <c r="Q249" s="9"/>
      <c r="R249" s="9"/>
    </row>
    <row r="250" spans="1:18">
      <c r="A250" s="8" t="s">
        <v>14</v>
      </c>
      <c r="B250" s="8" t="s">
        <v>23</v>
      </c>
      <c r="C250" s="8" t="s">
        <v>41</v>
      </c>
      <c r="D250" s="8">
        <v>614.75</v>
      </c>
      <c r="E250" s="18">
        <v>125</v>
      </c>
      <c r="F250" s="8">
        <v>5</v>
      </c>
      <c r="G250" s="1" t="str">
        <f t="shared" si="3"/>
        <v>BÜYÜKPINAR1255</v>
      </c>
      <c r="H250" s="8"/>
      <c r="I250" s="9" t="e">
        <f>IF(VLOOKUP(G250,'Bereketli Satış'!J:AK,5,0)="","",VLOOKUP(G250,'Bereketli Satış'!J:AK,5,0))</f>
        <v>#N/A</v>
      </c>
      <c r="J250" s="9" t="e">
        <f>IF(VLOOKUP(G250,'Bereketli Satış'!J:AK,28,0)="","",VLOOKUP(G250,'Bereketli Satış'!J:AK,28,0))</f>
        <v>#N/A</v>
      </c>
      <c r="K250" s="9"/>
      <c r="L250" s="128"/>
      <c r="M250" s="100" t="e">
        <f>IF(VLOOKUP(G250,'Bereketli Satış'!J:AK,30,0)="","",VLOOKUP(G250,'Bereketli Satış'!J:AK,30,0))</f>
        <v>#N/A</v>
      </c>
      <c r="N250" s="9"/>
      <c r="O250" s="9"/>
      <c r="P250" s="9" t="e">
        <f>IF(VLOOKUP(G250,'Bereketli Satış'!J:AK,32,0)="","",VLOOKUP(G250,'Bereketli Satış'!J:AK,32,0))</f>
        <v>#N/A</v>
      </c>
      <c r="Q250" s="9"/>
      <c r="R250" s="9"/>
    </row>
    <row r="251" spans="1:18">
      <c r="A251" s="8" t="s">
        <v>36</v>
      </c>
      <c r="B251" s="8" t="s">
        <v>37</v>
      </c>
      <c r="C251" s="8" t="s">
        <v>38</v>
      </c>
      <c r="D251" s="8">
        <v>400</v>
      </c>
      <c r="E251" s="8">
        <v>911</v>
      </c>
      <c r="F251" s="3">
        <v>18</v>
      </c>
      <c r="G251" s="1" t="str">
        <f t="shared" si="3"/>
        <v>GÜNEYCE91118</v>
      </c>
      <c r="H251" s="3"/>
      <c r="I251" s="9" t="e">
        <f>IF(VLOOKUP(G251,'Bereketli Satış'!J:AK,5,0)="","",VLOOKUP(G251,'Bereketli Satış'!J:AK,5,0))</f>
        <v>#N/A</v>
      </c>
      <c r="J251" s="9" t="e">
        <f>IF(VLOOKUP(G251,'Bereketli Satış'!J:AK,28,0)="","",VLOOKUP(G251,'Bereketli Satış'!J:AK,28,0))</f>
        <v>#N/A</v>
      </c>
      <c r="K251" s="9"/>
      <c r="L251" s="128"/>
      <c r="M251" s="100" t="e">
        <f>IF(VLOOKUP(G251,'Bereketli Satış'!J:AK,30,0)="","",VLOOKUP(G251,'Bereketli Satış'!J:AK,30,0))</f>
        <v>#N/A</v>
      </c>
      <c r="N251" s="9"/>
      <c r="O251" s="9"/>
      <c r="P251" s="9" t="e">
        <f>IF(VLOOKUP(G251,'Bereketli Satış'!J:AK,32,0)="","",VLOOKUP(G251,'Bereketli Satış'!J:AK,32,0))</f>
        <v>#N/A</v>
      </c>
      <c r="Q251" s="9"/>
      <c r="R251" s="9"/>
    </row>
    <row r="252" spans="1:18">
      <c r="A252" s="8" t="s">
        <v>14</v>
      </c>
      <c r="B252" s="8" t="s">
        <v>33</v>
      </c>
      <c r="C252" s="8" t="s">
        <v>42</v>
      </c>
      <c r="D252" s="8">
        <v>372.7</v>
      </c>
      <c r="E252" s="8">
        <v>120</v>
      </c>
      <c r="F252" s="1">
        <v>6</v>
      </c>
      <c r="G252" s="1" t="str">
        <f t="shared" si="3"/>
        <v>İBİLLER1206</v>
      </c>
      <c r="H252" s="1">
        <v>134240965</v>
      </c>
      <c r="I252" s="9" t="e">
        <f>IF(VLOOKUP(G252,'Bereketli Satış'!J:AK,5,0)="","",VLOOKUP(G252,'Bereketli Satış'!J:AK,5,0))</f>
        <v>#N/A</v>
      </c>
      <c r="J252" s="9" t="e">
        <f>IF(VLOOKUP(G252,'Bereketli Satış'!J:AK,28,0)="","",VLOOKUP(G252,'Bereketli Satış'!J:AK,28,0))</f>
        <v>#N/A</v>
      </c>
      <c r="K252" s="9"/>
      <c r="L252" s="128">
        <v>46022</v>
      </c>
      <c r="M252" s="100" t="e">
        <f>IF(VLOOKUP(G252,'Bereketli Satış'!J:AK,30,0)="","",VLOOKUP(G252,'Bereketli Satış'!J:AK,30,0))</f>
        <v>#N/A</v>
      </c>
      <c r="N252" s="9"/>
      <c r="O252" s="9"/>
      <c r="P252" s="9" t="e">
        <f>IF(VLOOKUP(G252,'Bereketli Satış'!J:AK,32,0)="","",VLOOKUP(G252,'Bereketli Satış'!J:AK,32,0))</f>
        <v>#N/A</v>
      </c>
      <c r="Q252" s="9"/>
      <c r="R252" s="9"/>
    </row>
    <row r="253" spans="1:18">
      <c r="A253" s="8" t="s">
        <v>49</v>
      </c>
      <c r="B253" s="8" t="s">
        <v>50</v>
      </c>
      <c r="C253" s="8" t="s">
        <v>51</v>
      </c>
      <c r="D253" s="8">
        <v>481</v>
      </c>
      <c r="E253" s="8">
        <v>0</v>
      </c>
      <c r="F253" s="8">
        <v>823</v>
      </c>
      <c r="G253" s="1" t="str">
        <f t="shared" si="3"/>
        <v>KAHVETEPE0823</v>
      </c>
      <c r="H253" s="8"/>
      <c r="I253" s="9" t="e">
        <f>IF(VLOOKUP(G253,'Bereketli Satış'!J:AK,5,0)="","",VLOOKUP(G253,'Bereketli Satış'!J:AK,5,0))</f>
        <v>#N/A</v>
      </c>
      <c r="J253" s="9" t="e">
        <f>IF(VLOOKUP(G253,'Bereketli Satış'!J:AK,28,0)="","",VLOOKUP(G253,'Bereketli Satış'!J:AK,28,0))</f>
        <v>#N/A</v>
      </c>
      <c r="K253" s="9"/>
      <c r="L253" s="128"/>
      <c r="M253" s="100" t="e">
        <f>IF(VLOOKUP(G253,'Bereketli Satış'!J:AK,30,0)="","",VLOOKUP(G253,'Bereketli Satış'!J:AK,30,0))</f>
        <v>#N/A</v>
      </c>
      <c r="N253" s="100"/>
      <c r="O253" s="100"/>
      <c r="P253" s="9" t="e">
        <f>IF(VLOOKUP(G253,'Bereketli Satış'!J:AK,32,0)="","",VLOOKUP(G253,'Bereketli Satış'!J:AK,32,0))</f>
        <v>#N/A</v>
      </c>
      <c r="Q253" s="100"/>
      <c r="R253" s="100"/>
    </row>
    <row r="254" spans="1:18">
      <c r="A254" s="8" t="s">
        <v>49</v>
      </c>
      <c r="B254" s="8" t="s">
        <v>68</v>
      </c>
      <c r="C254" s="8" t="s">
        <v>69</v>
      </c>
      <c r="D254" s="8">
        <v>306.5</v>
      </c>
      <c r="E254" s="18">
        <v>0</v>
      </c>
      <c r="F254" s="8">
        <v>1710</v>
      </c>
      <c r="G254" s="1" t="str">
        <f t="shared" si="3"/>
        <v>KARAKÖY01710</v>
      </c>
      <c r="H254" s="8"/>
      <c r="I254" s="9" t="e">
        <f>IF(VLOOKUP(G254,'Bereketli Satış'!J:AK,5,0)="","",VLOOKUP(G254,'Bereketli Satış'!J:AK,5,0))</f>
        <v>#N/A</v>
      </c>
      <c r="J254" s="9" t="e">
        <f>IF(VLOOKUP(G254,'Bereketli Satış'!J:AK,28,0)="","",VLOOKUP(G254,'Bereketli Satış'!J:AK,28,0))</f>
        <v>#N/A</v>
      </c>
      <c r="K254" s="100"/>
      <c r="L254" s="128"/>
      <c r="M254" s="100" t="e">
        <f>IF(VLOOKUP(G254,'Bereketli Satış'!J:AK,30,0)="","",VLOOKUP(G254,'Bereketli Satış'!J:AK,30,0))</f>
        <v>#N/A</v>
      </c>
      <c r="N254" s="9"/>
      <c r="O254" s="9"/>
      <c r="P254" s="9" t="e">
        <f>IF(VLOOKUP(G254,'Bereketli Satış'!J:AK,32,0)="","",VLOOKUP(G254,'Bereketli Satış'!J:AK,32,0))</f>
        <v>#N/A</v>
      </c>
      <c r="Q254" s="9"/>
      <c r="R254" s="9"/>
    </row>
    <row r="255" spans="1:18">
      <c r="A255" s="8" t="s">
        <v>14</v>
      </c>
      <c r="B255" s="8" t="s">
        <v>33</v>
      </c>
      <c r="C255" s="8" t="s">
        <v>42</v>
      </c>
      <c r="D255" s="8">
        <v>421.64</v>
      </c>
      <c r="E255" s="8">
        <v>122</v>
      </c>
      <c r="F255" s="1">
        <v>23</v>
      </c>
      <c r="G255" s="1" t="str">
        <f t="shared" si="3"/>
        <v>İBİLLER12223</v>
      </c>
      <c r="H255" s="1"/>
      <c r="I255" s="9" t="e">
        <f>IF(VLOOKUP(G255,'Bereketli Satış'!J:AK,5,0)="","",VLOOKUP(G255,'Bereketli Satış'!J:AK,5,0))</f>
        <v>#N/A</v>
      </c>
      <c r="J255" s="9" t="e">
        <f>IF(VLOOKUP(G255,'Bereketli Satış'!J:AK,28,0)="","",VLOOKUP(G255,'Bereketli Satış'!J:AK,28,0))</f>
        <v>#N/A</v>
      </c>
      <c r="K255" s="9"/>
      <c r="L255" s="128"/>
      <c r="M255" s="100" t="e">
        <f>IF(VLOOKUP(G255,'Bereketli Satış'!J:AK,30,0)="","",VLOOKUP(G255,'Bereketli Satış'!J:AK,30,0))</f>
        <v>#N/A</v>
      </c>
      <c r="N255" s="9"/>
      <c r="O255" s="9"/>
      <c r="P255" s="9" t="e">
        <f>IF(VLOOKUP(G255,'Bereketli Satış'!J:AK,32,0)="","",VLOOKUP(G255,'Bereketli Satış'!J:AK,32,0))</f>
        <v>#N/A</v>
      </c>
      <c r="Q255" s="9"/>
      <c r="R255" s="9"/>
    </row>
    <row r="256" spans="1:18">
      <c r="A256" s="8" t="s">
        <v>14</v>
      </c>
      <c r="B256" s="8" t="s">
        <v>33</v>
      </c>
      <c r="C256" s="8" t="s">
        <v>42</v>
      </c>
      <c r="D256" s="8">
        <v>421.64</v>
      </c>
      <c r="E256" s="8">
        <v>122</v>
      </c>
      <c r="F256" s="1">
        <v>24</v>
      </c>
      <c r="G256" s="1" t="str">
        <f t="shared" si="3"/>
        <v>İBİLLER12224</v>
      </c>
      <c r="H256" s="1"/>
      <c r="I256" s="9" t="e">
        <f>IF(VLOOKUP(G256,'Bereketli Satış'!J:AK,5,0)="","",VLOOKUP(G256,'Bereketli Satış'!J:AK,5,0))</f>
        <v>#N/A</v>
      </c>
      <c r="J256" s="9" t="e">
        <f>IF(VLOOKUP(G256,'Bereketli Satış'!J:AK,28,0)="","",VLOOKUP(G256,'Bereketli Satış'!J:AK,28,0))</f>
        <v>#N/A</v>
      </c>
      <c r="K256" s="9"/>
      <c r="L256" s="128"/>
      <c r="M256" s="100" t="e">
        <f>IF(VLOOKUP(G256,'Bereketli Satış'!J:AK,30,0)="","",VLOOKUP(G256,'Bereketli Satış'!J:AK,30,0))</f>
        <v>#N/A</v>
      </c>
      <c r="N256" s="9"/>
      <c r="O256" s="9"/>
      <c r="P256" s="9" t="e">
        <f>IF(VLOOKUP(G256,'Bereketli Satış'!J:AK,32,0)="","",VLOOKUP(G256,'Bereketli Satış'!J:AK,32,0))</f>
        <v>#N/A</v>
      </c>
      <c r="Q256" s="9"/>
      <c r="R256" s="9"/>
    </row>
    <row r="257" spans="1:18">
      <c r="A257" s="8" t="s">
        <v>46</v>
      </c>
      <c r="B257" s="8" t="s">
        <v>47</v>
      </c>
      <c r="C257" s="8" t="s">
        <v>70</v>
      </c>
      <c r="D257" s="8">
        <v>437.6</v>
      </c>
      <c r="E257" s="18">
        <v>155</v>
      </c>
      <c r="F257" s="8">
        <v>8</v>
      </c>
      <c r="G257" s="1" t="str">
        <f t="shared" si="3"/>
        <v>KATIRALANI1558</v>
      </c>
      <c r="H257" s="8"/>
      <c r="I257" s="9" t="e">
        <f>IF(VLOOKUP(G257,'Bereketli Satış'!J:AK,5,0)="","",VLOOKUP(G257,'Bereketli Satış'!J:AK,5,0))</f>
        <v>#N/A</v>
      </c>
      <c r="J257" s="9" t="e">
        <f>IF(VLOOKUP(G257,'Bereketli Satış'!J:AK,28,0)="","",VLOOKUP(G257,'Bereketli Satış'!J:AK,28,0))</f>
        <v>#N/A</v>
      </c>
      <c r="K257" s="9"/>
      <c r="L257" s="128"/>
      <c r="M257" s="100" t="e">
        <f>IF(VLOOKUP(G257,'Bereketli Satış'!J:AK,30,0)="","",VLOOKUP(G257,'Bereketli Satış'!J:AK,30,0))</f>
        <v>#N/A</v>
      </c>
      <c r="N257" s="100"/>
      <c r="O257" s="100"/>
      <c r="P257" s="9" t="e">
        <f>IF(VLOOKUP(G257,'Bereketli Satış'!J:AK,32,0)="","",VLOOKUP(G257,'Bereketli Satış'!J:AK,32,0))</f>
        <v>#N/A</v>
      </c>
      <c r="Q257" s="100"/>
      <c r="R257" s="100"/>
    </row>
    <row r="258" spans="1:18">
      <c r="A258" s="8" t="s">
        <v>14</v>
      </c>
      <c r="B258" s="8" t="s">
        <v>15</v>
      </c>
      <c r="C258" s="8" t="s">
        <v>16</v>
      </c>
      <c r="D258" s="8">
        <v>480</v>
      </c>
      <c r="E258" s="18">
        <v>157</v>
      </c>
      <c r="F258" s="8">
        <v>4</v>
      </c>
      <c r="G258" s="1" t="str">
        <f t="shared" si="3"/>
        <v>REŞADİYE1574</v>
      </c>
      <c r="H258" s="8">
        <v>16898900</v>
      </c>
      <c r="I258" s="9" t="e">
        <f>IF(VLOOKUP(G258,'Bereketli Satış'!J:AK,5,0)="","",VLOOKUP(G258,'Bereketli Satış'!J:AK,5,0))</f>
        <v>#N/A</v>
      </c>
      <c r="J258" s="9" t="e">
        <f>IF(VLOOKUP(G258,'Bereketli Satış'!J:AK,28,0)="","",VLOOKUP(G258,'Bereketli Satış'!J:AK,28,0))</f>
        <v>#N/A</v>
      </c>
      <c r="K258" s="100"/>
      <c r="L258" s="128">
        <v>46022</v>
      </c>
      <c r="M258" s="100" t="e">
        <f>IF(VLOOKUP(G258,'Bereketli Satış'!J:AK,30,0)="","",VLOOKUP(G258,'Bereketli Satış'!J:AK,30,0))</f>
        <v>#N/A</v>
      </c>
      <c r="N258" s="9"/>
      <c r="O258" s="9"/>
      <c r="P258" s="9" t="e">
        <f>IF(VLOOKUP(G258,'Bereketli Satış'!J:AK,32,0)="","",VLOOKUP(G258,'Bereketli Satış'!J:AK,32,0))</f>
        <v>#N/A</v>
      </c>
      <c r="Q258" s="9"/>
      <c r="R258" s="9"/>
    </row>
    <row r="259" spans="1:18">
      <c r="A259" s="8" t="s">
        <v>14</v>
      </c>
      <c r="B259" s="8" t="s">
        <v>33</v>
      </c>
      <c r="C259" s="8" t="s">
        <v>34</v>
      </c>
      <c r="D259" s="8">
        <v>581.29999999999995</v>
      </c>
      <c r="E259" s="8">
        <v>104</v>
      </c>
      <c r="F259" s="1">
        <v>10</v>
      </c>
      <c r="G259" s="1" t="str">
        <f t="shared" ref="G259:G322" si="4">C259&amp;E259&amp;F259</f>
        <v>ARMUTLU10410</v>
      </c>
      <c r="H259" s="1"/>
      <c r="I259" s="9" t="e">
        <f>IF(VLOOKUP(G259,'Bereketli Satış'!J:AK,5,0)="","",VLOOKUP(G259,'Bereketli Satış'!J:AK,5,0))</f>
        <v>#N/A</v>
      </c>
      <c r="J259" s="9" t="e">
        <f>IF(VLOOKUP(G259,'Bereketli Satış'!J:AK,28,0)="","",VLOOKUP(G259,'Bereketli Satış'!J:AK,28,0))</f>
        <v>#N/A</v>
      </c>
      <c r="K259" s="9"/>
      <c r="L259" s="128"/>
      <c r="M259" s="100" t="e">
        <f>IF(VLOOKUP(G259,'Bereketli Satış'!J:AK,30,0)="","",VLOOKUP(G259,'Bereketli Satış'!J:AK,30,0))</f>
        <v>#N/A</v>
      </c>
      <c r="N259" s="9"/>
      <c r="O259" s="9"/>
      <c r="P259" s="9" t="e">
        <f>IF(VLOOKUP(G259,'Bereketli Satış'!J:AK,32,0)="","",VLOOKUP(G259,'Bereketli Satış'!J:AK,32,0))</f>
        <v>#N/A</v>
      </c>
      <c r="Q259" s="9"/>
      <c r="R259" s="9"/>
    </row>
    <row r="260" spans="1:18">
      <c r="A260" s="8" t="s">
        <v>14</v>
      </c>
      <c r="B260" s="8" t="s">
        <v>33</v>
      </c>
      <c r="C260" s="8" t="s">
        <v>42</v>
      </c>
      <c r="D260" s="8">
        <v>423.76</v>
      </c>
      <c r="E260" s="8">
        <v>121</v>
      </c>
      <c r="F260" s="1">
        <v>12</v>
      </c>
      <c r="G260" s="1" t="str">
        <f t="shared" si="4"/>
        <v>İBİLLER12112</v>
      </c>
      <c r="H260" s="1"/>
      <c r="I260" s="9" t="e">
        <f>IF(VLOOKUP(G260,'Bereketli Satış'!J:AK,5,0)="","",VLOOKUP(G260,'Bereketli Satış'!J:AK,5,0))</f>
        <v>#N/A</v>
      </c>
      <c r="J260" s="9" t="e">
        <f>IF(VLOOKUP(G260,'Bereketli Satış'!J:AK,28,0)="","",VLOOKUP(G260,'Bereketli Satış'!J:AK,28,0))</f>
        <v>#N/A</v>
      </c>
      <c r="K260" s="9"/>
      <c r="L260" s="128"/>
      <c r="M260" s="100" t="e">
        <f>IF(VLOOKUP(G260,'Bereketli Satış'!J:AK,30,0)="","",VLOOKUP(G260,'Bereketli Satış'!J:AK,30,0))</f>
        <v>#N/A</v>
      </c>
      <c r="N260" s="9"/>
      <c r="O260" s="9"/>
      <c r="P260" s="9" t="e">
        <f>IF(VLOOKUP(G260,'Bereketli Satış'!J:AK,32,0)="","",VLOOKUP(G260,'Bereketli Satış'!J:AK,32,0))</f>
        <v>#N/A</v>
      </c>
      <c r="Q260" s="9"/>
      <c r="R260" s="9"/>
    </row>
    <row r="261" spans="1:18">
      <c r="A261" s="8" t="s">
        <v>14</v>
      </c>
      <c r="B261" s="8" t="s">
        <v>33</v>
      </c>
      <c r="C261" s="8" t="s">
        <v>42</v>
      </c>
      <c r="D261" s="8">
        <v>453.39</v>
      </c>
      <c r="E261" s="8">
        <v>117</v>
      </c>
      <c r="F261" s="1">
        <v>26</v>
      </c>
      <c r="G261" s="1" t="str">
        <f t="shared" si="4"/>
        <v>İBİLLER11726</v>
      </c>
      <c r="H261" s="1"/>
      <c r="I261" s="9" t="e">
        <f>IF(VLOOKUP(G261,'Bereketli Satış'!J:AK,5,0)="","",VLOOKUP(G261,'Bereketli Satış'!J:AK,5,0))</f>
        <v>#N/A</v>
      </c>
      <c r="J261" s="9" t="e">
        <f>IF(VLOOKUP(G261,'Bereketli Satış'!J:AK,28,0)="","",VLOOKUP(G261,'Bereketli Satış'!J:AK,28,0))</f>
        <v>#N/A</v>
      </c>
      <c r="K261" s="9"/>
      <c r="L261" s="128"/>
      <c r="M261" s="100" t="e">
        <f>IF(VLOOKUP(G261,'Bereketli Satış'!J:AK,30,0)="","",VLOOKUP(G261,'Bereketli Satış'!J:AK,30,0))</f>
        <v>#N/A</v>
      </c>
      <c r="N261" s="9"/>
      <c r="O261" s="9"/>
      <c r="P261" s="9" t="e">
        <f>IF(VLOOKUP(G261,'Bereketli Satış'!J:AK,32,0)="","",VLOOKUP(G261,'Bereketli Satış'!J:AK,32,0))</f>
        <v>#N/A</v>
      </c>
      <c r="Q261" s="9"/>
      <c r="R261" s="9"/>
    </row>
    <row r="262" spans="1:18">
      <c r="A262" s="8" t="s">
        <v>14</v>
      </c>
      <c r="B262" s="8" t="s">
        <v>33</v>
      </c>
      <c r="C262" s="8" t="s">
        <v>42</v>
      </c>
      <c r="D262" s="8">
        <v>453.53</v>
      </c>
      <c r="E262" s="8">
        <v>119</v>
      </c>
      <c r="F262" s="1">
        <v>16</v>
      </c>
      <c r="G262" s="1" t="str">
        <f t="shared" si="4"/>
        <v>İBİLLER11916</v>
      </c>
      <c r="H262" s="1"/>
      <c r="I262" s="9" t="e">
        <f>IF(VLOOKUP(G262,'Bereketli Satış'!J:AK,5,0)="","",VLOOKUP(G262,'Bereketli Satış'!J:AK,5,0))</f>
        <v>#N/A</v>
      </c>
      <c r="J262" s="9" t="e">
        <f>IF(VLOOKUP(G262,'Bereketli Satış'!J:AK,28,0)="","",VLOOKUP(G262,'Bereketli Satış'!J:AK,28,0))</f>
        <v>#N/A</v>
      </c>
      <c r="K262" s="9"/>
      <c r="L262" s="128"/>
      <c r="M262" s="100" t="e">
        <f>IF(VLOOKUP(G262,'Bereketli Satış'!J:AK,30,0)="","",VLOOKUP(G262,'Bereketli Satış'!J:AK,30,0))</f>
        <v>#N/A</v>
      </c>
      <c r="N262" s="100"/>
      <c r="O262" s="100"/>
      <c r="P262" s="9" t="e">
        <f>IF(VLOOKUP(G262,'Bereketli Satış'!J:AK,32,0)="","",VLOOKUP(G262,'Bereketli Satış'!J:AK,32,0))</f>
        <v>#N/A</v>
      </c>
      <c r="Q262" s="100"/>
      <c r="R262" s="100"/>
    </row>
    <row r="263" spans="1:18">
      <c r="A263" s="8" t="s">
        <v>14</v>
      </c>
      <c r="B263" s="8" t="s">
        <v>15</v>
      </c>
      <c r="C263" s="8" t="s">
        <v>16</v>
      </c>
      <c r="D263" s="8">
        <v>484</v>
      </c>
      <c r="E263" s="18">
        <v>157</v>
      </c>
      <c r="F263" s="8">
        <v>5</v>
      </c>
      <c r="G263" s="1" t="str">
        <f t="shared" si="4"/>
        <v>REŞADİYE1575</v>
      </c>
      <c r="H263" s="8"/>
      <c r="I263" s="9" t="e">
        <f>IF(VLOOKUP(G263,'Bereketli Satış'!J:AK,5,0)="","",VLOOKUP(G263,'Bereketli Satış'!J:AK,5,0))</f>
        <v>#N/A</v>
      </c>
      <c r="J263" s="9" t="e">
        <f>IF(VLOOKUP(G263,'Bereketli Satış'!J:AK,28,0)="","",VLOOKUP(G263,'Bereketli Satış'!J:AK,28,0))</f>
        <v>#N/A</v>
      </c>
      <c r="K263" s="100"/>
      <c r="L263" s="128"/>
      <c r="M263" s="100" t="e">
        <f>IF(VLOOKUP(G263,'Bereketli Satış'!J:AK,30,0)="","",VLOOKUP(G263,'Bereketli Satış'!J:AK,30,0))</f>
        <v>#N/A</v>
      </c>
      <c r="N263" s="9"/>
      <c r="O263" s="9"/>
      <c r="P263" s="9" t="e">
        <f>IF(VLOOKUP(G263,'Bereketli Satış'!J:AK,32,0)="","",VLOOKUP(G263,'Bereketli Satış'!J:AK,32,0))</f>
        <v>#N/A</v>
      </c>
      <c r="Q263" s="9"/>
      <c r="R263" s="9"/>
    </row>
    <row r="264" spans="1:18">
      <c r="A264" s="8" t="s">
        <v>14</v>
      </c>
      <c r="B264" s="8" t="s">
        <v>33</v>
      </c>
      <c r="C264" s="8" t="s">
        <v>42</v>
      </c>
      <c r="D264" s="8">
        <v>453.53</v>
      </c>
      <c r="E264" s="8">
        <v>117</v>
      </c>
      <c r="F264" s="1">
        <v>27</v>
      </c>
      <c r="G264" s="1" t="str">
        <f t="shared" si="4"/>
        <v>İBİLLER11727</v>
      </c>
      <c r="H264" s="1"/>
      <c r="I264" s="9" t="e">
        <f>IF(VLOOKUP(G264,'Bereketli Satış'!J:AK,5,0)="","",VLOOKUP(G264,'Bereketli Satış'!J:AK,5,0))</f>
        <v>#N/A</v>
      </c>
      <c r="J264" s="9" t="e">
        <f>IF(VLOOKUP(G264,'Bereketli Satış'!J:AK,28,0)="","",VLOOKUP(G264,'Bereketli Satış'!J:AK,28,0))</f>
        <v>#N/A</v>
      </c>
      <c r="K264" s="9"/>
      <c r="L264" s="128"/>
      <c r="M264" s="100" t="e">
        <f>IF(VLOOKUP(G264,'Bereketli Satış'!J:AK,30,0)="","",VLOOKUP(G264,'Bereketli Satış'!J:AK,30,0))</f>
        <v>#N/A</v>
      </c>
      <c r="N264" s="9"/>
      <c r="O264" s="9"/>
      <c r="P264" s="9" t="e">
        <f>IF(VLOOKUP(G264,'Bereketli Satış'!J:AK,32,0)="","",VLOOKUP(G264,'Bereketli Satış'!J:AK,32,0))</f>
        <v>#N/A</v>
      </c>
      <c r="Q264" s="9"/>
      <c r="R264" s="9"/>
    </row>
    <row r="265" spans="1:18">
      <c r="A265" s="8" t="s">
        <v>14</v>
      </c>
      <c r="B265" s="8" t="s">
        <v>33</v>
      </c>
      <c r="C265" s="8" t="s">
        <v>34</v>
      </c>
      <c r="D265" s="8">
        <v>598.41</v>
      </c>
      <c r="E265" s="8">
        <v>104</v>
      </c>
      <c r="F265" s="1">
        <v>1</v>
      </c>
      <c r="G265" s="1" t="str">
        <f t="shared" si="4"/>
        <v>ARMUTLU1041</v>
      </c>
      <c r="H265" s="1"/>
      <c r="I265" s="9" t="e">
        <f>IF(VLOOKUP(G265,'Bereketli Satış'!J:AK,5,0)="","",VLOOKUP(G265,'Bereketli Satış'!J:AK,5,0))</f>
        <v>#N/A</v>
      </c>
      <c r="J265" s="9" t="e">
        <f>IF(VLOOKUP(G265,'Bereketli Satış'!J:AK,28,0)="","",VLOOKUP(G265,'Bereketli Satış'!J:AK,28,0))</f>
        <v>#N/A</v>
      </c>
      <c r="K265" s="9"/>
      <c r="L265" s="128"/>
      <c r="M265" s="100" t="e">
        <f>IF(VLOOKUP(G265,'Bereketli Satış'!J:AK,30,0)="","",VLOOKUP(G265,'Bereketli Satış'!J:AK,30,0))</f>
        <v>#N/A</v>
      </c>
      <c r="N265" s="9"/>
      <c r="O265" s="9"/>
      <c r="P265" s="9" t="e">
        <f>IF(VLOOKUP(G265,'Bereketli Satış'!J:AK,32,0)="","",VLOOKUP(G265,'Bereketli Satış'!J:AK,32,0))</f>
        <v>#N/A</v>
      </c>
      <c r="Q265" s="9"/>
      <c r="R265" s="9"/>
    </row>
    <row r="266" spans="1:18">
      <c r="A266" s="8" t="s">
        <v>14</v>
      </c>
      <c r="B266" s="8" t="s">
        <v>33</v>
      </c>
      <c r="C266" s="8" t="s">
        <v>34</v>
      </c>
      <c r="D266" s="8">
        <v>598.77</v>
      </c>
      <c r="E266" s="8">
        <v>104</v>
      </c>
      <c r="F266" s="1">
        <v>9</v>
      </c>
      <c r="G266" s="1" t="str">
        <f t="shared" si="4"/>
        <v>ARMUTLU1049</v>
      </c>
      <c r="H266" s="1"/>
      <c r="I266" s="9" t="e">
        <f>IF(VLOOKUP(G266,'Bereketli Satış'!J:AK,5,0)="","",VLOOKUP(G266,'Bereketli Satış'!J:AK,5,0))</f>
        <v>#N/A</v>
      </c>
      <c r="J266" s="9" t="e">
        <f>IF(VLOOKUP(G266,'Bereketli Satış'!J:AK,28,0)="","",VLOOKUP(G266,'Bereketli Satış'!J:AK,28,0))</f>
        <v>#N/A</v>
      </c>
      <c r="K266" s="9"/>
      <c r="L266" s="128"/>
      <c r="M266" s="100" t="e">
        <f>IF(VLOOKUP(G266,'Bereketli Satış'!J:AK,30,0)="","",VLOOKUP(G266,'Bereketli Satış'!J:AK,30,0))</f>
        <v>#N/A</v>
      </c>
      <c r="N266" s="9"/>
      <c r="O266" s="9"/>
      <c r="P266" s="9" t="e">
        <f>IF(VLOOKUP(G266,'Bereketli Satış'!J:AK,32,0)="","",VLOOKUP(G266,'Bereketli Satış'!J:AK,32,0))</f>
        <v>#N/A</v>
      </c>
      <c r="Q266" s="9"/>
      <c r="R266" s="9"/>
    </row>
    <row r="267" spans="1:18">
      <c r="A267" s="8" t="s">
        <v>14</v>
      </c>
      <c r="B267" s="8" t="s">
        <v>33</v>
      </c>
      <c r="C267" s="8" t="s">
        <v>34</v>
      </c>
      <c r="D267" s="8">
        <v>606.94000000000005</v>
      </c>
      <c r="E267" s="8">
        <v>104</v>
      </c>
      <c r="F267" s="1">
        <v>18</v>
      </c>
      <c r="G267" s="1" t="str">
        <f t="shared" si="4"/>
        <v>ARMUTLU10418</v>
      </c>
      <c r="H267" s="1"/>
      <c r="I267" s="9" t="e">
        <f>IF(VLOOKUP(G267,'Bereketli Satış'!J:AK,5,0)="","",VLOOKUP(G267,'Bereketli Satış'!J:AK,5,0))</f>
        <v>#N/A</v>
      </c>
      <c r="J267" s="9" t="e">
        <f>IF(VLOOKUP(G267,'Bereketli Satış'!J:AK,28,0)="","",VLOOKUP(G267,'Bereketli Satış'!J:AK,28,0))</f>
        <v>#N/A</v>
      </c>
      <c r="K267" s="9"/>
      <c r="L267" s="128"/>
      <c r="M267" s="100" t="e">
        <f>IF(VLOOKUP(G267,'Bereketli Satış'!J:AK,30,0)="","",VLOOKUP(G267,'Bereketli Satış'!J:AK,30,0))</f>
        <v>#N/A</v>
      </c>
      <c r="N267" s="9"/>
      <c r="O267" s="9"/>
      <c r="P267" s="9" t="e">
        <f>IF(VLOOKUP(G267,'Bereketli Satış'!J:AK,32,0)="","",VLOOKUP(G267,'Bereketli Satış'!J:AK,32,0))</f>
        <v>#N/A</v>
      </c>
      <c r="Q267" s="9"/>
      <c r="R267" s="9"/>
    </row>
    <row r="268" spans="1:18">
      <c r="A268" s="8" t="s">
        <v>14</v>
      </c>
      <c r="B268" s="8" t="s">
        <v>33</v>
      </c>
      <c r="C268" s="8" t="s">
        <v>34</v>
      </c>
      <c r="D268" s="8">
        <v>620.21</v>
      </c>
      <c r="E268" s="8">
        <v>117</v>
      </c>
      <c r="F268" s="1">
        <v>9</v>
      </c>
      <c r="G268" s="1" t="str">
        <f t="shared" si="4"/>
        <v>ARMUTLU1179</v>
      </c>
      <c r="H268" s="1">
        <v>64214961</v>
      </c>
      <c r="I268" s="9" t="e">
        <f>IF(VLOOKUP(G268,'Bereketli Satış'!J:AK,5,0)="","",VLOOKUP(G268,'Bereketli Satış'!J:AK,5,0))</f>
        <v>#N/A</v>
      </c>
      <c r="J268" s="9" t="e">
        <f>IF(VLOOKUP(G268,'Bereketli Satış'!J:AK,28,0)="","",VLOOKUP(G268,'Bereketli Satış'!J:AK,28,0))</f>
        <v>#N/A</v>
      </c>
      <c r="K268" s="9"/>
      <c r="L268" s="128">
        <v>46295</v>
      </c>
      <c r="M268" s="100" t="e">
        <f>IF(VLOOKUP(G268,'Bereketli Satış'!J:AK,30,0)="","",VLOOKUP(G268,'Bereketli Satış'!J:AK,30,0))</f>
        <v>#N/A</v>
      </c>
      <c r="N268" s="9"/>
      <c r="O268" s="9"/>
      <c r="P268" s="9" t="e">
        <f>IF(VLOOKUP(G268,'Bereketli Satış'!J:AK,32,0)="","",VLOOKUP(G268,'Bereketli Satış'!J:AK,32,0))</f>
        <v>#N/A</v>
      </c>
      <c r="Q268" s="9"/>
      <c r="R268" s="9"/>
    </row>
    <row r="269" spans="1:18">
      <c r="A269" s="8" t="s">
        <v>49</v>
      </c>
      <c r="B269" s="8" t="s">
        <v>50</v>
      </c>
      <c r="C269" s="8" t="s">
        <v>51</v>
      </c>
      <c r="D269" s="8">
        <v>464</v>
      </c>
      <c r="E269" s="8">
        <v>0</v>
      </c>
      <c r="F269" s="8">
        <v>829</v>
      </c>
      <c r="G269" s="1" t="str">
        <f t="shared" si="4"/>
        <v>KAHVETEPE0829</v>
      </c>
      <c r="H269" s="8"/>
      <c r="I269" s="9" t="e">
        <f>IF(VLOOKUP(G269,'Bereketli Satış'!J:AK,5,0)="","",VLOOKUP(G269,'Bereketli Satış'!J:AK,5,0))</f>
        <v>#N/A</v>
      </c>
      <c r="J269" s="9" t="e">
        <f>IF(VLOOKUP(G269,'Bereketli Satış'!J:AK,28,0)="","",VLOOKUP(G269,'Bereketli Satış'!J:AK,28,0))</f>
        <v>#N/A</v>
      </c>
      <c r="K269" s="9"/>
      <c r="L269" s="128"/>
      <c r="M269" s="100" t="e">
        <f>IF(VLOOKUP(G269,'Bereketli Satış'!J:AK,30,0)="","",VLOOKUP(G269,'Bereketli Satış'!J:AK,30,0))</f>
        <v>#N/A</v>
      </c>
      <c r="N269" s="100"/>
      <c r="O269" s="100"/>
      <c r="P269" s="9" t="e">
        <f>IF(VLOOKUP(G269,'Bereketli Satış'!J:AK,32,0)="","",VLOOKUP(G269,'Bereketli Satış'!J:AK,32,0))</f>
        <v>#N/A</v>
      </c>
      <c r="Q269" s="100"/>
      <c r="R269" s="100"/>
    </row>
    <row r="270" spans="1:18">
      <c r="A270" s="8" t="s">
        <v>17</v>
      </c>
      <c r="B270" s="8" t="s">
        <v>21</v>
      </c>
      <c r="C270" s="8" t="s">
        <v>52</v>
      </c>
      <c r="D270" s="8">
        <v>425</v>
      </c>
      <c r="E270" s="18">
        <v>102</v>
      </c>
      <c r="F270" s="8">
        <v>3</v>
      </c>
      <c r="G270" s="1" t="str">
        <f t="shared" si="4"/>
        <v>KEMALİYE1023</v>
      </c>
      <c r="H270" s="8"/>
      <c r="I270" s="9" t="e">
        <f>IF(VLOOKUP(G270,'Bereketli Satış'!J:AK,5,0)="","",VLOOKUP(G270,'Bereketli Satış'!J:AK,5,0))</f>
        <v>#N/A</v>
      </c>
      <c r="J270" s="9" t="e">
        <f>IF(VLOOKUP(G270,'Bereketli Satış'!J:AK,28,0)="","",VLOOKUP(G270,'Bereketli Satış'!J:AK,28,0))</f>
        <v>#N/A</v>
      </c>
      <c r="K270" s="100"/>
      <c r="L270" s="128"/>
      <c r="M270" s="100" t="e">
        <f>IF(VLOOKUP(G270,'Bereketli Satış'!J:AK,30,0)="","",VLOOKUP(G270,'Bereketli Satış'!J:AK,30,0))</f>
        <v>#N/A</v>
      </c>
      <c r="N270" s="9"/>
      <c r="O270" s="9"/>
      <c r="P270" s="9" t="e">
        <f>IF(VLOOKUP(G270,'Bereketli Satış'!J:AK,32,0)="","",VLOOKUP(G270,'Bereketli Satış'!J:AK,32,0))</f>
        <v>#N/A</v>
      </c>
      <c r="Q270" s="9"/>
      <c r="R270" s="9"/>
    </row>
    <row r="271" spans="1:18">
      <c r="A271" s="8" t="s">
        <v>14</v>
      </c>
      <c r="B271" s="8" t="s">
        <v>23</v>
      </c>
      <c r="C271" s="8" t="s">
        <v>41</v>
      </c>
      <c r="D271" s="8">
        <v>655.64</v>
      </c>
      <c r="E271" s="8">
        <v>123</v>
      </c>
      <c r="F271" s="3">
        <v>8</v>
      </c>
      <c r="G271" s="1" t="str">
        <f t="shared" si="4"/>
        <v>BÜYÜKPINAR1238</v>
      </c>
      <c r="H271" s="3"/>
      <c r="I271" s="9" t="e">
        <f>IF(VLOOKUP(G271,'Bereketli Satış'!J:AK,5,0)="","",VLOOKUP(G271,'Bereketli Satış'!J:AK,5,0))</f>
        <v>#N/A</v>
      </c>
      <c r="J271" s="9" t="e">
        <f>IF(VLOOKUP(G271,'Bereketli Satış'!J:AK,28,0)="","",VLOOKUP(G271,'Bereketli Satış'!J:AK,28,0))</f>
        <v>#N/A</v>
      </c>
      <c r="K271" s="9"/>
      <c r="L271" s="128"/>
      <c r="M271" s="100" t="e">
        <f>IF(VLOOKUP(G271,'Bereketli Satış'!J:AK,30,0)="","",VLOOKUP(G271,'Bereketli Satış'!J:AK,30,0))</f>
        <v>#N/A</v>
      </c>
      <c r="N271" s="9"/>
      <c r="O271" s="9"/>
      <c r="P271" s="9" t="e">
        <f>IF(VLOOKUP(G271,'Bereketli Satış'!J:AK,32,0)="","",VLOOKUP(G271,'Bereketli Satış'!J:AK,32,0))</f>
        <v>#N/A</v>
      </c>
      <c r="Q271" s="9"/>
      <c r="R271" s="9"/>
    </row>
    <row r="272" spans="1:18">
      <c r="A272" s="8" t="s">
        <v>14</v>
      </c>
      <c r="B272" s="8" t="s">
        <v>66</v>
      </c>
      <c r="C272" s="8" t="s">
        <v>71</v>
      </c>
      <c r="D272" s="8">
        <v>542.59</v>
      </c>
      <c r="E272" s="18">
        <v>165</v>
      </c>
      <c r="F272" s="8">
        <v>58</v>
      </c>
      <c r="G272" s="1" t="str">
        <f t="shared" si="4"/>
        <v>GÖZLÜÇAYIR16558</v>
      </c>
      <c r="H272" s="8"/>
      <c r="I272" s="9" t="e">
        <f>IF(VLOOKUP(G272,'Bereketli Satış'!J:AK,5,0)="","",VLOOKUP(G272,'Bereketli Satış'!J:AK,5,0))</f>
        <v>#N/A</v>
      </c>
      <c r="J272" s="9" t="e">
        <f>IF(VLOOKUP(G272,'Bereketli Satış'!J:AK,28,0)="","",VLOOKUP(G272,'Bereketli Satış'!J:AK,28,0))</f>
        <v>#N/A</v>
      </c>
      <c r="K272" s="9"/>
      <c r="L272" s="128"/>
      <c r="M272" s="100" t="e">
        <f>IF(VLOOKUP(G272,'Bereketli Satış'!J:AK,30,0)="","",VLOOKUP(G272,'Bereketli Satış'!J:AK,30,0))</f>
        <v>#N/A</v>
      </c>
      <c r="N272" s="100"/>
      <c r="O272" s="100"/>
      <c r="P272" s="9" t="e">
        <f>IF(VLOOKUP(G272,'Bereketli Satış'!J:AK,32,0)="","",VLOOKUP(G272,'Bereketli Satış'!J:AK,32,0))</f>
        <v>#N/A</v>
      </c>
      <c r="Q272" s="100"/>
      <c r="R272" s="100"/>
    </row>
    <row r="273" spans="1:18">
      <c r="A273" s="8" t="s">
        <v>17</v>
      </c>
      <c r="B273" s="8" t="s">
        <v>21</v>
      </c>
      <c r="C273" s="8" t="s">
        <v>22</v>
      </c>
      <c r="D273" s="8">
        <v>499</v>
      </c>
      <c r="E273" s="18">
        <v>214</v>
      </c>
      <c r="F273" s="8">
        <v>11</v>
      </c>
      <c r="G273" s="1" t="str">
        <f t="shared" si="4"/>
        <v>KİLLİK21411</v>
      </c>
      <c r="H273" s="8"/>
      <c r="I273" s="9" t="e">
        <f>IF(VLOOKUP(G273,'Bereketli Satış'!J:AK,5,0)="","",VLOOKUP(G273,'Bereketli Satış'!J:AK,5,0))</f>
        <v>#N/A</v>
      </c>
      <c r="J273" s="9" t="e">
        <f>IF(VLOOKUP(G273,'Bereketli Satış'!J:AK,28,0)="","",VLOOKUP(G273,'Bereketli Satış'!J:AK,28,0))</f>
        <v>#N/A</v>
      </c>
      <c r="K273" s="100"/>
      <c r="L273" s="128">
        <v>45819</v>
      </c>
      <c r="M273" s="100" t="e">
        <f>IF(VLOOKUP(G273,'Bereketli Satış'!J:AK,30,0)="","",VLOOKUP(G273,'Bereketli Satış'!J:AK,30,0))</f>
        <v>#N/A</v>
      </c>
      <c r="N273" s="9"/>
      <c r="O273" s="9"/>
      <c r="P273" s="9" t="e">
        <f>IF(VLOOKUP(G273,'Bereketli Satış'!J:AK,32,0)="","",VLOOKUP(G273,'Bereketli Satış'!J:AK,32,0))</f>
        <v>#N/A</v>
      </c>
      <c r="Q273" s="9"/>
      <c r="R273" s="9"/>
    </row>
    <row r="274" spans="1:18">
      <c r="A274" s="8" t="s">
        <v>14</v>
      </c>
      <c r="B274" s="8" t="s">
        <v>23</v>
      </c>
      <c r="C274" s="8" t="s">
        <v>56</v>
      </c>
      <c r="D274" s="8">
        <v>324.92</v>
      </c>
      <c r="E274" s="18">
        <v>12481</v>
      </c>
      <c r="F274" s="8">
        <v>7</v>
      </c>
      <c r="G274" s="1" t="str">
        <f t="shared" si="4"/>
        <v>KUVAYİ MİLLİYE124817</v>
      </c>
      <c r="H274" s="8"/>
      <c r="I274" s="9" t="e">
        <f>IF(VLOOKUP(G274,'Bereketli Satış'!J:AK,5,0)="","",VLOOKUP(G274,'Bereketli Satış'!J:AK,5,0))</f>
        <v>#N/A</v>
      </c>
      <c r="J274" s="9" t="e">
        <f>IF(VLOOKUP(G274,'Bereketli Satış'!J:AK,28,0)="","",VLOOKUP(G274,'Bereketli Satış'!J:AK,28,0))</f>
        <v>#N/A</v>
      </c>
      <c r="K274" s="9"/>
      <c r="L274" s="128"/>
      <c r="M274" s="100" t="e">
        <f>IF(VLOOKUP(G274,'Bereketli Satış'!J:AK,30,0)="","",VLOOKUP(G274,'Bereketli Satış'!J:AK,30,0))</f>
        <v>#N/A</v>
      </c>
      <c r="N274" s="9"/>
      <c r="O274" s="9"/>
      <c r="P274" s="9" t="e">
        <f>IF(VLOOKUP(G274,'Bereketli Satış'!J:AK,32,0)="","",VLOOKUP(G274,'Bereketli Satış'!J:AK,32,0))</f>
        <v>#N/A</v>
      </c>
      <c r="Q274" s="9"/>
      <c r="R274" s="9"/>
    </row>
    <row r="275" spans="1:18">
      <c r="A275" s="8" t="s">
        <v>17</v>
      </c>
      <c r="B275" s="8" t="s">
        <v>57</v>
      </c>
      <c r="C275" s="8" t="s">
        <v>58</v>
      </c>
      <c r="D275" s="8">
        <v>488</v>
      </c>
      <c r="E275" s="8">
        <v>0</v>
      </c>
      <c r="F275" s="3">
        <v>971</v>
      </c>
      <c r="G275" s="1" t="str">
        <f t="shared" si="4"/>
        <v>MİLİNGE0971</v>
      </c>
      <c r="H275" s="3"/>
      <c r="I275" s="9" t="e">
        <f>IF(VLOOKUP(G275,'Bereketli Satış'!J:AK,5,0)="","",VLOOKUP(G275,'Bereketli Satış'!J:AK,5,0))</f>
        <v>#N/A</v>
      </c>
      <c r="J275" s="9" t="e">
        <f>IF(VLOOKUP(G275,'Bereketli Satış'!J:AK,28,0)="","",VLOOKUP(G275,'Bereketli Satış'!J:AK,28,0))</f>
        <v>#N/A</v>
      </c>
      <c r="K275" s="9"/>
      <c r="L275" s="128"/>
      <c r="M275" s="100" t="e">
        <f>IF(VLOOKUP(G275,'Bereketli Satış'!J:AK,30,0)="","",VLOOKUP(G275,'Bereketli Satış'!J:AK,30,0))</f>
        <v>#N/A</v>
      </c>
      <c r="N275" s="9"/>
      <c r="O275" s="9"/>
      <c r="P275" s="9" t="e">
        <f>IF(VLOOKUP(G275,'Bereketli Satış'!J:AK,32,0)="","",VLOOKUP(G275,'Bereketli Satış'!J:AK,32,0))</f>
        <v>#N/A</v>
      </c>
      <c r="Q275" s="9"/>
      <c r="R275" s="9"/>
    </row>
    <row r="276" spans="1:18">
      <c r="A276" s="8" t="s">
        <v>14</v>
      </c>
      <c r="B276" s="8" t="s">
        <v>23</v>
      </c>
      <c r="C276" s="8" t="s">
        <v>27</v>
      </c>
      <c r="D276" s="8">
        <v>1221.58</v>
      </c>
      <c r="E276" s="18">
        <v>122</v>
      </c>
      <c r="F276" s="8">
        <v>8</v>
      </c>
      <c r="G276" s="1" t="str">
        <f t="shared" si="4"/>
        <v>NAİPLİ1228</v>
      </c>
      <c r="H276" s="8"/>
      <c r="I276" s="9" t="e">
        <f>IF(VLOOKUP(G276,'Bereketli Satış'!J:AK,5,0)="","",VLOOKUP(G276,'Bereketli Satış'!J:AK,5,0))</f>
        <v>#N/A</v>
      </c>
      <c r="J276" s="9" t="e">
        <f>IF(VLOOKUP(G276,'Bereketli Satış'!J:AK,28,0)="","",VLOOKUP(G276,'Bereketli Satış'!J:AK,28,0))</f>
        <v>#N/A</v>
      </c>
      <c r="K276" s="9"/>
      <c r="L276" s="128"/>
      <c r="M276" s="100" t="e">
        <f>IF(VLOOKUP(G276,'Bereketli Satış'!J:AK,30,0)="","",VLOOKUP(G276,'Bereketli Satış'!J:AK,30,0))</f>
        <v>#N/A</v>
      </c>
      <c r="N276" s="9"/>
      <c r="O276" s="9"/>
      <c r="P276" s="9" t="e">
        <f>IF(VLOOKUP(G276,'Bereketli Satış'!J:AK,32,0)="","",VLOOKUP(G276,'Bereketli Satış'!J:AK,32,0))</f>
        <v>#N/A</v>
      </c>
      <c r="Q276" s="9"/>
      <c r="R276" s="9"/>
    </row>
    <row r="277" spans="1:18">
      <c r="A277" s="8" t="s">
        <v>14</v>
      </c>
      <c r="B277" s="8" t="s">
        <v>15</v>
      </c>
      <c r="C277" s="8" t="s">
        <v>16</v>
      </c>
      <c r="D277" s="8">
        <v>320.24</v>
      </c>
      <c r="E277" s="8">
        <v>161</v>
      </c>
      <c r="F277" s="1">
        <v>8</v>
      </c>
      <c r="G277" s="1" t="str">
        <f t="shared" si="4"/>
        <v>REŞADİYE1618</v>
      </c>
      <c r="H277" s="1"/>
      <c r="I277" s="9" t="e">
        <f>IF(VLOOKUP(G277,'Bereketli Satış'!J:AK,5,0)="","",VLOOKUP(G277,'Bereketli Satış'!J:AK,5,0))</f>
        <v>#N/A</v>
      </c>
      <c r="J277" s="9" t="e">
        <f>IF(VLOOKUP(G277,'Bereketli Satış'!J:AK,28,0)="","",VLOOKUP(G277,'Bereketli Satış'!J:AK,28,0))</f>
        <v>#N/A</v>
      </c>
      <c r="K277" s="9"/>
      <c r="L277" s="128"/>
      <c r="M277" s="100" t="e">
        <f>IF(VLOOKUP(G277,'Bereketli Satış'!J:AK,30,0)="","",VLOOKUP(G277,'Bereketli Satış'!J:AK,30,0))</f>
        <v>#N/A</v>
      </c>
      <c r="N277" s="9"/>
      <c r="O277" s="9"/>
      <c r="P277" s="9" t="e">
        <f>IF(VLOOKUP(G277,'Bereketli Satış'!J:AK,32,0)="","",VLOOKUP(G277,'Bereketli Satış'!J:AK,32,0))</f>
        <v>#N/A</v>
      </c>
      <c r="Q277" s="9"/>
      <c r="R277" s="9"/>
    </row>
    <row r="278" spans="1:18">
      <c r="A278" s="8" t="s">
        <v>14</v>
      </c>
      <c r="B278" s="8" t="s">
        <v>66</v>
      </c>
      <c r="C278" s="8" t="s">
        <v>67</v>
      </c>
      <c r="D278" s="8">
        <v>699.91</v>
      </c>
      <c r="E278" s="8">
        <v>266</v>
      </c>
      <c r="F278" s="3">
        <v>7</v>
      </c>
      <c r="G278" s="1" t="str">
        <f t="shared" si="4"/>
        <v>ERDEL2667</v>
      </c>
      <c r="H278" s="3"/>
      <c r="I278" s="9" t="e">
        <f>IF(VLOOKUP(G278,'Bereketli Satış'!J:AK,5,0)="","",VLOOKUP(G278,'Bereketli Satış'!J:AK,5,0))</f>
        <v>#N/A</v>
      </c>
      <c r="J278" s="9" t="e">
        <f>IF(VLOOKUP(G278,'Bereketli Satış'!J:AK,28,0)="","",VLOOKUP(G278,'Bereketli Satış'!J:AK,28,0))</f>
        <v>#N/A</v>
      </c>
      <c r="K278" s="9"/>
      <c r="L278" s="128"/>
      <c r="M278" s="100" t="e">
        <f>IF(VLOOKUP(G278,'Bereketli Satış'!J:AK,30,0)="","",VLOOKUP(G278,'Bereketli Satış'!J:AK,30,0))</f>
        <v>#N/A</v>
      </c>
      <c r="N278" s="9"/>
      <c r="O278" s="9"/>
      <c r="P278" s="9" t="e">
        <f>IF(VLOOKUP(G278,'Bereketli Satış'!J:AK,32,0)="","",VLOOKUP(G278,'Bereketli Satış'!J:AK,32,0))</f>
        <v>#N/A</v>
      </c>
      <c r="Q278" s="9"/>
      <c r="R278" s="9"/>
    </row>
    <row r="279" spans="1:18">
      <c r="A279" s="8" t="s">
        <v>14</v>
      </c>
      <c r="B279" s="8" t="s">
        <v>33</v>
      </c>
      <c r="C279" s="8" t="s">
        <v>42</v>
      </c>
      <c r="D279" s="8">
        <v>453.74</v>
      </c>
      <c r="E279" s="8">
        <v>117</v>
      </c>
      <c r="F279" s="1">
        <v>28</v>
      </c>
      <c r="G279" s="1" t="str">
        <f t="shared" si="4"/>
        <v>İBİLLER11728</v>
      </c>
      <c r="H279" s="1"/>
      <c r="I279" s="9" t="e">
        <f>IF(VLOOKUP(G279,'Bereketli Satış'!J:AK,5,0)="","",VLOOKUP(G279,'Bereketli Satış'!J:AK,5,0))</f>
        <v>#N/A</v>
      </c>
      <c r="J279" s="9" t="e">
        <f>IF(VLOOKUP(G279,'Bereketli Satış'!J:AK,28,0)="","",VLOOKUP(G279,'Bereketli Satış'!J:AK,28,0))</f>
        <v>#N/A</v>
      </c>
      <c r="K279" s="9"/>
      <c r="L279" s="128"/>
      <c r="M279" s="100" t="e">
        <f>IF(VLOOKUP(G279,'Bereketli Satış'!J:AK,30,0)="","",VLOOKUP(G279,'Bereketli Satış'!J:AK,30,0))</f>
        <v>#N/A</v>
      </c>
      <c r="N279" s="9"/>
      <c r="O279" s="9"/>
      <c r="P279" s="9" t="e">
        <f>IF(VLOOKUP(G279,'Bereketli Satış'!J:AK,32,0)="","",VLOOKUP(G279,'Bereketli Satış'!J:AK,32,0))</f>
        <v>#N/A</v>
      </c>
      <c r="Q279" s="9"/>
      <c r="R279" s="9"/>
    </row>
    <row r="280" spans="1:18">
      <c r="A280" s="8" t="s">
        <v>14</v>
      </c>
      <c r="B280" s="8" t="s">
        <v>33</v>
      </c>
      <c r="C280" s="8" t="s">
        <v>42</v>
      </c>
      <c r="D280" s="8">
        <v>453.88</v>
      </c>
      <c r="E280" s="8">
        <v>117</v>
      </c>
      <c r="F280" s="1">
        <v>29</v>
      </c>
      <c r="G280" s="1" t="str">
        <f t="shared" si="4"/>
        <v>İBİLLER11729</v>
      </c>
      <c r="H280" s="1"/>
      <c r="I280" s="9" t="e">
        <f>IF(VLOOKUP(G280,'Bereketli Satış'!J:AK,5,0)="","",VLOOKUP(G280,'Bereketli Satış'!J:AK,5,0))</f>
        <v>#N/A</v>
      </c>
      <c r="J280" s="9" t="e">
        <f>IF(VLOOKUP(G280,'Bereketli Satış'!J:AK,28,0)="","",VLOOKUP(G280,'Bereketli Satış'!J:AK,28,0))</f>
        <v>#N/A</v>
      </c>
      <c r="K280" s="9"/>
      <c r="L280" s="128"/>
      <c r="M280" s="100" t="e">
        <f>IF(VLOOKUP(G280,'Bereketli Satış'!J:AK,30,0)="","",VLOOKUP(G280,'Bereketli Satış'!J:AK,30,0))</f>
        <v>#N/A</v>
      </c>
      <c r="N280" s="9"/>
      <c r="O280" s="9"/>
      <c r="P280" s="9" t="e">
        <f>IF(VLOOKUP(G280,'Bereketli Satış'!J:AK,32,0)="","",VLOOKUP(G280,'Bereketli Satış'!J:AK,32,0))</f>
        <v>#N/A</v>
      </c>
      <c r="Q280" s="9"/>
      <c r="R280" s="9"/>
    </row>
    <row r="281" spans="1:18">
      <c r="A281" s="8" t="s">
        <v>14</v>
      </c>
      <c r="B281" s="8" t="s">
        <v>33</v>
      </c>
      <c r="C281" s="8" t="s">
        <v>42</v>
      </c>
      <c r="D281" s="8">
        <v>454.13</v>
      </c>
      <c r="E281" s="8">
        <v>117</v>
      </c>
      <c r="F281" s="1">
        <v>20</v>
      </c>
      <c r="G281" s="1" t="str">
        <f t="shared" si="4"/>
        <v>İBİLLER11720</v>
      </c>
      <c r="H281" s="1"/>
      <c r="I281" s="9" t="e">
        <f>IF(VLOOKUP(G281,'Bereketli Satış'!J:AK,5,0)="","",VLOOKUP(G281,'Bereketli Satış'!J:AK,5,0))</f>
        <v>#N/A</v>
      </c>
      <c r="J281" s="9" t="e">
        <f>IF(VLOOKUP(G281,'Bereketli Satış'!J:AK,28,0)="","",VLOOKUP(G281,'Bereketli Satış'!J:AK,28,0))</f>
        <v>#N/A</v>
      </c>
      <c r="K281" s="9"/>
      <c r="L281" s="128"/>
      <c r="M281" s="100" t="e">
        <f>IF(VLOOKUP(G281,'Bereketli Satış'!J:AK,30,0)="","",VLOOKUP(G281,'Bereketli Satış'!J:AK,30,0))</f>
        <v>#N/A</v>
      </c>
      <c r="N281" s="9"/>
      <c r="O281" s="9"/>
      <c r="P281" s="9" t="e">
        <f>IF(VLOOKUP(G281,'Bereketli Satış'!J:AK,32,0)="","",VLOOKUP(G281,'Bereketli Satış'!J:AK,32,0))</f>
        <v>#N/A</v>
      </c>
      <c r="Q281" s="9"/>
      <c r="R281" s="9"/>
    </row>
    <row r="282" spans="1:18">
      <c r="A282" s="8" t="s">
        <v>14</v>
      </c>
      <c r="B282" s="8" t="s">
        <v>33</v>
      </c>
      <c r="C282" s="8" t="s">
        <v>42</v>
      </c>
      <c r="D282" s="8">
        <v>454.14</v>
      </c>
      <c r="E282" s="8">
        <v>117</v>
      </c>
      <c r="F282" s="1">
        <v>19</v>
      </c>
      <c r="G282" s="1" t="str">
        <f t="shared" si="4"/>
        <v>İBİLLER11719</v>
      </c>
      <c r="H282" s="1"/>
      <c r="I282" s="9" t="e">
        <f>IF(VLOOKUP(G282,'Bereketli Satış'!J:AK,5,0)="","",VLOOKUP(G282,'Bereketli Satış'!J:AK,5,0))</f>
        <v>#N/A</v>
      </c>
      <c r="J282" s="9" t="e">
        <f>IF(VLOOKUP(G282,'Bereketli Satış'!J:AK,28,0)="","",VLOOKUP(G282,'Bereketli Satış'!J:AK,28,0))</f>
        <v>#N/A</v>
      </c>
      <c r="K282" s="9"/>
      <c r="L282" s="128"/>
      <c r="M282" s="100" t="e">
        <f>IF(VLOOKUP(G282,'Bereketli Satış'!J:AK,30,0)="","",VLOOKUP(G282,'Bereketli Satış'!J:AK,30,0))</f>
        <v>#N/A</v>
      </c>
      <c r="N282" s="100"/>
      <c r="O282" s="100"/>
      <c r="P282" s="9" t="e">
        <f>IF(VLOOKUP(G282,'Bereketli Satış'!J:AK,32,0)="","",VLOOKUP(G282,'Bereketli Satış'!J:AK,32,0))</f>
        <v>#N/A</v>
      </c>
      <c r="Q282" s="100"/>
      <c r="R282" s="100"/>
    </row>
    <row r="283" spans="1:18">
      <c r="A283" s="8" t="s">
        <v>14</v>
      </c>
      <c r="B283" s="8" t="s">
        <v>23</v>
      </c>
      <c r="C283" s="8" t="s">
        <v>59</v>
      </c>
      <c r="D283" s="8">
        <v>967.82</v>
      </c>
      <c r="E283" s="8">
        <v>120</v>
      </c>
      <c r="F283" s="8">
        <v>17</v>
      </c>
      <c r="G283" s="1" t="str">
        <f t="shared" si="4"/>
        <v>TOYBELEN12017</v>
      </c>
      <c r="H283" s="8"/>
      <c r="I283" s="9" t="e">
        <f>IF(VLOOKUP(G283,'Bereketli Satış'!J:AK,5,0)="","",VLOOKUP(G283,'Bereketli Satış'!J:AK,5,0))</f>
        <v>#N/A</v>
      </c>
      <c r="J283" s="9" t="e">
        <f>IF(VLOOKUP(G283,'Bereketli Satış'!J:AK,28,0)="","",VLOOKUP(G283,'Bereketli Satış'!J:AK,28,0))</f>
        <v>#N/A</v>
      </c>
      <c r="K283" s="100"/>
      <c r="L283" s="128"/>
      <c r="M283" s="100" t="e">
        <f>IF(VLOOKUP(G283,'Bereketli Satış'!J:AK,30,0)="","",VLOOKUP(G283,'Bereketli Satış'!J:AK,30,0))</f>
        <v>#N/A</v>
      </c>
      <c r="N283" s="16"/>
      <c r="O283" s="16"/>
      <c r="P283" s="9" t="e">
        <f>IF(VLOOKUP(G283,'Bereketli Satış'!J:AK,32,0)="","",VLOOKUP(G283,'Bereketli Satış'!J:AK,32,0))</f>
        <v>#N/A</v>
      </c>
      <c r="Q283" s="16"/>
      <c r="R283" s="16"/>
    </row>
    <row r="284" spans="1:18">
      <c r="A284" s="16" t="s">
        <v>61</v>
      </c>
      <c r="B284" s="16" t="s">
        <v>15</v>
      </c>
      <c r="C284" s="16" t="s">
        <v>62</v>
      </c>
      <c r="D284" s="16">
        <v>1563.25</v>
      </c>
      <c r="E284" s="16"/>
      <c r="F284" s="16"/>
      <c r="G284" s="1" t="str">
        <f t="shared" si="4"/>
        <v>ÜMİTELİ</v>
      </c>
      <c r="H284" s="16"/>
      <c r="I284" s="9" t="e">
        <f>IF(VLOOKUP(G284,'Bereketli Satış'!J:AK,5,0)="","",VLOOKUP(G284,'Bereketli Satış'!J:AK,5,0))</f>
        <v>#N/A</v>
      </c>
      <c r="J284" s="9" t="e">
        <f>IF(VLOOKUP(G284,'Bereketli Satış'!J:AK,28,0)="","",VLOOKUP(G284,'Bereketli Satış'!J:AK,28,0))</f>
        <v>#N/A</v>
      </c>
      <c r="K284" s="16"/>
      <c r="L284" s="98"/>
      <c r="M284" s="100" t="e">
        <f>IF(VLOOKUP(G284,'Bereketli Satış'!J:AK,30,0)="","",VLOOKUP(G284,'Bereketli Satış'!J:AK,30,0))</f>
        <v>#N/A</v>
      </c>
      <c r="N284" s="9"/>
      <c r="O284" s="9"/>
      <c r="P284" s="9" t="e">
        <f>IF(VLOOKUP(G284,'Bereketli Satış'!J:AK,32,0)="","",VLOOKUP(G284,'Bereketli Satış'!J:AK,32,0))</f>
        <v>#N/A</v>
      </c>
      <c r="Q284" s="9"/>
      <c r="R284" s="9"/>
    </row>
    <row r="285" spans="1:18">
      <c r="A285" s="8" t="s">
        <v>14</v>
      </c>
      <c r="B285" s="8" t="s">
        <v>33</v>
      </c>
      <c r="C285" s="8" t="s">
        <v>42</v>
      </c>
      <c r="D285" s="8">
        <v>454.23</v>
      </c>
      <c r="E285" s="8">
        <v>117</v>
      </c>
      <c r="F285" s="1">
        <v>21</v>
      </c>
      <c r="G285" s="1" t="str">
        <f t="shared" si="4"/>
        <v>İBİLLER11721</v>
      </c>
      <c r="H285" s="1"/>
      <c r="I285" s="9" t="e">
        <f>IF(VLOOKUP(G285,'Bereketli Satış'!J:AK,5,0)="","",VLOOKUP(G285,'Bereketli Satış'!J:AK,5,0))</f>
        <v>#N/A</v>
      </c>
      <c r="J285" s="9" t="e">
        <f>IF(VLOOKUP(G285,'Bereketli Satış'!J:AK,28,0)="","",VLOOKUP(G285,'Bereketli Satış'!J:AK,28,0))</f>
        <v>#N/A</v>
      </c>
      <c r="K285" s="9"/>
      <c r="L285" s="128"/>
      <c r="M285" s="100" t="e">
        <f>IF(VLOOKUP(G285,'Bereketli Satış'!J:AK,30,0)="","",VLOOKUP(G285,'Bereketli Satış'!J:AK,30,0))</f>
        <v>#N/A</v>
      </c>
      <c r="N285" s="9"/>
      <c r="O285" s="9"/>
      <c r="P285" s="9" t="e">
        <f>IF(VLOOKUP(G285,'Bereketli Satış'!J:AK,32,0)="","",VLOOKUP(G285,'Bereketli Satış'!J:AK,32,0))</f>
        <v>#N/A</v>
      </c>
      <c r="Q285" s="9"/>
      <c r="R285" s="9"/>
    </row>
    <row r="286" spans="1:18">
      <c r="A286" s="8" t="s">
        <v>14</v>
      </c>
      <c r="B286" s="8" t="s">
        <v>33</v>
      </c>
      <c r="C286" s="8" t="s">
        <v>42</v>
      </c>
      <c r="D286" s="8">
        <v>458.32</v>
      </c>
      <c r="E286" s="8">
        <v>122</v>
      </c>
      <c r="F286" s="1">
        <v>29</v>
      </c>
      <c r="G286" s="1" t="str">
        <f t="shared" si="4"/>
        <v>İBİLLER12229</v>
      </c>
      <c r="H286" s="1"/>
      <c r="I286" s="9" t="e">
        <f>IF(VLOOKUP(G286,'Bereketli Satış'!J:AK,5,0)="","",VLOOKUP(G286,'Bereketli Satış'!J:AK,5,0))</f>
        <v>#N/A</v>
      </c>
      <c r="J286" s="9" t="e">
        <f>IF(VLOOKUP(G286,'Bereketli Satış'!J:AK,28,0)="","",VLOOKUP(G286,'Bereketli Satış'!J:AK,28,0))</f>
        <v>#N/A</v>
      </c>
      <c r="K286" s="9"/>
      <c r="L286" s="128"/>
      <c r="M286" s="100" t="e">
        <f>IF(VLOOKUP(G286,'Bereketli Satış'!J:AK,30,0)="","",VLOOKUP(G286,'Bereketli Satış'!J:AK,30,0))</f>
        <v>#N/A</v>
      </c>
      <c r="N286" s="9"/>
      <c r="O286" s="9"/>
      <c r="P286" s="9" t="e">
        <f>IF(VLOOKUP(G286,'Bereketli Satış'!J:AK,32,0)="","",VLOOKUP(G286,'Bereketli Satış'!J:AK,32,0))</f>
        <v>#N/A</v>
      </c>
      <c r="Q286" s="9"/>
      <c r="R286" s="9"/>
    </row>
    <row r="287" spans="1:18">
      <c r="A287" s="8" t="s">
        <v>14</v>
      </c>
      <c r="B287" s="8" t="s">
        <v>15</v>
      </c>
      <c r="C287" s="8" t="s">
        <v>63</v>
      </c>
      <c r="D287" s="8">
        <v>483.76</v>
      </c>
      <c r="E287" s="8">
        <v>103</v>
      </c>
      <c r="F287" s="1">
        <v>76</v>
      </c>
      <c r="G287" s="1" t="str">
        <f t="shared" si="4"/>
        <v>ILICABOĞAZI10376</v>
      </c>
      <c r="H287" s="1"/>
      <c r="I287" s="9" t="e">
        <f>IF(VLOOKUP(G287,'Bereketli Satış'!J:AK,5,0)="","",VLOOKUP(G287,'Bereketli Satış'!J:AK,5,0))</f>
        <v>#N/A</v>
      </c>
      <c r="J287" s="9" t="e">
        <f>IF(VLOOKUP(G287,'Bereketli Satış'!J:AK,28,0)="","",VLOOKUP(G287,'Bereketli Satış'!J:AK,28,0))</f>
        <v>#N/A</v>
      </c>
      <c r="K287" s="9"/>
      <c r="L287" s="128"/>
      <c r="M287" s="100" t="e">
        <f>IF(VLOOKUP(G287,'Bereketli Satış'!J:AK,30,0)="","",VLOOKUP(G287,'Bereketli Satış'!J:AK,30,0))</f>
        <v>#N/A</v>
      </c>
      <c r="N287" s="9"/>
      <c r="O287" s="9"/>
      <c r="P287" s="9" t="e">
        <f>IF(VLOOKUP(G287,'Bereketli Satış'!J:AK,32,0)="","",VLOOKUP(G287,'Bereketli Satış'!J:AK,32,0))</f>
        <v>#N/A</v>
      </c>
      <c r="Q287" s="9"/>
      <c r="R287" s="9"/>
    </row>
    <row r="288" spans="1:18">
      <c r="A288" s="8" t="s">
        <v>14</v>
      </c>
      <c r="B288" s="8" t="s">
        <v>15</v>
      </c>
      <c r="C288" s="8" t="s">
        <v>63</v>
      </c>
      <c r="D288" s="8">
        <v>483.97</v>
      </c>
      <c r="E288" s="8">
        <v>103</v>
      </c>
      <c r="F288" s="1">
        <v>77</v>
      </c>
      <c r="G288" s="1" t="str">
        <f t="shared" si="4"/>
        <v>ILICABOĞAZI10377</v>
      </c>
      <c r="H288" s="1"/>
      <c r="I288" s="9" t="e">
        <f>IF(VLOOKUP(G288,'Bereketli Satış'!J:AK,5,0)="","",VLOOKUP(G288,'Bereketli Satış'!J:AK,5,0))</f>
        <v>#N/A</v>
      </c>
      <c r="J288" s="9" t="e">
        <f>IF(VLOOKUP(G288,'Bereketli Satış'!J:AK,28,0)="","",VLOOKUP(G288,'Bereketli Satış'!J:AK,28,0))</f>
        <v>#N/A</v>
      </c>
      <c r="K288" s="9"/>
      <c r="L288" s="128"/>
      <c r="M288" s="100" t="e">
        <f>IF(VLOOKUP(G288,'Bereketli Satış'!J:AK,30,0)="","",VLOOKUP(G288,'Bereketli Satış'!J:AK,30,0))</f>
        <v>#N/A</v>
      </c>
      <c r="N288" s="9"/>
      <c r="O288" s="9"/>
      <c r="P288" s="9" t="e">
        <f>IF(VLOOKUP(G288,'Bereketli Satış'!J:AK,32,0)="","",VLOOKUP(G288,'Bereketli Satış'!J:AK,32,0))</f>
        <v>#N/A</v>
      </c>
      <c r="Q288" s="9"/>
      <c r="R288" s="9"/>
    </row>
    <row r="289" spans="1:18">
      <c r="A289" s="8" t="s">
        <v>49</v>
      </c>
      <c r="B289" s="8" t="s">
        <v>50</v>
      </c>
      <c r="C289" s="8" t="s">
        <v>51</v>
      </c>
      <c r="D289" s="8">
        <v>486</v>
      </c>
      <c r="E289" s="8">
        <v>0</v>
      </c>
      <c r="F289" s="8">
        <v>822</v>
      </c>
      <c r="G289" s="1" t="str">
        <f t="shared" si="4"/>
        <v>KAHVETEPE0822</v>
      </c>
      <c r="H289" s="8"/>
      <c r="I289" s="9" t="e">
        <f>IF(VLOOKUP(G289,'Bereketli Satış'!J:AK,5,0)="","",VLOOKUP(G289,'Bereketli Satış'!J:AK,5,0))</f>
        <v>#N/A</v>
      </c>
      <c r="J289" s="9" t="e">
        <f>IF(VLOOKUP(G289,'Bereketli Satış'!J:AK,28,0)="","",VLOOKUP(G289,'Bereketli Satış'!J:AK,28,0))</f>
        <v>#N/A</v>
      </c>
      <c r="K289" s="9"/>
      <c r="L289" s="128"/>
      <c r="M289" s="100" t="e">
        <f>IF(VLOOKUP(G289,'Bereketli Satış'!J:AK,30,0)="","",VLOOKUP(G289,'Bereketli Satış'!J:AK,30,0))</f>
        <v>#N/A</v>
      </c>
      <c r="N289" s="9"/>
      <c r="O289" s="9"/>
      <c r="P289" s="9" t="e">
        <f>IF(VLOOKUP(G289,'Bereketli Satış'!J:AK,32,0)="","",VLOOKUP(G289,'Bereketli Satış'!J:AK,32,0))</f>
        <v>#N/A</v>
      </c>
      <c r="Q289" s="9"/>
      <c r="R289" s="9"/>
    </row>
    <row r="290" spans="1:18">
      <c r="A290" s="8" t="s">
        <v>14</v>
      </c>
      <c r="B290" s="8" t="s">
        <v>33</v>
      </c>
      <c r="C290" s="8" t="s">
        <v>34</v>
      </c>
      <c r="D290" s="8">
        <v>665.52</v>
      </c>
      <c r="E290" s="8">
        <v>105</v>
      </c>
      <c r="F290" s="1">
        <v>2</v>
      </c>
      <c r="G290" s="1" t="str">
        <f t="shared" si="4"/>
        <v>ARMUTLU1052</v>
      </c>
      <c r="H290" s="1"/>
      <c r="I290" s="9" t="e">
        <f>IF(VLOOKUP(G290,'Bereketli Satış'!J:AK,5,0)="","",VLOOKUP(G290,'Bereketli Satış'!J:AK,5,0))</f>
        <v>#N/A</v>
      </c>
      <c r="J290" s="9" t="e">
        <f>IF(VLOOKUP(G290,'Bereketli Satış'!J:AK,28,0)="","",VLOOKUP(G290,'Bereketli Satış'!J:AK,28,0))</f>
        <v>#N/A</v>
      </c>
      <c r="K290" s="9"/>
      <c r="L290" s="128"/>
      <c r="M290" s="100" t="e">
        <f>IF(VLOOKUP(G290,'Bereketli Satış'!J:AK,30,0)="","",VLOOKUP(G290,'Bereketli Satış'!J:AK,30,0))</f>
        <v>#N/A</v>
      </c>
      <c r="N290" s="100"/>
      <c r="O290" s="100"/>
      <c r="P290" s="9" t="e">
        <f>IF(VLOOKUP(G290,'Bereketli Satış'!J:AK,32,0)="","",VLOOKUP(G290,'Bereketli Satış'!J:AK,32,0))</f>
        <v>#N/A</v>
      </c>
      <c r="Q290" s="100"/>
      <c r="R290" s="100"/>
    </row>
    <row r="291" spans="1:18">
      <c r="A291" s="8" t="s">
        <v>14</v>
      </c>
      <c r="B291" s="8" t="s">
        <v>33</v>
      </c>
      <c r="C291" s="8" t="s">
        <v>42</v>
      </c>
      <c r="D291" s="8">
        <v>464.95</v>
      </c>
      <c r="E291" s="8">
        <v>116</v>
      </c>
      <c r="F291" s="1">
        <v>17</v>
      </c>
      <c r="G291" s="1" t="str">
        <f t="shared" si="4"/>
        <v>İBİLLER11617</v>
      </c>
      <c r="H291" s="1"/>
      <c r="I291" s="9" t="e">
        <f>IF(VLOOKUP(G291,'Bereketli Satış'!J:AK,5,0)="","",VLOOKUP(G291,'Bereketli Satış'!J:AK,5,0))</f>
        <v>#N/A</v>
      </c>
      <c r="J291" s="9" t="e">
        <f>IF(VLOOKUP(G291,'Bereketli Satış'!J:AK,28,0)="","",VLOOKUP(G291,'Bereketli Satış'!J:AK,28,0))</f>
        <v>#N/A</v>
      </c>
      <c r="K291" s="100"/>
      <c r="L291" s="128"/>
      <c r="M291" s="100" t="e">
        <f>IF(VLOOKUP(G291,'Bereketli Satış'!J:AK,30,0)="","",VLOOKUP(G291,'Bereketli Satış'!J:AK,30,0))</f>
        <v>#N/A</v>
      </c>
      <c r="N291" s="100"/>
      <c r="O291" s="100"/>
      <c r="P291" s="9" t="e">
        <f>IF(VLOOKUP(G291,'Bereketli Satış'!J:AK,32,0)="","",VLOOKUP(G291,'Bereketli Satış'!J:AK,32,0))</f>
        <v>#N/A</v>
      </c>
      <c r="Q291" s="100"/>
      <c r="R291" s="100"/>
    </row>
    <row r="292" spans="1:18">
      <c r="A292" s="8" t="s">
        <v>14</v>
      </c>
      <c r="B292" s="8" t="s">
        <v>33</v>
      </c>
      <c r="C292" s="8" t="s">
        <v>42</v>
      </c>
      <c r="D292" s="8">
        <v>464.99</v>
      </c>
      <c r="E292" s="8">
        <v>116</v>
      </c>
      <c r="F292" s="1">
        <v>15</v>
      </c>
      <c r="G292" s="1" t="str">
        <f t="shared" si="4"/>
        <v>İBİLLER11615</v>
      </c>
      <c r="H292" s="1"/>
      <c r="I292" s="9" t="e">
        <f>IF(VLOOKUP(G292,'Bereketli Satış'!J:AK,5,0)="","",VLOOKUP(G292,'Bereketli Satış'!J:AK,5,0))</f>
        <v>#N/A</v>
      </c>
      <c r="J292" s="9" t="e">
        <f>IF(VLOOKUP(G292,'Bereketli Satış'!J:AK,28,0)="","",VLOOKUP(G292,'Bereketli Satış'!J:AK,28,0))</f>
        <v>#N/A</v>
      </c>
      <c r="K292" s="100"/>
      <c r="L292" s="128"/>
      <c r="M292" s="100" t="e">
        <f>IF(VLOOKUP(G292,'Bereketli Satış'!J:AK,30,0)="","",VLOOKUP(G292,'Bereketli Satış'!J:AK,30,0))</f>
        <v>#N/A</v>
      </c>
      <c r="N292" s="100"/>
      <c r="O292" s="100"/>
      <c r="P292" s="9" t="e">
        <f>IF(VLOOKUP(G292,'Bereketli Satış'!J:AK,32,0)="","",VLOOKUP(G292,'Bereketli Satış'!J:AK,32,0))</f>
        <v>#N/A</v>
      </c>
      <c r="Q292" s="100"/>
      <c r="R292" s="100"/>
    </row>
    <row r="293" spans="1:18">
      <c r="A293" s="8" t="s">
        <v>14</v>
      </c>
      <c r="B293" s="8" t="s">
        <v>33</v>
      </c>
      <c r="C293" s="8" t="s">
        <v>42</v>
      </c>
      <c r="D293" s="8">
        <v>465.01</v>
      </c>
      <c r="E293" s="8">
        <v>116</v>
      </c>
      <c r="F293" s="1">
        <v>16</v>
      </c>
      <c r="G293" s="1" t="str">
        <f t="shared" si="4"/>
        <v>İBİLLER11616</v>
      </c>
      <c r="H293" s="1"/>
      <c r="I293" s="9" t="e">
        <f>IF(VLOOKUP(G293,'Bereketli Satış'!J:AK,5,0)="","",VLOOKUP(G293,'Bereketli Satış'!J:AK,5,0))</f>
        <v>#N/A</v>
      </c>
      <c r="J293" s="9" t="e">
        <f>IF(VLOOKUP(G293,'Bereketli Satış'!J:AK,28,0)="","",VLOOKUP(G293,'Bereketli Satış'!J:AK,28,0))</f>
        <v>#N/A</v>
      </c>
      <c r="K293" s="100"/>
      <c r="L293" s="128"/>
      <c r="M293" s="100" t="e">
        <f>IF(VLOOKUP(G293,'Bereketli Satış'!J:AK,30,0)="","",VLOOKUP(G293,'Bereketli Satış'!J:AK,30,0))</f>
        <v>#N/A</v>
      </c>
      <c r="N293" s="9"/>
      <c r="O293" s="9"/>
      <c r="P293" s="9" t="e">
        <f>IF(VLOOKUP(G293,'Bereketli Satış'!J:AK,32,0)="","",VLOOKUP(G293,'Bereketli Satış'!J:AK,32,0))</f>
        <v>#N/A</v>
      </c>
      <c r="Q293" s="9"/>
      <c r="R293" s="9"/>
    </row>
    <row r="294" spans="1:18">
      <c r="A294" s="8" t="s">
        <v>14</v>
      </c>
      <c r="B294" s="8" t="s">
        <v>33</v>
      </c>
      <c r="C294" s="8" t="s">
        <v>34</v>
      </c>
      <c r="D294" s="8">
        <v>559.86</v>
      </c>
      <c r="E294" s="8">
        <v>104</v>
      </c>
      <c r="F294" s="1">
        <v>3</v>
      </c>
      <c r="G294" s="1" t="str">
        <f t="shared" si="4"/>
        <v>ARMUTLU1043</v>
      </c>
      <c r="H294" s="1">
        <v>64313751</v>
      </c>
      <c r="I294" s="9" t="e">
        <f>IF(VLOOKUP(G294,'Bereketli Satış'!J:AK,5,0)="","",VLOOKUP(G294,'Bereketli Satış'!J:AK,5,0))</f>
        <v>#N/A</v>
      </c>
      <c r="J294" s="9" t="e">
        <f>IF(VLOOKUP(G294,'Bereketli Satış'!J:AK,28,0)="","",VLOOKUP(G294,'Bereketli Satış'!J:AK,28,0))</f>
        <v>#N/A</v>
      </c>
      <c r="K294" s="9"/>
      <c r="L294" s="128">
        <v>46815</v>
      </c>
      <c r="M294" s="100" t="e">
        <f>IF(VLOOKUP(G294,'Bereketli Satış'!J:AK,30,0)="","",VLOOKUP(G294,'Bereketli Satış'!J:AK,30,0))</f>
        <v>#N/A</v>
      </c>
      <c r="N294" s="9"/>
      <c r="O294" s="9"/>
      <c r="P294" s="9" t="e">
        <f>IF(VLOOKUP(G294,'Bereketli Satış'!J:AK,32,0)="","",VLOOKUP(G294,'Bereketli Satış'!J:AK,32,0))</f>
        <v>#N/A</v>
      </c>
      <c r="Q294" s="9"/>
      <c r="R294" s="9"/>
    </row>
    <row r="295" spans="1:18">
      <c r="A295" s="8" t="s">
        <v>14</v>
      </c>
      <c r="B295" s="8" t="s">
        <v>33</v>
      </c>
      <c r="C295" s="8" t="s">
        <v>42</v>
      </c>
      <c r="D295" s="8">
        <v>468.89</v>
      </c>
      <c r="E295" s="8">
        <v>119</v>
      </c>
      <c r="F295" s="1">
        <v>12</v>
      </c>
      <c r="G295" s="1" t="str">
        <f t="shared" si="4"/>
        <v>İBİLLER11912</v>
      </c>
      <c r="H295" s="1"/>
      <c r="I295" s="9" t="e">
        <f>IF(VLOOKUP(G295,'Bereketli Satış'!J:AK,5,0)="","",VLOOKUP(G295,'Bereketli Satış'!J:AK,5,0))</f>
        <v>#N/A</v>
      </c>
      <c r="J295" s="9" t="e">
        <f>IF(VLOOKUP(G295,'Bereketli Satış'!J:AK,28,0)="","",VLOOKUP(G295,'Bereketli Satış'!J:AK,28,0))</f>
        <v>#N/A</v>
      </c>
      <c r="K295" s="9"/>
      <c r="L295" s="128"/>
      <c r="M295" s="100" t="e">
        <f>IF(VLOOKUP(G295,'Bereketli Satış'!J:AK,30,0)="","",VLOOKUP(G295,'Bereketli Satış'!J:AK,30,0))</f>
        <v>#N/A</v>
      </c>
      <c r="N295" s="9"/>
      <c r="O295" s="9"/>
      <c r="P295" s="9" t="e">
        <f>IF(VLOOKUP(G295,'Bereketli Satış'!J:AK,32,0)="","",VLOOKUP(G295,'Bereketli Satış'!J:AK,32,0))</f>
        <v>#N/A</v>
      </c>
      <c r="Q295" s="9"/>
      <c r="R295" s="9"/>
    </row>
    <row r="296" spans="1:18">
      <c r="A296" s="8" t="s">
        <v>14</v>
      </c>
      <c r="B296" s="8" t="s">
        <v>15</v>
      </c>
      <c r="C296" s="8" t="s">
        <v>63</v>
      </c>
      <c r="D296" s="13">
        <v>497.6</v>
      </c>
      <c r="E296" s="8">
        <v>103</v>
      </c>
      <c r="F296" s="1">
        <v>68</v>
      </c>
      <c r="G296" s="1" t="str">
        <f t="shared" si="4"/>
        <v>ILICABOĞAZI10368</v>
      </c>
      <c r="H296" s="1"/>
      <c r="I296" s="9" t="e">
        <f>IF(VLOOKUP(G296,'Bereketli Satış'!J:AK,5,0)="","",VLOOKUP(G296,'Bereketli Satış'!J:AK,5,0))</f>
        <v>#N/A</v>
      </c>
      <c r="J296" s="9" t="e">
        <f>IF(VLOOKUP(G296,'Bereketli Satış'!J:AK,28,0)="","",VLOOKUP(G296,'Bereketli Satış'!J:AK,28,0))</f>
        <v>#N/A</v>
      </c>
      <c r="K296" s="9"/>
      <c r="L296" s="128"/>
      <c r="M296" s="100" t="e">
        <f>IF(VLOOKUP(G296,'Bereketli Satış'!J:AK,30,0)="","",VLOOKUP(G296,'Bereketli Satış'!J:AK,30,0))</f>
        <v>#N/A</v>
      </c>
      <c r="N296" s="9"/>
      <c r="O296" s="9"/>
      <c r="P296" s="9" t="e">
        <f>IF(VLOOKUP(G296,'Bereketli Satış'!J:AK,32,0)="","",VLOOKUP(G296,'Bereketli Satış'!J:AK,32,0))</f>
        <v>#N/A</v>
      </c>
      <c r="Q296" s="9"/>
      <c r="R296" s="9"/>
    </row>
    <row r="297" spans="1:18">
      <c r="A297" s="8" t="s">
        <v>14</v>
      </c>
      <c r="B297" s="8" t="s">
        <v>15</v>
      </c>
      <c r="C297" s="8" t="s">
        <v>63</v>
      </c>
      <c r="D297" s="13">
        <v>497.6</v>
      </c>
      <c r="E297" s="8">
        <v>103</v>
      </c>
      <c r="F297" s="1">
        <v>69</v>
      </c>
      <c r="G297" s="1" t="str">
        <f t="shared" si="4"/>
        <v>ILICABOĞAZI10369</v>
      </c>
      <c r="H297" s="1"/>
      <c r="I297" s="9" t="e">
        <f>IF(VLOOKUP(G297,'Bereketli Satış'!J:AK,5,0)="","",VLOOKUP(G297,'Bereketli Satış'!J:AK,5,0))</f>
        <v>#N/A</v>
      </c>
      <c r="J297" s="9" t="e">
        <f>IF(VLOOKUP(G297,'Bereketli Satış'!J:AK,28,0)="","",VLOOKUP(G297,'Bereketli Satış'!J:AK,28,0))</f>
        <v>#N/A</v>
      </c>
      <c r="K297" s="9"/>
      <c r="L297" s="128"/>
      <c r="M297" s="100" t="e">
        <f>IF(VLOOKUP(G297,'Bereketli Satış'!J:AK,30,0)="","",VLOOKUP(G297,'Bereketli Satış'!J:AK,30,0))</f>
        <v>#N/A</v>
      </c>
      <c r="N297" s="9"/>
      <c r="O297" s="9"/>
      <c r="P297" s="9" t="e">
        <f>IF(VLOOKUP(G297,'Bereketli Satış'!J:AK,32,0)="","",VLOOKUP(G297,'Bereketli Satış'!J:AK,32,0))</f>
        <v>#N/A</v>
      </c>
      <c r="Q297" s="9"/>
      <c r="R297" s="9"/>
    </row>
    <row r="298" spans="1:18">
      <c r="A298" s="8" t="s">
        <v>14</v>
      </c>
      <c r="B298" s="8" t="s">
        <v>28</v>
      </c>
      <c r="C298" s="8" t="s">
        <v>29</v>
      </c>
      <c r="D298" s="8">
        <v>301.23</v>
      </c>
      <c r="E298" s="8">
        <v>171</v>
      </c>
      <c r="F298" s="1">
        <v>3</v>
      </c>
      <c r="G298" s="1" t="str">
        <f t="shared" si="4"/>
        <v>AŞAĞIMUSALAR1713</v>
      </c>
      <c r="H298" s="1"/>
      <c r="I298" s="9" t="e">
        <f>IF(VLOOKUP(G298,'Bereketli Satış'!J:AK,5,0)="","",VLOOKUP(G298,'Bereketli Satış'!J:AK,5,0))</f>
        <v>#N/A</v>
      </c>
      <c r="J298" s="9" t="e">
        <f>IF(VLOOKUP(G298,'Bereketli Satış'!J:AK,28,0)="","",VLOOKUP(G298,'Bereketli Satış'!J:AK,28,0))</f>
        <v>#N/A</v>
      </c>
      <c r="K298" s="9"/>
      <c r="L298" s="128"/>
      <c r="M298" s="100" t="e">
        <f>IF(VLOOKUP(G298,'Bereketli Satış'!J:AK,30,0)="","",VLOOKUP(G298,'Bereketli Satış'!J:AK,30,0))</f>
        <v>#N/A</v>
      </c>
      <c r="N298" s="9"/>
      <c r="O298" s="9"/>
      <c r="P298" s="9" t="e">
        <f>IF(VLOOKUP(G298,'Bereketli Satış'!J:AK,32,0)="","",VLOOKUP(G298,'Bereketli Satış'!J:AK,32,0))</f>
        <v>#N/A</v>
      </c>
      <c r="Q298" s="9"/>
      <c r="R298" s="9"/>
    </row>
    <row r="299" spans="1:18">
      <c r="A299" s="8" t="s">
        <v>14</v>
      </c>
      <c r="B299" s="8" t="s">
        <v>15</v>
      </c>
      <c r="C299" s="8" t="s">
        <v>63</v>
      </c>
      <c r="D299" s="13">
        <v>497.62</v>
      </c>
      <c r="E299" s="8">
        <v>103</v>
      </c>
      <c r="F299" s="1">
        <v>71</v>
      </c>
      <c r="G299" s="1" t="str">
        <f t="shared" si="4"/>
        <v>ILICABOĞAZI10371</v>
      </c>
      <c r="H299" s="1"/>
      <c r="I299" s="9" t="e">
        <f>IF(VLOOKUP(G299,'Bereketli Satış'!J:AK,5,0)="","",VLOOKUP(G299,'Bereketli Satış'!J:AK,5,0))</f>
        <v>#N/A</v>
      </c>
      <c r="J299" s="9" t="e">
        <f>IF(VLOOKUP(G299,'Bereketli Satış'!J:AK,28,0)="","",VLOOKUP(G299,'Bereketli Satış'!J:AK,28,0))</f>
        <v>#N/A</v>
      </c>
      <c r="K299" s="9"/>
      <c r="L299" s="128"/>
      <c r="M299" s="100" t="e">
        <f>IF(VLOOKUP(G299,'Bereketli Satış'!J:AK,30,0)="","",VLOOKUP(G299,'Bereketli Satış'!J:AK,30,0))</f>
        <v>#N/A</v>
      </c>
      <c r="N299" s="9"/>
      <c r="O299" s="9"/>
      <c r="P299" s="9" t="e">
        <f>IF(VLOOKUP(G299,'Bereketli Satış'!J:AK,32,0)="","",VLOOKUP(G299,'Bereketli Satış'!J:AK,32,0))</f>
        <v>#N/A</v>
      </c>
      <c r="Q299" s="9"/>
      <c r="R299" s="9"/>
    </row>
    <row r="300" spans="1:18">
      <c r="A300" s="8" t="s">
        <v>14</v>
      </c>
      <c r="B300" s="8" t="s">
        <v>15</v>
      </c>
      <c r="C300" s="8" t="s">
        <v>63</v>
      </c>
      <c r="D300" s="13">
        <v>497.62</v>
      </c>
      <c r="E300" s="8">
        <v>103</v>
      </c>
      <c r="F300" s="1">
        <v>72</v>
      </c>
      <c r="G300" s="1" t="str">
        <f t="shared" si="4"/>
        <v>ILICABOĞAZI10372</v>
      </c>
      <c r="H300" s="1"/>
      <c r="I300" s="9" t="e">
        <f>IF(VLOOKUP(G300,'Bereketli Satış'!J:AK,5,0)="","",VLOOKUP(G300,'Bereketli Satış'!J:AK,5,0))</f>
        <v>#N/A</v>
      </c>
      <c r="J300" s="9" t="e">
        <f>IF(VLOOKUP(G300,'Bereketli Satış'!J:AK,28,0)="","",VLOOKUP(G300,'Bereketli Satış'!J:AK,28,0))</f>
        <v>#N/A</v>
      </c>
      <c r="K300" s="9"/>
      <c r="L300" s="128"/>
      <c r="M300" s="100" t="e">
        <f>IF(VLOOKUP(G300,'Bereketli Satış'!J:AK,30,0)="","",VLOOKUP(G300,'Bereketli Satış'!J:AK,30,0))</f>
        <v>#N/A</v>
      </c>
      <c r="N300" s="9"/>
      <c r="O300" s="9"/>
      <c r="P300" s="9" t="e">
        <f>IF(VLOOKUP(G300,'Bereketli Satış'!J:AK,32,0)="","",VLOOKUP(G300,'Bereketli Satış'!J:AK,32,0))</f>
        <v>#N/A</v>
      </c>
      <c r="Q300" s="9"/>
      <c r="R300" s="9"/>
    </row>
    <row r="301" spans="1:18">
      <c r="A301" s="8" t="s">
        <v>14</v>
      </c>
      <c r="B301" s="8" t="s">
        <v>15</v>
      </c>
      <c r="C301" s="8" t="s">
        <v>63</v>
      </c>
      <c r="D301" s="13">
        <v>498.78</v>
      </c>
      <c r="E301" s="8">
        <v>103</v>
      </c>
      <c r="F301" s="1">
        <v>56</v>
      </c>
      <c r="G301" s="1" t="str">
        <f t="shared" si="4"/>
        <v>ILICABOĞAZI10356</v>
      </c>
      <c r="H301" s="1"/>
      <c r="I301" s="9" t="e">
        <f>IF(VLOOKUP(G301,'Bereketli Satış'!J:AK,5,0)="","",VLOOKUP(G301,'Bereketli Satış'!J:AK,5,0))</f>
        <v>#N/A</v>
      </c>
      <c r="J301" s="9" t="e">
        <f>IF(VLOOKUP(G301,'Bereketli Satış'!J:AK,28,0)="","",VLOOKUP(G301,'Bereketli Satış'!J:AK,28,0))</f>
        <v>#N/A</v>
      </c>
      <c r="K301" s="9"/>
      <c r="L301" s="128"/>
      <c r="M301" s="100" t="e">
        <f>IF(VLOOKUP(G301,'Bereketli Satış'!J:AK,30,0)="","",VLOOKUP(G301,'Bereketli Satış'!J:AK,30,0))</f>
        <v>#N/A</v>
      </c>
      <c r="N301" s="9"/>
      <c r="O301" s="9"/>
      <c r="P301" s="9" t="e">
        <f>IF(VLOOKUP(G301,'Bereketli Satış'!J:AK,32,0)="","",VLOOKUP(G301,'Bereketli Satış'!J:AK,32,0))</f>
        <v>#N/A</v>
      </c>
      <c r="Q301" s="9"/>
      <c r="R301" s="9"/>
    </row>
    <row r="302" spans="1:18">
      <c r="A302" s="8" t="s">
        <v>14</v>
      </c>
      <c r="B302" s="8" t="s">
        <v>15</v>
      </c>
      <c r="C302" s="8" t="s">
        <v>63</v>
      </c>
      <c r="D302" s="13">
        <v>498.78</v>
      </c>
      <c r="E302" s="8">
        <v>103</v>
      </c>
      <c r="F302" s="1">
        <v>57</v>
      </c>
      <c r="G302" s="1" t="str">
        <f t="shared" si="4"/>
        <v>ILICABOĞAZI10357</v>
      </c>
      <c r="H302" s="1"/>
      <c r="I302" s="9" t="e">
        <f>IF(VLOOKUP(G302,'Bereketli Satış'!J:AK,5,0)="","",VLOOKUP(G302,'Bereketli Satış'!J:AK,5,0))</f>
        <v>#N/A</v>
      </c>
      <c r="J302" s="9" t="e">
        <f>IF(VLOOKUP(G302,'Bereketli Satış'!J:AK,28,0)="","",VLOOKUP(G302,'Bereketli Satış'!J:AK,28,0))</f>
        <v>#N/A</v>
      </c>
      <c r="K302" s="9"/>
      <c r="L302" s="128"/>
      <c r="M302" s="100" t="e">
        <f>IF(VLOOKUP(G302,'Bereketli Satış'!J:AK,30,0)="","",VLOOKUP(G302,'Bereketli Satış'!J:AK,30,0))</f>
        <v>#N/A</v>
      </c>
      <c r="N302" s="100"/>
      <c r="O302" s="100"/>
      <c r="P302" s="9" t="e">
        <f>IF(VLOOKUP(G302,'Bereketli Satış'!J:AK,32,0)="","",VLOOKUP(G302,'Bereketli Satış'!J:AK,32,0))</f>
        <v>#N/A</v>
      </c>
      <c r="Q302" s="100"/>
      <c r="R302" s="100"/>
    </row>
    <row r="303" spans="1:18">
      <c r="A303" s="8" t="s">
        <v>17</v>
      </c>
      <c r="B303" s="8" t="s">
        <v>18</v>
      </c>
      <c r="C303" s="8" t="s">
        <v>64</v>
      </c>
      <c r="D303" s="8">
        <v>347.98</v>
      </c>
      <c r="E303" s="18">
        <v>108</v>
      </c>
      <c r="F303" s="8">
        <v>7</v>
      </c>
      <c r="G303" s="1" t="str">
        <f t="shared" si="4"/>
        <v>Bardakçı1087</v>
      </c>
      <c r="H303" s="8"/>
      <c r="I303" s="9" t="e">
        <f>IF(VLOOKUP(G303,'Bereketli Satış'!J:AK,5,0)="","",VLOOKUP(G303,'Bereketli Satış'!J:AK,5,0))</f>
        <v>#N/A</v>
      </c>
      <c r="J303" s="9" t="e">
        <f>IF(VLOOKUP(G303,'Bereketli Satış'!J:AK,28,0)="","",VLOOKUP(G303,'Bereketli Satış'!J:AK,28,0))</f>
        <v>#N/A</v>
      </c>
      <c r="K303" s="100"/>
      <c r="L303" s="128"/>
      <c r="M303" s="100" t="e">
        <f>IF(VLOOKUP(G303,'Bereketli Satış'!J:AK,30,0)="","",VLOOKUP(G303,'Bereketli Satış'!J:AK,30,0))</f>
        <v>#N/A</v>
      </c>
      <c r="N303" s="9"/>
      <c r="O303" s="9"/>
      <c r="P303" s="9" t="e">
        <f>IF(VLOOKUP(G303,'Bereketli Satış'!J:AK,32,0)="","",VLOOKUP(G303,'Bereketli Satış'!J:AK,32,0))</f>
        <v>#N/A</v>
      </c>
      <c r="Q303" s="9"/>
      <c r="R303" s="9"/>
    </row>
    <row r="304" spans="1:18">
      <c r="A304" s="8" t="s">
        <v>14</v>
      </c>
      <c r="B304" s="8" t="s">
        <v>15</v>
      </c>
      <c r="C304" s="8" t="s">
        <v>63</v>
      </c>
      <c r="D304" s="8">
        <v>498.78</v>
      </c>
      <c r="E304" s="8">
        <v>103</v>
      </c>
      <c r="F304" s="1">
        <v>59</v>
      </c>
      <c r="G304" s="1" t="str">
        <f t="shared" si="4"/>
        <v>ILICABOĞAZI10359</v>
      </c>
      <c r="H304" s="1"/>
      <c r="I304" s="9" t="e">
        <f>IF(VLOOKUP(G304,'Bereketli Satış'!J:AK,5,0)="","",VLOOKUP(G304,'Bereketli Satış'!J:AK,5,0))</f>
        <v>#N/A</v>
      </c>
      <c r="J304" s="9" t="e">
        <f>IF(VLOOKUP(G304,'Bereketli Satış'!J:AK,28,0)="","",VLOOKUP(G304,'Bereketli Satış'!J:AK,28,0))</f>
        <v>#N/A</v>
      </c>
      <c r="K304" s="9"/>
      <c r="L304" s="128"/>
      <c r="M304" s="100" t="e">
        <f>IF(VLOOKUP(G304,'Bereketli Satış'!J:AK,30,0)="","",VLOOKUP(G304,'Bereketli Satış'!J:AK,30,0))</f>
        <v>#N/A</v>
      </c>
      <c r="N304" s="100"/>
      <c r="O304" s="100"/>
      <c r="P304" s="9" t="e">
        <f>IF(VLOOKUP(G304,'Bereketli Satış'!J:AK,32,0)="","",VLOOKUP(G304,'Bereketli Satış'!J:AK,32,0))</f>
        <v>#N/A</v>
      </c>
      <c r="Q304" s="100"/>
      <c r="R304" s="100"/>
    </row>
    <row r="305" spans="1:18">
      <c r="A305" s="8" t="s">
        <v>14</v>
      </c>
      <c r="B305" s="8" t="s">
        <v>33</v>
      </c>
      <c r="C305" s="8" t="s">
        <v>42</v>
      </c>
      <c r="D305" s="8">
        <v>474.48</v>
      </c>
      <c r="E305" s="8">
        <v>116</v>
      </c>
      <c r="F305" s="1">
        <v>27</v>
      </c>
      <c r="G305" s="1" t="str">
        <f t="shared" si="4"/>
        <v>İBİLLER11627</v>
      </c>
      <c r="H305" s="1"/>
      <c r="I305" s="9" t="e">
        <f>IF(VLOOKUP(G305,'Bereketli Satış'!J:AK,5,0)="","",VLOOKUP(G305,'Bereketli Satış'!J:AK,5,0))</f>
        <v>#N/A</v>
      </c>
      <c r="J305" s="9" t="e">
        <f>IF(VLOOKUP(G305,'Bereketli Satış'!J:AK,28,0)="","",VLOOKUP(G305,'Bereketli Satış'!J:AK,28,0))</f>
        <v>#N/A</v>
      </c>
      <c r="K305" s="100"/>
      <c r="L305" s="128"/>
      <c r="M305" s="100" t="e">
        <f>IF(VLOOKUP(G305,'Bereketli Satış'!J:AK,30,0)="","",VLOOKUP(G305,'Bereketli Satış'!J:AK,30,0))</f>
        <v>#N/A</v>
      </c>
      <c r="N305" s="100"/>
      <c r="O305" s="100"/>
      <c r="P305" s="9" t="e">
        <f>IF(VLOOKUP(G305,'Bereketli Satış'!J:AK,32,0)="","",VLOOKUP(G305,'Bereketli Satış'!J:AK,32,0))</f>
        <v>#N/A</v>
      </c>
      <c r="Q305" s="100"/>
      <c r="R305" s="100"/>
    </row>
    <row r="306" spans="1:18">
      <c r="A306" s="8" t="s">
        <v>14</v>
      </c>
      <c r="B306" s="8" t="s">
        <v>33</v>
      </c>
      <c r="C306" s="8" t="s">
        <v>42</v>
      </c>
      <c r="D306" s="8">
        <v>476.68</v>
      </c>
      <c r="E306" s="8">
        <v>116</v>
      </c>
      <c r="F306" s="1">
        <v>26</v>
      </c>
      <c r="G306" s="1" t="str">
        <f t="shared" si="4"/>
        <v>İBİLLER11626</v>
      </c>
      <c r="H306" s="1"/>
      <c r="I306" s="9" t="e">
        <f>IF(VLOOKUP(G306,'Bereketli Satış'!J:AK,5,0)="","",VLOOKUP(G306,'Bereketli Satış'!J:AK,5,0))</f>
        <v>#N/A</v>
      </c>
      <c r="J306" s="9" t="e">
        <f>IF(VLOOKUP(G306,'Bereketli Satış'!J:AK,28,0)="","",VLOOKUP(G306,'Bereketli Satış'!J:AK,28,0))</f>
        <v>#N/A</v>
      </c>
      <c r="K306" s="100"/>
      <c r="L306" s="128"/>
      <c r="M306" s="100" t="e">
        <f>IF(VLOOKUP(G306,'Bereketli Satış'!J:AK,30,0)="","",VLOOKUP(G306,'Bereketli Satış'!J:AK,30,0))</f>
        <v>#N/A</v>
      </c>
      <c r="N306" s="9"/>
      <c r="O306" s="9"/>
      <c r="P306" s="9" t="e">
        <f>IF(VLOOKUP(G306,'Bereketli Satış'!J:AK,32,0)="","",VLOOKUP(G306,'Bereketli Satış'!J:AK,32,0))</f>
        <v>#N/A</v>
      </c>
      <c r="Q306" s="9"/>
      <c r="R306" s="9"/>
    </row>
    <row r="307" spans="1:18">
      <c r="A307" s="8" t="s">
        <v>14</v>
      </c>
      <c r="B307" s="8" t="s">
        <v>15</v>
      </c>
      <c r="C307" s="8" t="s">
        <v>63</v>
      </c>
      <c r="D307" s="13">
        <v>505.18</v>
      </c>
      <c r="E307" s="8">
        <v>103</v>
      </c>
      <c r="F307" s="1">
        <v>34</v>
      </c>
      <c r="G307" s="1" t="str">
        <f t="shared" si="4"/>
        <v>ILICABOĞAZI10334</v>
      </c>
      <c r="H307" s="1"/>
      <c r="I307" s="9" t="e">
        <f>IF(VLOOKUP(G307,'Bereketli Satış'!J:AK,5,0)="","",VLOOKUP(G307,'Bereketli Satış'!J:AK,5,0))</f>
        <v>#N/A</v>
      </c>
      <c r="J307" s="9" t="e">
        <f>IF(VLOOKUP(G307,'Bereketli Satış'!J:AK,28,0)="","",VLOOKUP(G307,'Bereketli Satış'!J:AK,28,0))</f>
        <v>#N/A</v>
      </c>
      <c r="K307" s="9"/>
      <c r="L307" s="128"/>
      <c r="M307" s="100" t="e">
        <f>IF(VLOOKUP(G307,'Bereketli Satış'!J:AK,30,0)="","",VLOOKUP(G307,'Bereketli Satış'!J:AK,30,0))</f>
        <v>#N/A</v>
      </c>
      <c r="N307" s="9"/>
      <c r="O307" s="9"/>
      <c r="P307" s="9" t="e">
        <f>IF(VLOOKUP(G307,'Bereketli Satış'!J:AK,32,0)="","",VLOOKUP(G307,'Bereketli Satış'!J:AK,32,0))</f>
        <v>#N/A</v>
      </c>
      <c r="Q307" s="9"/>
      <c r="R307" s="9"/>
    </row>
    <row r="308" spans="1:18">
      <c r="A308" s="8" t="s">
        <v>14</v>
      </c>
      <c r="B308" s="8" t="s">
        <v>15</v>
      </c>
      <c r="C308" s="8" t="s">
        <v>63</v>
      </c>
      <c r="D308" s="13">
        <v>505.18</v>
      </c>
      <c r="E308" s="8">
        <v>103</v>
      </c>
      <c r="F308" s="1">
        <v>35</v>
      </c>
      <c r="G308" s="1" t="str">
        <f t="shared" si="4"/>
        <v>ILICABOĞAZI10335</v>
      </c>
      <c r="H308" s="1"/>
      <c r="I308" s="9" t="e">
        <f>IF(VLOOKUP(G308,'Bereketli Satış'!J:AK,5,0)="","",VLOOKUP(G308,'Bereketli Satış'!J:AK,5,0))</f>
        <v>#N/A</v>
      </c>
      <c r="J308" s="9" t="e">
        <f>IF(VLOOKUP(G308,'Bereketli Satış'!J:AK,28,0)="","",VLOOKUP(G308,'Bereketli Satış'!J:AK,28,0))</f>
        <v>#N/A</v>
      </c>
      <c r="K308" s="9"/>
      <c r="L308" s="128"/>
      <c r="M308" s="100" t="e">
        <f>IF(VLOOKUP(G308,'Bereketli Satış'!J:AK,30,0)="","",VLOOKUP(G308,'Bereketli Satış'!J:AK,30,0))</f>
        <v>#N/A</v>
      </c>
      <c r="N308" s="9"/>
      <c r="O308" s="9"/>
      <c r="P308" s="9" t="e">
        <f>IF(VLOOKUP(G308,'Bereketli Satış'!J:AK,32,0)="","",VLOOKUP(G308,'Bereketli Satış'!J:AK,32,0))</f>
        <v>#N/A</v>
      </c>
      <c r="Q308" s="9"/>
      <c r="R308" s="9"/>
    </row>
    <row r="309" spans="1:18">
      <c r="A309" s="8" t="s">
        <v>14</v>
      </c>
      <c r="B309" s="8" t="s">
        <v>15</v>
      </c>
      <c r="C309" s="8" t="s">
        <v>63</v>
      </c>
      <c r="D309" s="13">
        <v>505.18</v>
      </c>
      <c r="E309" s="8">
        <v>103</v>
      </c>
      <c r="F309" s="1">
        <v>36</v>
      </c>
      <c r="G309" s="1" t="str">
        <f t="shared" si="4"/>
        <v>ILICABOĞAZI10336</v>
      </c>
      <c r="H309" s="1"/>
      <c r="I309" s="9" t="e">
        <f>IF(VLOOKUP(G309,'Bereketli Satış'!J:AK,5,0)="","",VLOOKUP(G309,'Bereketli Satış'!J:AK,5,0))</f>
        <v>#N/A</v>
      </c>
      <c r="J309" s="9" t="e">
        <f>IF(VLOOKUP(G309,'Bereketli Satış'!J:AK,28,0)="","",VLOOKUP(G309,'Bereketli Satış'!J:AK,28,0))</f>
        <v>#N/A</v>
      </c>
      <c r="K309" s="9"/>
      <c r="L309" s="128"/>
      <c r="M309" s="100" t="e">
        <f>IF(VLOOKUP(G309,'Bereketli Satış'!J:AK,30,0)="","",VLOOKUP(G309,'Bereketli Satış'!J:AK,30,0))</f>
        <v>#N/A</v>
      </c>
      <c r="N309" s="100"/>
      <c r="O309" s="100"/>
      <c r="P309" s="9" t="e">
        <f>IF(VLOOKUP(G309,'Bereketli Satış'!J:AK,32,0)="","",VLOOKUP(G309,'Bereketli Satış'!J:AK,32,0))</f>
        <v>#N/A</v>
      </c>
      <c r="Q309" s="100"/>
      <c r="R309" s="100"/>
    </row>
    <row r="310" spans="1:18">
      <c r="A310" s="8" t="s">
        <v>17</v>
      </c>
      <c r="B310" s="8" t="s">
        <v>21</v>
      </c>
      <c r="C310" s="8" t="s">
        <v>22</v>
      </c>
      <c r="D310" s="8">
        <v>60</v>
      </c>
      <c r="E310" s="18">
        <v>241</v>
      </c>
      <c r="F310" s="8">
        <v>5</v>
      </c>
      <c r="G310" s="1" t="str">
        <f t="shared" si="4"/>
        <v>KİLLİK2415</v>
      </c>
      <c r="H310" s="8"/>
      <c r="I310" s="9" t="e">
        <f>IF(VLOOKUP(G310,'Bereketli Satış'!J:AK,5,0)="","",VLOOKUP(G310,'Bereketli Satış'!J:AK,5,0))</f>
        <v>#N/A</v>
      </c>
      <c r="J310" s="9" t="e">
        <f>IF(VLOOKUP(G310,'Bereketli Satış'!J:AK,28,0)="","",VLOOKUP(G310,'Bereketli Satış'!J:AK,28,0))</f>
        <v>#N/A</v>
      </c>
      <c r="K310" s="100"/>
      <c r="L310" s="128"/>
      <c r="M310" s="100" t="e">
        <f>IF(VLOOKUP(G310,'Bereketli Satış'!J:AK,30,0)="","",VLOOKUP(G310,'Bereketli Satış'!J:AK,30,0))</f>
        <v>#N/A</v>
      </c>
      <c r="N310" s="9"/>
      <c r="O310" s="9"/>
      <c r="P310" s="9" t="e">
        <f>IF(VLOOKUP(G310,'Bereketli Satış'!J:AK,32,0)="","",VLOOKUP(G310,'Bereketli Satış'!J:AK,32,0))</f>
        <v>#N/A</v>
      </c>
      <c r="Q310" s="9"/>
      <c r="R310" s="9"/>
    </row>
    <row r="311" spans="1:18">
      <c r="A311" s="8" t="s">
        <v>14</v>
      </c>
      <c r="B311" s="8" t="s">
        <v>15</v>
      </c>
      <c r="C311" s="8" t="s">
        <v>63</v>
      </c>
      <c r="D311" s="13">
        <v>505.18</v>
      </c>
      <c r="E311" s="8">
        <v>103</v>
      </c>
      <c r="F311" s="1">
        <v>38</v>
      </c>
      <c r="G311" s="1" t="str">
        <f t="shared" si="4"/>
        <v>ILICABOĞAZI10338</v>
      </c>
      <c r="H311" s="1"/>
      <c r="I311" s="9" t="e">
        <f>IF(VLOOKUP(G311,'Bereketli Satış'!J:AK,5,0)="","",VLOOKUP(G311,'Bereketli Satış'!J:AK,5,0))</f>
        <v>#N/A</v>
      </c>
      <c r="J311" s="9" t="e">
        <f>IF(VLOOKUP(G311,'Bereketli Satış'!J:AK,28,0)="","",VLOOKUP(G311,'Bereketli Satış'!J:AK,28,0))</f>
        <v>#N/A</v>
      </c>
      <c r="K311" s="9"/>
      <c r="L311" s="128"/>
      <c r="M311" s="100" t="e">
        <f>IF(VLOOKUP(G311,'Bereketli Satış'!J:AK,30,0)="","",VLOOKUP(G311,'Bereketli Satış'!J:AK,30,0))</f>
        <v>#N/A</v>
      </c>
      <c r="N311" s="9"/>
      <c r="O311" s="9"/>
      <c r="P311" s="9" t="e">
        <f>IF(VLOOKUP(G311,'Bereketli Satış'!J:AK,32,0)="","",VLOOKUP(G311,'Bereketli Satış'!J:AK,32,0))</f>
        <v>#N/A</v>
      </c>
      <c r="Q311" s="9"/>
      <c r="R311" s="9"/>
    </row>
    <row r="312" spans="1:18">
      <c r="A312" s="8" t="s">
        <v>14</v>
      </c>
      <c r="B312" s="8" t="s">
        <v>15</v>
      </c>
      <c r="C312" s="8" t="s">
        <v>63</v>
      </c>
      <c r="D312" s="13">
        <v>504.45</v>
      </c>
      <c r="E312" s="8">
        <v>103</v>
      </c>
      <c r="F312" s="1">
        <v>42</v>
      </c>
      <c r="G312" s="1" t="str">
        <f t="shared" si="4"/>
        <v>ILICABOĞAZI10342</v>
      </c>
      <c r="H312" s="1"/>
      <c r="I312" s="9" t="e">
        <f>IF(VLOOKUP(G312,'Bereketli Satış'!J:AK,5,0)="","",VLOOKUP(G312,'Bereketli Satış'!J:AK,5,0))</f>
        <v>#N/A</v>
      </c>
      <c r="J312" s="9" t="e">
        <f>IF(VLOOKUP(G312,'Bereketli Satış'!J:AK,28,0)="","",VLOOKUP(G312,'Bereketli Satış'!J:AK,28,0))</f>
        <v>#N/A</v>
      </c>
      <c r="K312" s="9"/>
      <c r="L312" s="128"/>
      <c r="M312" s="100" t="e">
        <f>IF(VLOOKUP(G312,'Bereketli Satış'!J:AK,30,0)="","",VLOOKUP(G312,'Bereketli Satış'!J:AK,30,0))</f>
        <v>#N/A</v>
      </c>
      <c r="N312" s="9"/>
      <c r="O312" s="9"/>
      <c r="P312" s="9" t="e">
        <f>IF(VLOOKUP(G312,'Bereketli Satış'!J:AK,32,0)="","",VLOOKUP(G312,'Bereketli Satış'!J:AK,32,0))</f>
        <v>#N/A</v>
      </c>
      <c r="Q312" s="9"/>
      <c r="R312" s="9"/>
    </row>
    <row r="313" spans="1:18">
      <c r="A313" s="8" t="s">
        <v>14</v>
      </c>
      <c r="B313" s="8" t="s">
        <v>15</v>
      </c>
      <c r="C313" s="8" t="s">
        <v>63</v>
      </c>
      <c r="D313" s="13">
        <v>504.46</v>
      </c>
      <c r="E313" s="8">
        <v>103</v>
      </c>
      <c r="F313" s="1">
        <v>43</v>
      </c>
      <c r="G313" s="1" t="str">
        <f t="shared" si="4"/>
        <v>ILICABOĞAZI10343</v>
      </c>
      <c r="H313" s="1"/>
      <c r="I313" s="9" t="e">
        <f>IF(VLOOKUP(G313,'Bereketli Satış'!J:AK,5,0)="","",VLOOKUP(G313,'Bereketli Satış'!J:AK,5,0))</f>
        <v>#N/A</v>
      </c>
      <c r="J313" s="9" t="e">
        <f>IF(VLOOKUP(G313,'Bereketli Satış'!J:AK,28,0)="","",VLOOKUP(G313,'Bereketli Satış'!J:AK,28,0))</f>
        <v>#N/A</v>
      </c>
      <c r="K313" s="9"/>
      <c r="L313" s="128"/>
      <c r="M313" s="100" t="e">
        <f>IF(VLOOKUP(G313,'Bereketli Satış'!J:AK,30,0)="","",VLOOKUP(G313,'Bereketli Satış'!J:AK,30,0))</f>
        <v>#N/A</v>
      </c>
      <c r="N313" s="9"/>
      <c r="O313" s="9"/>
      <c r="P313" s="9" t="e">
        <f>IF(VLOOKUP(G313,'Bereketli Satış'!J:AK,32,0)="","",VLOOKUP(G313,'Bereketli Satış'!J:AK,32,0))</f>
        <v>#N/A</v>
      </c>
      <c r="Q313" s="9"/>
      <c r="R313" s="9"/>
    </row>
    <row r="314" spans="1:18">
      <c r="A314" s="8" t="s">
        <v>14</v>
      </c>
      <c r="B314" s="8" t="s">
        <v>15</v>
      </c>
      <c r="C314" s="8" t="s">
        <v>63</v>
      </c>
      <c r="D314" s="13">
        <v>504.44</v>
      </c>
      <c r="E314" s="8">
        <v>103</v>
      </c>
      <c r="F314" s="1">
        <v>44</v>
      </c>
      <c r="G314" s="1" t="str">
        <f t="shared" si="4"/>
        <v>ILICABOĞAZI10344</v>
      </c>
      <c r="H314" s="1"/>
      <c r="I314" s="9" t="e">
        <f>IF(VLOOKUP(G314,'Bereketli Satış'!J:AK,5,0)="","",VLOOKUP(G314,'Bereketli Satış'!J:AK,5,0))</f>
        <v>#N/A</v>
      </c>
      <c r="J314" s="9" t="e">
        <f>IF(VLOOKUP(G314,'Bereketli Satış'!J:AK,28,0)="","",VLOOKUP(G314,'Bereketli Satış'!J:AK,28,0))</f>
        <v>#N/A</v>
      </c>
      <c r="K314" s="9"/>
      <c r="L314" s="128"/>
      <c r="M314" s="100" t="e">
        <f>IF(VLOOKUP(G314,'Bereketli Satış'!J:AK,30,0)="","",VLOOKUP(G314,'Bereketli Satış'!J:AK,30,0))</f>
        <v>#N/A</v>
      </c>
      <c r="N314" s="9"/>
      <c r="O314" s="9"/>
      <c r="P314" s="9" t="e">
        <f>IF(VLOOKUP(G314,'Bereketli Satış'!J:AK,32,0)="","",VLOOKUP(G314,'Bereketli Satış'!J:AK,32,0))</f>
        <v>#N/A</v>
      </c>
      <c r="Q314" s="9"/>
      <c r="R314" s="9"/>
    </row>
    <row r="315" spans="1:18">
      <c r="A315" s="8" t="s">
        <v>14</v>
      </c>
      <c r="B315" s="8" t="s">
        <v>15</v>
      </c>
      <c r="C315" s="8" t="s">
        <v>63</v>
      </c>
      <c r="D315" s="13">
        <v>504.46</v>
      </c>
      <c r="E315" s="8">
        <v>103</v>
      </c>
      <c r="F315" s="1">
        <v>45</v>
      </c>
      <c r="G315" s="1" t="str">
        <f t="shared" si="4"/>
        <v>ILICABOĞAZI10345</v>
      </c>
      <c r="H315" s="1">
        <v>134707900</v>
      </c>
      <c r="I315" s="9" t="e">
        <f>IF(VLOOKUP(G315,'Bereketli Satış'!J:AK,5,0)="","",VLOOKUP(G315,'Bereketli Satış'!J:AK,5,0))</f>
        <v>#N/A</v>
      </c>
      <c r="J315" s="9" t="e">
        <f>IF(VLOOKUP(G315,'Bereketli Satış'!J:AK,28,0)="","",VLOOKUP(G315,'Bereketli Satış'!J:AK,28,0))</f>
        <v>#N/A</v>
      </c>
      <c r="K315" s="9"/>
      <c r="L315" s="128"/>
      <c r="M315" s="100" t="e">
        <f>IF(VLOOKUP(G315,'Bereketli Satış'!J:AK,30,0)="","",VLOOKUP(G315,'Bereketli Satış'!J:AK,30,0))</f>
        <v>#N/A</v>
      </c>
      <c r="N315" s="9"/>
      <c r="O315" s="9"/>
      <c r="P315" s="9" t="e">
        <f>IF(VLOOKUP(G315,'Bereketli Satış'!J:AK,32,0)="","",VLOOKUP(G315,'Bereketli Satış'!J:AK,32,0))</f>
        <v>#N/A</v>
      </c>
      <c r="Q315" s="9"/>
      <c r="R315" s="9"/>
    </row>
    <row r="316" spans="1:18">
      <c r="A316" s="101" t="s">
        <v>14</v>
      </c>
      <c r="B316" s="8" t="s">
        <v>15</v>
      </c>
      <c r="C316" s="8" t="s">
        <v>63</v>
      </c>
      <c r="D316" s="13">
        <v>504.46</v>
      </c>
      <c r="E316" s="8">
        <v>103</v>
      </c>
      <c r="F316" s="1">
        <v>46</v>
      </c>
      <c r="G316" s="1" t="str">
        <f t="shared" si="4"/>
        <v>ILICABOĞAZI10346</v>
      </c>
      <c r="H316" s="1"/>
      <c r="I316" s="9" t="e">
        <f>IF(VLOOKUP(G316,'Bereketli Satış'!J:AK,5,0)="","",VLOOKUP(G316,'Bereketli Satış'!J:AK,5,0))</f>
        <v>#N/A</v>
      </c>
      <c r="J316" s="9" t="e">
        <f>IF(VLOOKUP(G316,'Bereketli Satış'!J:AK,28,0)="","",VLOOKUP(G316,'Bereketli Satış'!J:AK,28,0))</f>
        <v>#N/A</v>
      </c>
      <c r="K316" s="9"/>
      <c r="L316" s="128"/>
      <c r="M316" s="100" t="e">
        <f>IF(VLOOKUP(G316,'Bereketli Satış'!J:AK,30,0)="","",VLOOKUP(G316,'Bereketli Satış'!J:AK,30,0))</f>
        <v>#N/A</v>
      </c>
      <c r="N316" s="9"/>
      <c r="O316" s="9"/>
      <c r="P316" s="9" t="e">
        <f>IF(VLOOKUP(G316,'Bereketli Satış'!J:AK,32,0)="","",VLOOKUP(G316,'Bereketli Satış'!J:AK,32,0))</f>
        <v>#N/A</v>
      </c>
      <c r="Q316" s="9"/>
      <c r="R316" s="9"/>
    </row>
    <row r="317" spans="1:18">
      <c r="A317" s="8" t="s">
        <v>49</v>
      </c>
      <c r="B317" s="8" t="s">
        <v>50</v>
      </c>
      <c r="C317" s="8" t="s">
        <v>51</v>
      </c>
      <c r="D317" s="8">
        <v>503</v>
      </c>
      <c r="E317" s="8">
        <v>0</v>
      </c>
      <c r="F317" s="8">
        <v>820</v>
      </c>
      <c r="G317" s="1" t="str">
        <f t="shared" si="4"/>
        <v>KAHVETEPE0820</v>
      </c>
      <c r="H317" s="8"/>
      <c r="I317" s="9" t="e">
        <f>IF(VLOOKUP(G317,'Bereketli Satış'!J:AK,5,0)="","",VLOOKUP(G317,'Bereketli Satış'!J:AK,5,0))</f>
        <v>#N/A</v>
      </c>
      <c r="J317" s="9" t="e">
        <f>IF(VLOOKUP(G317,'Bereketli Satış'!J:AK,28,0)="","",VLOOKUP(G317,'Bereketli Satış'!J:AK,28,0))</f>
        <v>#N/A</v>
      </c>
      <c r="K317" s="9"/>
      <c r="L317" s="128"/>
      <c r="M317" s="100" t="e">
        <f>IF(VLOOKUP(G317,'Bereketli Satış'!J:AK,30,0)="","",VLOOKUP(G317,'Bereketli Satış'!J:AK,30,0))</f>
        <v>#N/A</v>
      </c>
      <c r="N317" s="9"/>
      <c r="O317" s="9"/>
      <c r="P317" s="9" t="e">
        <f>IF(VLOOKUP(G317,'Bereketli Satış'!J:AK,32,0)="","",VLOOKUP(G317,'Bereketli Satış'!J:AK,32,0))</f>
        <v>#N/A</v>
      </c>
      <c r="Q317" s="9"/>
      <c r="R317" s="9"/>
    </row>
    <row r="318" spans="1:18">
      <c r="A318" s="8" t="s">
        <v>49</v>
      </c>
      <c r="B318" s="8" t="s">
        <v>50</v>
      </c>
      <c r="C318" s="8" t="s">
        <v>51</v>
      </c>
      <c r="D318" s="8">
        <v>504</v>
      </c>
      <c r="E318" s="8">
        <v>0</v>
      </c>
      <c r="F318" s="8">
        <v>821</v>
      </c>
      <c r="G318" s="1" t="str">
        <f t="shared" si="4"/>
        <v>KAHVETEPE0821</v>
      </c>
      <c r="H318" s="8"/>
      <c r="I318" s="9" t="e">
        <f>IF(VLOOKUP(G318,'Bereketli Satış'!J:AK,5,0)="","",VLOOKUP(G318,'Bereketli Satış'!J:AK,5,0))</f>
        <v>#N/A</v>
      </c>
      <c r="J318" s="9" t="e">
        <f>IF(VLOOKUP(G318,'Bereketli Satış'!J:AK,28,0)="","",VLOOKUP(G318,'Bereketli Satış'!J:AK,28,0))</f>
        <v>#N/A</v>
      </c>
      <c r="K318" s="9"/>
      <c r="L318" s="128"/>
      <c r="M318" s="100" t="e">
        <f>IF(VLOOKUP(G318,'Bereketli Satış'!J:AK,30,0)="","",VLOOKUP(G318,'Bereketli Satış'!J:AK,30,0))</f>
        <v>#N/A</v>
      </c>
      <c r="N318" s="9"/>
      <c r="O318" s="9"/>
      <c r="P318" s="9" t="e">
        <f>IF(VLOOKUP(G318,'Bereketli Satış'!J:AK,32,0)="","",VLOOKUP(G318,'Bereketli Satış'!J:AK,32,0))</f>
        <v>#N/A</v>
      </c>
      <c r="Q318" s="9"/>
      <c r="R318" s="9"/>
    </row>
    <row r="319" spans="1:18">
      <c r="A319" s="8" t="s">
        <v>14</v>
      </c>
      <c r="B319" s="8" t="s">
        <v>15</v>
      </c>
      <c r="C319" s="8" t="s">
        <v>63</v>
      </c>
      <c r="D319" s="13">
        <v>505.78</v>
      </c>
      <c r="E319" s="8">
        <v>103</v>
      </c>
      <c r="F319" s="1">
        <v>62</v>
      </c>
      <c r="G319" s="1" t="str">
        <f t="shared" si="4"/>
        <v>ILICABOĞAZI10362</v>
      </c>
      <c r="H319" s="1"/>
      <c r="I319" s="9" t="e">
        <f>IF(VLOOKUP(G319,'Bereketli Satış'!J:AK,5,0)="","",VLOOKUP(G319,'Bereketli Satış'!J:AK,5,0))</f>
        <v>#N/A</v>
      </c>
      <c r="J319" s="9" t="e">
        <f>IF(VLOOKUP(G319,'Bereketli Satış'!J:AK,28,0)="","",VLOOKUP(G319,'Bereketli Satış'!J:AK,28,0))</f>
        <v>#N/A</v>
      </c>
      <c r="K319" s="9"/>
      <c r="L319" s="128"/>
      <c r="M319" s="100" t="e">
        <f>IF(VLOOKUP(G319,'Bereketli Satış'!J:AK,30,0)="","",VLOOKUP(G319,'Bereketli Satış'!J:AK,30,0))</f>
        <v>#N/A</v>
      </c>
      <c r="N319" s="9"/>
      <c r="O319" s="9"/>
      <c r="P319" s="9" t="e">
        <f>IF(VLOOKUP(G319,'Bereketli Satış'!J:AK,32,0)="","",VLOOKUP(G319,'Bereketli Satış'!J:AK,32,0))</f>
        <v>#N/A</v>
      </c>
      <c r="Q319" s="9"/>
      <c r="R319" s="9"/>
    </row>
    <row r="320" spans="1:18">
      <c r="A320" s="8" t="s">
        <v>14</v>
      </c>
      <c r="B320" s="8" t="s">
        <v>15</v>
      </c>
      <c r="C320" s="8" t="s">
        <v>63</v>
      </c>
      <c r="D320" s="13">
        <v>505.79</v>
      </c>
      <c r="E320" s="8">
        <v>103</v>
      </c>
      <c r="F320" s="1">
        <v>63</v>
      </c>
      <c r="G320" s="1" t="str">
        <f t="shared" si="4"/>
        <v>ILICABOĞAZI10363</v>
      </c>
      <c r="H320" s="1"/>
      <c r="I320" s="9" t="e">
        <f>IF(VLOOKUP(G320,'Bereketli Satış'!J:AK,5,0)="","",VLOOKUP(G320,'Bereketli Satış'!J:AK,5,0))</f>
        <v>#N/A</v>
      </c>
      <c r="J320" s="9" t="e">
        <f>IF(VLOOKUP(G320,'Bereketli Satış'!J:AK,28,0)="","",VLOOKUP(G320,'Bereketli Satış'!J:AK,28,0))</f>
        <v>#N/A</v>
      </c>
      <c r="K320" s="9"/>
      <c r="L320" s="128"/>
      <c r="M320" s="100" t="e">
        <f>IF(VLOOKUP(G320,'Bereketli Satış'!J:AK,30,0)="","",VLOOKUP(G320,'Bereketli Satış'!J:AK,30,0))</f>
        <v>#N/A</v>
      </c>
      <c r="N320" s="9"/>
      <c r="O320" s="9"/>
      <c r="P320" s="9" t="e">
        <f>IF(VLOOKUP(G320,'Bereketli Satış'!J:AK,32,0)="","",VLOOKUP(G320,'Bereketli Satış'!J:AK,32,0))</f>
        <v>#N/A</v>
      </c>
      <c r="Q320" s="9"/>
      <c r="R320" s="9"/>
    </row>
    <row r="321" spans="1:18">
      <c r="A321" s="8" t="s">
        <v>14</v>
      </c>
      <c r="B321" s="8" t="s">
        <v>15</v>
      </c>
      <c r="C321" s="8" t="s">
        <v>63</v>
      </c>
      <c r="D321" s="13">
        <v>505.78</v>
      </c>
      <c r="E321" s="8">
        <v>103</v>
      </c>
      <c r="F321" s="1">
        <v>64</v>
      </c>
      <c r="G321" s="1" t="str">
        <f t="shared" si="4"/>
        <v>ILICABOĞAZI10364</v>
      </c>
      <c r="H321" s="1"/>
      <c r="I321" s="9" t="e">
        <f>IF(VLOOKUP(G321,'Bereketli Satış'!J:AK,5,0)="","",VLOOKUP(G321,'Bereketli Satış'!J:AK,5,0))</f>
        <v>#N/A</v>
      </c>
      <c r="J321" s="9" t="e">
        <f>IF(VLOOKUP(G321,'Bereketli Satış'!J:AK,28,0)="","",VLOOKUP(G321,'Bereketli Satış'!J:AK,28,0))</f>
        <v>#N/A</v>
      </c>
      <c r="K321" s="9"/>
      <c r="L321" s="128"/>
      <c r="M321" s="100" t="e">
        <f>IF(VLOOKUP(G321,'Bereketli Satış'!J:AK,30,0)="","",VLOOKUP(G321,'Bereketli Satış'!J:AK,30,0))</f>
        <v>#N/A</v>
      </c>
      <c r="N321" s="9"/>
      <c r="O321" s="9"/>
      <c r="P321" s="9" t="e">
        <f>IF(VLOOKUP(G321,'Bereketli Satış'!J:AK,32,0)="","",VLOOKUP(G321,'Bereketli Satış'!J:AK,32,0))</f>
        <v>#N/A</v>
      </c>
      <c r="Q321" s="9"/>
      <c r="R321" s="9"/>
    </row>
    <row r="322" spans="1:18">
      <c r="A322" s="8" t="s">
        <v>14</v>
      </c>
      <c r="B322" s="8" t="s">
        <v>15</v>
      </c>
      <c r="C322" s="8" t="s">
        <v>63</v>
      </c>
      <c r="D322" s="13">
        <v>505.77</v>
      </c>
      <c r="E322" s="8">
        <v>103</v>
      </c>
      <c r="F322" s="1">
        <v>65</v>
      </c>
      <c r="G322" s="1" t="str">
        <f t="shared" si="4"/>
        <v>ILICABOĞAZI10365</v>
      </c>
      <c r="H322" s="1"/>
      <c r="I322" s="9" t="e">
        <f>IF(VLOOKUP(G322,'Bereketli Satış'!J:AK,5,0)="","",VLOOKUP(G322,'Bereketli Satış'!J:AK,5,0))</f>
        <v>#N/A</v>
      </c>
      <c r="J322" s="9" t="e">
        <f>IF(VLOOKUP(G322,'Bereketli Satış'!J:AK,28,0)="","",VLOOKUP(G322,'Bereketli Satış'!J:AK,28,0))</f>
        <v>#N/A</v>
      </c>
      <c r="K322" s="9"/>
      <c r="L322" s="128"/>
      <c r="M322" s="100" t="e">
        <f>IF(VLOOKUP(G322,'Bereketli Satış'!J:AK,30,0)="","",VLOOKUP(G322,'Bereketli Satış'!J:AK,30,0))</f>
        <v>#N/A</v>
      </c>
      <c r="N322" s="9"/>
      <c r="O322" s="9"/>
      <c r="P322" s="9" t="e">
        <f>IF(VLOOKUP(G322,'Bereketli Satış'!J:AK,32,0)="","",VLOOKUP(G322,'Bereketli Satış'!J:AK,32,0))</f>
        <v>#N/A</v>
      </c>
      <c r="Q322" s="9"/>
      <c r="R322" s="9"/>
    </row>
    <row r="323" spans="1:18">
      <c r="A323" s="8" t="s">
        <v>14</v>
      </c>
      <c r="B323" s="8" t="s">
        <v>15</v>
      </c>
      <c r="C323" s="8" t="s">
        <v>63</v>
      </c>
      <c r="D323" s="13">
        <v>505.79</v>
      </c>
      <c r="E323" s="8">
        <v>103</v>
      </c>
      <c r="F323" s="1">
        <v>66</v>
      </c>
      <c r="G323" s="1" t="str">
        <f t="shared" ref="G323:G386" si="5">C323&amp;E323&amp;F323</f>
        <v>ILICABOĞAZI10366</v>
      </c>
      <c r="H323" s="1"/>
      <c r="I323" s="9" t="e">
        <f>IF(VLOOKUP(G323,'Bereketli Satış'!J:AK,5,0)="","",VLOOKUP(G323,'Bereketli Satış'!J:AK,5,0))</f>
        <v>#N/A</v>
      </c>
      <c r="J323" s="9" t="e">
        <f>IF(VLOOKUP(G323,'Bereketli Satış'!J:AK,28,0)="","",VLOOKUP(G323,'Bereketli Satış'!J:AK,28,0))</f>
        <v>#N/A</v>
      </c>
      <c r="K323" s="9"/>
      <c r="L323" s="128"/>
      <c r="M323" s="100" t="e">
        <f>IF(VLOOKUP(G323,'Bereketli Satış'!J:AK,30,0)="","",VLOOKUP(G323,'Bereketli Satış'!J:AK,30,0))</f>
        <v>#N/A</v>
      </c>
      <c r="N323" s="9"/>
      <c r="O323" s="9"/>
      <c r="P323" s="9" t="e">
        <f>IF(VLOOKUP(G323,'Bereketli Satış'!J:AK,32,0)="","",VLOOKUP(G323,'Bereketli Satış'!J:AK,32,0))</f>
        <v>#N/A</v>
      </c>
      <c r="Q323" s="9"/>
      <c r="R323" s="9"/>
    </row>
    <row r="324" spans="1:18">
      <c r="A324" s="8" t="s">
        <v>17</v>
      </c>
      <c r="B324" s="8" t="s">
        <v>57</v>
      </c>
      <c r="C324" s="8" t="s">
        <v>58</v>
      </c>
      <c r="D324" s="8">
        <v>578</v>
      </c>
      <c r="E324" s="8">
        <v>0</v>
      </c>
      <c r="F324" s="3">
        <v>969</v>
      </c>
      <c r="G324" s="1" t="str">
        <f t="shared" si="5"/>
        <v>MİLİNGE0969</v>
      </c>
      <c r="H324" s="3"/>
      <c r="I324" s="9" t="e">
        <f>IF(VLOOKUP(G324,'Bereketli Satış'!J:AK,5,0)="","",VLOOKUP(G324,'Bereketli Satış'!J:AK,5,0))</f>
        <v>#N/A</v>
      </c>
      <c r="J324" s="9" t="e">
        <f>IF(VLOOKUP(G324,'Bereketli Satış'!J:AK,28,0)="","",VLOOKUP(G324,'Bereketli Satış'!J:AK,28,0))</f>
        <v>#N/A</v>
      </c>
      <c r="K324" s="9"/>
      <c r="L324" s="128"/>
      <c r="M324" s="100" t="e">
        <f>IF(VLOOKUP(G324,'Bereketli Satış'!J:AK,30,0)="","",VLOOKUP(G324,'Bereketli Satış'!J:AK,30,0))</f>
        <v>#N/A</v>
      </c>
      <c r="N324" s="100"/>
      <c r="O324" s="100"/>
      <c r="P324" s="9" t="e">
        <f>IF(VLOOKUP(G324,'Bereketli Satış'!J:AK,32,0)="","",VLOOKUP(G324,'Bereketli Satış'!J:AK,32,0))</f>
        <v>#N/A</v>
      </c>
      <c r="Q324" s="100"/>
      <c r="R324" s="100"/>
    </row>
    <row r="325" spans="1:18">
      <c r="A325" s="8" t="s">
        <v>14</v>
      </c>
      <c r="B325" s="8" t="s">
        <v>33</v>
      </c>
      <c r="C325" s="8" t="s">
        <v>42</v>
      </c>
      <c r="D325" s="8">
        <v>478.86</v>
      </c>
      <c r="E325" s="8">
        <v>116</v>
      </c>
      <c r="F325" s="1">
        <v>25</v>
      </c>
      <c r="G325" s="1" t="str">
        <f t="shared" si="5"/>
        <v>İBİLLER11625</v>
      </c>
      <c r="H325" s="1"/>
      <c r="I325" s="9" t="e">
        <f>IF(VLOOKUP(G325,'Bereketli Satış'!J:AK,5,0)="","",VLOOKUP(G325,'Bereketli Satış'!J:AK,5,0))</f>
        <v>#N/A</v>
      </c>
      <c r="J325" s="9" t="e">
        <f>IF(VLOOKUP(G325,'Bereketli Satış'!J:AK,28,0)="","",VLOOKUP(G325,'Bereketli Satış'!J:AK,28,0))</f>
        <v>#N/A</v>
      </c>
      <c r="K325" s="100"/>
      <c r="L325" s="128"/>
      <c r="M325" s="100" t="e">
        <f>IF(VLOOKUP(G325,'Bereketli Satış'!J:AK,30,0)="","",VLOOKUP(G325,'Bereketli Satış'!J:AK,30,0))</f>
        <v>#N/A</v>
      </c>
      <c r="N325" s="100"/>
      <c r="O325" s="100"/>
      <c r="P325" s="9" t="e">
        <f>IF(VLOOKUP(G325,'Bereketli Satış'!J:AK,32,0)="","",VLOOKUP(G325,'Bereketli Satış'!J:AK,32,0))</f>
        <v>#N/A</v>
      </c>
      <c r="Q325" s="100"/>
      <c r="R325" s="100"/>
    </row>
    <row r="326" spans="1:18">
      <c r="A326" s="8" t="s">
        <v>14</v>
      </c>
      <c r="B326" s="8" t="s">
        <v>33</v>
      </c>
      <c r="C326" s="8" t="s">
        <v>42</v>
      </c>
      <c r="D326" s="8">
        <v>481.05</v>
      </c>
      <c r="E326" s="8">
        <v>116</v>
      </c>
      <c r="F326" s="1">
        <v>24</v>
      </c>
      <c r="G326" s="1" t="str">
        <f t="shared" si="5"/>
        <v>İBİLLER11624</v>
      </c>
      <c r="H326" s="1"/>
      <c r="I326" s="9" t="e">
        <f>IF(VLOOKUP(G326,'Bereketli Satış'!J:AK,5,0)="","",VLOOKUP(G326,'Bereketli Satış'!J:AK,5,0))</f>
        <v>#N/A</v>
      </c>
      <c r="J326" s="9" t="e">
        <f>IF(VLOOKUP(G326,'Bereketli Satış'!J:AK,28,0)="","",VLOOKUP(G326,'Bereketli Satış'!J:AK,28,0))</f>
        <v>#N/A</v>
      </c>
      <c r="K326" s="100"/>
      <c r="L326" s="128"/>
      <c r="M326" s="100" t="e">
        <f>IF(VLOOKUP(G326,'Bereketli Satış'!J:AK,30,0)="","",VLOOKUP(G326,'Bereketli Satış'!J:AK,30,0))</f>
        <v>#N/A</v>
      </c>
      <c r="N326" s="9"/>
      <c r="O326" s="9"/>
      <c r="P326" s="9" t="e">
        <f>IF(VLOOKUP(G326,'Bereketli Satış'!J:AK,32,0)="","",VLOOKUP(G326,'Bereketli Satış'!J:AK,32,0))</f>
        <v>#N/A</v>
      </c>
      <c r="Q326" s="9"/>
      <c r="R326" s="9"/>
    </row>
    <row r="327" spans="1:18">
      <c r="A327" s="8" t="s">
        <v>14</v>
      </c>
      <c r="B327" s="8" t="s">
        <v>15</v>
      </c>
      <c r="C327" s="8" t="s">
        <v>63</v>
      </c>
      <c r="D327" s="13">
        <v>507.76</v>
      </c>
      <c r="E327" s="8">
        <v>103</v>
      </c>
      <c r="F327" s="1">
        <v>50</v>
      </c>
      <c r="G327" s="1" t="str">
        <f t="shared" si="5"/>
        <v>ILICABOĞAZI10350</v>
      </c>
      <c r="H327" s="1"/>
      <c r="I327" s="9" t="e">
        <f>IF(VLOOKUP(G327,'Bereketli Satış'!J:AK,5,0)="","",VLOOKUP(G327,'Bereketli Satış'!J:AK,5,0))</f>
        <v>#N/A</v>
      </c>
      <c r="J327" s="9" t="e">
        <f>IF(VLOOKUP(G327,'Bereketli Satış'!J:AK,28,0)="","",VLOOKUP(G327,'Bereketli Satış'!J:AK,28,0))</f>
        <v>#N/A</v>
      </c>
      <c r="K327" s="9"/>
      <c r="L327" s="128"/>
      <c r="M327" s="100" t="e">
        <f>IF(VLOOKUP(G327,'Bereketli Satış'!J:AK,30,0)="","",VLOOKUP(G327,'Bereketli Satış'!J:AK,30,0))</f>
        <v>#N/A</v>
      </c>
      <c r="N327" s="9"/>
      <c r="O327" s="9"/>
      <c r="P327" s="9" t="e">
        <f>IF(VLOOKUP(G327,'Bereketli Satış'!J:AK,32,0)="","",VLOOKUP(G327,'Bereketli Satış'!J:AK,32,0))</f>
        <v>#N/A</v>
      </c>
      <c r="Q327" s="9"/>
      <c r="R327" s="9"/>
    </row>
    <row r="328" spans="1:18">
      <c r="A328" s="8" t="s">
        <v>14</v>
      </c>
      <c r="B328" s="8" t="s">
        <v>15</v>
      </c>
      <c r="C328" s="8" t="s">
        <v>63</v>
      </c>
      <c r="D328" s="13">
        <v>507.78</v>
      </c>
      <c r="E328" s="8">
        <v>103</v>
      </c>
      <c r="F328" s="1">
        <v>51</v>
      </c>
      <c r="G328" s="1" t="str">
        <f t="shared" si="5"/>
        <v>ILICABOĞAZI10351</v>
      </c>
      <c r="H328" s="1"/>
      <c r="I328" s="9" t="e">
        <f>IF(VLOOKUP(G328,'Bereketli Satış'!J:AK,5,0)="","",VLOOKUP(G328,'Bereketli Satış'!J:AK,5,0))</f>
        <v>#N/A</v>
      </c>
      <c r="J328" s="9" t="e">
        <f>IF(VLOOKUP(G328,'Bereketli Satış'!J:AK,28,0)="","",VLOOKUP(G328,'Bereketli Satış'!J:AK,28,0))</f>
        <v>#N/A</v>
      </c>
      <c r="K328" s="9"/>
      <c r="L328" s="128"/>
      <c r="M328" s="100" t="e">
        <f>IF(VLOOKUP(G328,'Bereketli Satış'!J:AK,30,0)="","",VLOOKUP(G328,'Bereketli Satış'!J:AK,30,0))</f>
        <v>#N/A</v>
      </c>
      <c r="N328" s="9"/>
      <c r="O328" s="9"/>
      <c r="P328" s="9" t="e">
        <f>IF(VLOOKUP(G328,'Bereketli Satış'!J:AK,32,0)="","",VLOOKUP(G328,'Bereketli Satış'!J:AK,32,0))</f>
        <v>#N/A</v>
      </c>
      <c r="Q328" s="9"/>
      <c r="R328" s="9"/>
    </row>
    <row r="329" spans="1:18">
      <c r="A329" s="8" t="s">
        <v>14</v>
      </c>
      <c r="B329" s="8" t="s">
        <v>15</v>
      </c>
      <c r="C329" s="8" t="s">
        <v>63</v>
      </c>
      <c r="D329" s="13">
        <v>507.78</v>
      </c>
      <c r="E329" s="8">
        <v>103</v>
      </c>
      <c r="F329" s="1">
        <v>52</v>
      </c>
      <c r="G329" s="1" t="str">
        <f t="shared" si="5"/>
        <v>ILICABOĞAZI10352</v>
      </c>
      <c r="H329" s="1"/>
      <c r="I329" s="9" t="e">
        <f>IF(VLOOKUP(G329,'Bereketli Satış'!J:AK,5,0)="","",VLOOKUP(G329,'Bereketli Satış'!J:AK,5,0))</f>
        <v>#N/A</v>
      </c>
      <c r="J329" s="9" t="e">
        <f>IF(VLOOKUP(G329,'Bereketli Satış'!J:AK,28,0)="","",VLOOKUP(G329,'Bereketli Satış'!J:AK,28,0))</f>
        <v>#N/A</v>
      </c>
      <c r="K329" s="9"/>
      <c r="L329" s="128"/>
      <c r="M329" s="100" t="e">
        <f>IF(VLOOKUP(G329,'Bereketli Satış'!J:AK,30,0)="","",VLOOKUP(G329,'Bereketli Satış'!J:AK,30,0))</f>
        <v>#N/A</v>
      </c>
      <c r="N329" s="9"/>
      <c r="O329" s="9"/>
      <c r="P329" s="9" t="e">
        <f>IF(VLOOKUP(G329,'Bereketli Satış'!J:AK,32,0)="","",VLOOKUP(G329,'Bereketli Satış'!J:AK,32,0))</f>
        <v>#N/A</v>
      </c>
      <c r="Q329" s="9"/>
      <c r="R329" s="9"/>
    </row>
    <row r="330" spans="1:18">
      <c r="A330" s="8" t="s">
        <v>14</v>
      </c>
      <c r="B330" s="8" t="s">
        <v>15</v>
      </c>
      <c r="C330" s="8" t="s">
        <v>63</v>
      </c>
      <c r="D330" s="13">
        <v>507.78</v>
      </c>
      <c r="E330" s="8">
        <v>103</v>
      </c>
      <c r="F330" s="1">
        <v>53</v>
      </c>
      <c r="G330" s="1" t="str">
        <f t="shared" si="5"/>
        <v>ILICABOĞAZI10353</v>
      </c>
      <c r="H330" s="1"/>
      <c r="I330" s="9" t="e">
        <f>IF(VLOOKUP(G330,'Bereketli Satış'!J:AK,5,0)="","",VLOOKUP(G330,'Bereketli Satış'!J:AK,5,0))</f>
        <v>#N/A</v>
      </c>
      <c r="J330" s="9" t="e">
        <f>IF(VLOOKUP(G330,'Bereketli Satış'!J:AK,28,0)="","",VLOOKUP(G330,'Bereketli Satış'!J:AK,28,0))</f>
        <v>#N/A</v>
      </c>
      <c r="K330" s="9"/>
      <c r="L330" s="128"/>
      <c r="M330" s="100" t="e">
        <f>IF(VLOOKUP(G330,'Bereketli Satış'!J:AK,30,0)="","",VLOOKUP(G330,'Bereketli Satış'!J:AK,30,0))</f>
        <v>#N/A</v>
      </c>
      <c r="N330" s="9"/>
      <c r="O330" s="9"/>
      <c r="P330" s="9" t="e">
        <f>IF(VLOOKUP(G330,'Bereketli Satış'!J:AK,32,0)="","",VLOOKUP(G330,'Bereketli Satış'!J:AK,32,0))</f>
        <v>#N/A</v>
      </c>
      <c r="Q330" s="9"/>
      <c r="R330" s="9"/>
    </row>
    <row r="331" spans="1:18">
      <c r="A331" s="8" t="s">
        <v>14</v>
      </c>
      <c r="B331" s="8" t="s">
        <v>15</v>
      </c>
      <c r="C331" s="8" t="s">
        <v>63</v>
      </c>
      <c r="D331" s="13">
        <v>507.77</v>
      </c>
      <c r="E331" s="8">
        <v>103</v>
      </c>
      <c r="F331" s="1">
        <v>54</v>
      </c>
      <c r="G331" s="1" t="str">
        <f t="shared" si="5"/>
        <v>ILICABOĞAZI10354</v>
      </c>
      <c r="H331" s="1"/>
      <c r="I331" s="9" t="e">
        <f>IF(VLOOKUP(G331,'Bereketli Satış'!J:AK,5,0)="","",VLOOKUP(G331,'Bereketli Satış'!J:AK,5,0))</f>
        <v>#N/A</v>
      </c>
      <c r="J331" s="9" t="e">
        <f>IF(VLOOKUP(G331,'Bereketli Satış'!J:AK,28,0)="","",VLOOKUP(G331,'Bereketli Satış'!J:AK,28,0))</f>
        <v>#N/A</v>
      </c>
      <c r="K331" s="9"/>
      <c r="L331" s="128"/>
      <c r="M331" s="100" t="e">
        <f>IF(VLOOKUP(G331,'Bereketli Satış'!J:AK,30,0)="","",VLOOKUP(G331,'Bereketli Satış'!J:AK,30,0))</f>
        <v>#N/A</v>
      </c>
      <c r="N331" s="9"/>
      <c r="O331" s="9"/>
      <c r="P331" s="9" t="e">
        <f>IF(VLOOKUP(G331,'Bereketli Satış'!J:AK,32,0)="","",VLOOKUP(G331,'Bereketli Satış'!J:AK,32,0))</f>
        <v>#N/A</v>
      </c>
      <c r="Q331" s="9"/>
      <c r="R331" s="9"/>
    </row>
    <row r="332" spans="1:18">
      <c r="A332" s="8" t="s">
        <v>14</v>
      </c>
      <c r="B332" s="8" t="s">
        <v>33</v>
      </c>
      <c r="C332" s="8" t="s">
        <v>34</v>
      </c>
      <c r="D332" s="8">
        <v>693.25</v>
      </c>
      <c r="E332" s="8">
        <v>105</v>
      </c>
      <c r="F332" s="1">
        <v>1</v>
      </c>
      <c r="G332" s="1" t="str">
        <f t="shared" si="5"/>
        <v>ARMUTLU1051</v>
      </c>
      <c r="H332" s="1"/>
      <c r="I332" s="9" t="e">
        <f>IF(VLOOKUP(G332,'Bereketli Satış'!J:AK,5,0)="","",VLOOKUP(G332,'Bereketli Satış'!J:AK,5,0))</f>
        <v>#N/A</v>
      </c>
      <c r="J332" s="9" t="e">
        <f>IF(VLOOKUP(G332,'Bereketli Satış'!J:AK,28,0)="","",VLOOKUP(G332,'Bereketli Satış'!J:AK,28,0))</f>
        <v>#N/A</v>
      </c>
      <c r="K332" s="9"/>
      <c r="L332" s="128"/>
      <c r="M332" s="100" t="e">
        <f>IF(VLOOKUP(G332,'Bereketli Satış'!J:AK,30,0)="","",VLOOKUP(G332,'Bereketli Satış'!J:AK,30,0))</f>
        <v>#N/A</v>
      </c>
      <c r="N332" s="9"/>
      <c r="O332" s="9"/>
      <c r="P332" s="9" t="e">
        <f>IF(VLOOKUP(G332,'Bereketli Satış'!J:AK,32,0)="","",VLOOKUP(G332,'Bereketli Satış'!J:AK,32,0))</f>
        <v>#N/A</v>
      </c>
      <c r="Q332" s="9"/>
      <c r="R332" s="9"/>
    </row>
    <row r="333" spans="1:18">
      <c r="A333" s="8" t="s">
        <v>14</v>
      </c>
      <c r="B333" s="8" t="s">
        <v>33</v>
      </c>
      <c r="C333" s="8" t="s">
        <v>34</v>
      </c>
      <c r="D333" s="8">
        <v>693.25</v>
      </c>
      <c r="E333" s="8">
        <v>105</v>
      </c>
      <c r="F333" s="1">
        <v>3</v>
      </c>
      <c r="G333" s="1" t="str">
        <f t="shared" si="5"/>
        <v>ARMUTLU1053</v>
      </c>
      <c r="H333" s="1"/>
      <c r="I333" s="9" t="e">
        <f>IF(VLOOKUP(G333,'Bereketli Satış'!J:AK,5,0)="","",VLOOKUP(G333,'Bereketli Satış'!J:AK,5,0))</f>
        <v>#N/A</v>
      </c>
      <c r="J333" s="9" t="e">
        <f>IF(VLOOKUP(G333,'Bereketli Satış'!J:AK,28,0)="","",VLOOKUP(G333,'Bereketli Satış'!J:AK,28,0))</f>
        <v>#N/A</v>
      </c>
      <c r="K333" s="9"/>
      <c r="L333" s="128"/>
      <c r="M333" s="100" t="e">
        <f>IF(VLOOKUP(G333,'Bereketli Satış'!J:AK,30,0)="","",VLOOKUP(G333,'Bereketli Satış'!J:AK,30,0))</f>
        <v>#N/A</v>
      </c>
      <c r="N333" s="9"/>
      <c r="O333" s="9"/>
      <c r="P333" s="9" t="e">
        <f>IF(VLOOKUP(G333,'Bereketli Satış'!J:AK,32,0)="","",VLOOKUP(G333,'Bereketli Satış'!J:AK,32,0))</f>
        <v>#N/A</v>
      </c>
      <c r="Q333" s="9"/>
      <c r="R333" s="9"/>
    </row>
    <row r="334" spans="1:18">
      <c r="A334" s="8" t="s">
        <v>14</v>
      </c>
      <c r="B334" s="8" t="s">
        <v>15</v>
      </c>
      <c r="C334" s="8" t="s">
        <v>63</v>
      </c>
      <c r="D334" s="13">
        <v>511.2</v>
      </c>
      <c r="E334" s="8">
        <v>103</v>
      </c>
      <c r="F334" s="1">
        <v>28</v>
      </c>
      <c r="G334" s="1" t="str">
        <f t="shared" si="5"/>
        <v>ILICABOĞAZI10328</v>
      </c>
      <c r="H334" s="1"/>
      <c r="I334" s="9" t="e">
        <f>IF(VLOOKUP(G334,'Bereketli Satış'!J:AK,5,0)="","",VLOOKUP(G334,'Bereketli Satış'!J:AK,5,0))</f>
        <v>#N/A</v>
      </c>
      <c r="J334" s="9" t="e">
        <f>IF(VLOOKUP(G334,'Bereketli Satış'!J:AK,28,0)="","",VLOOKUP(G334,'Bereketli Satış'!J:AK,28,0))</f>
        <v>#N/A</v>
      </c>
      <c r="K334" s="9"/>
      <c r="L334" s="128"/>
      <c r="M334" s="100" t="e">
        <f>IF(VLOOKUP(G334,'Bereketli Satış'!J:AK,30,0)="","",VLOOKUP(G334,'Bereketli Satış'!J:AK,30,0))</f>
        <v>#N/A</v>
      </c>
      <c r="N334" s="9"/>
      <c r="O334" s="9"/>
      <c r="P334" s="9" t="e">
        <f>IF(VLOOKUP(G334,'Bereketli Satış'!J:AK,32,0)="","",VLOOKUP(G334,'Bereketli Satış'!J:AK,32,0))</f>
        <v>#N/A</v>
      </c>
      <c r="Q334" s="9"/>
      <c r="R334" s="9"/>
    </row>
    <row r="335" spans="1:18">
      <c r="A335" s="8" t="s">
        <v>14</v>
      </c>
      <c r="B335" s="8" t="s">
        <v>15</v>
      </c>
      <c r="C335" s="8" t="s">
        <v>63</v>
      </c>
      <c r="D335" s="13">
        <v>511.2</v>
      </c>
      <c r="E335" s="8">
        <v>103</v>
      </c>
      <c r="F335" s="1">
        <v>29</v>
      </c>
      <c r="G335" s="1" t="str">
        <f t="shared" si="5"/>
        <v>ILICABOĞAZI10329</v>
      </c>
      <c r="H335" s="1"/>
      <c r="I335" s="9" t="e">
        <f>IF(VLOOKUP(G335,'Bereketli Satış'!J:AK,5,0)="","",VLOOKUP(G335,'Bereketli Satış'!J:AK,5,0))</f>
        <v>#N/A</v>
      </c>
      <c r="J335" s="9" t="e">
        <f>IF(VLOOKUP(G335,'Bereketli Satış'!J:AK,28,0)="","",VLOOKUP(G335,'Bereketli Satış'!J:AK,28,0))</f>
        <v>#N/A</v>
      </c>
      <c r="K335" s="9"/>
      <c r="L335" s="128"/>
      <c r="M335" s="100" t="e">
        <f>IF(VLOOKUP(G335,'Bereketli Satış'!J:AK,30,0)="","",VLOOKUP(G335,'Bereketli Satış'!J:AK,30,0))</f>
        <v>#N/A</v>
      </c>
      <c r="N335" s="9"/>
      <c r="O335" s="9"/>
      <c r="P335" s="9" t="e">
        <f>IF(VLOOKUP(G335,'Bereketli Satış'!J:AK,32,0)="","",VLOOKUP(G335,'Bereketli Satış'!J:AK,32,0))</f>
        <v>#N/A</v>
      </c>
      <c r="Q335" s="9"/>
      <c r="R335" s="9"/>
    </row>
    <row r="336" spans="1:18">
      <c r="A336" s="8" t="s">
        <v>14</v>
      </c>
      <c r="B336" s="8" t="s">
        <v>15</v>
      </c>
      <c r="C336" s="8" t="s">
        <v>63</v>
      </c>
      <c r="D336" s="13">
        <v>511.19</v>
      </c>
      <c r="E336" s="8">
        <v>103</v>
      </c>
      <c r="F336" s="1">
        <v>30</v>
      </c>
      <c r="G336" s="1" t="str">
        <f t="shared" si="5"/>
        <v>ILICABOĞAZI10330</v>
      </c>
      <c r="H336" s="1"/>
      <c r="I336" s="9" t="e">
        <f>IF(VLOOKUP(G336,'Bereketli Satış'!J:AK,5,0)="","",VLOOKUP(G336,'Bereketli Satış'!J:AK,5,0))</f>
        <v>#N/A</v>
      </c>
      <c r="J336" s="9" t="e">
        <f>IF(VLOOKUP(G336,'Bereketli Satış'!J:AK,28,0)="","",VLOOKUP(G336,'Bereketli Satış'!J:AK,28,0))</f>
        <v>#N/A</v>
      </c>
      <c r="K336" s="9"/>
      <c r="L336" s="128"/>
      <c r="M336" s="100" t="e">
        <f>IF(VLOOKUP(G336,'Bereketli Satış'!J:AK,30,0)="","",VLOOKUP(G336,'Bereketli Satış'!J:AK,30,0))</f>
        <v>#N/A</v>
      </c>
      <c r="N336" s="9"/>
      <c r="O336" s="9"/>
      <c r="P336" s="9" t="e">
        <f>IF(VLOOKUP(G336,'Bereketli Satış'!J:AK,32,0)="","",VLOOKUP(G336,'Bereketli Satış'!J:AK,32,0))</f>
        <v>#N/A</v>
      </c>
      <c r="Q336" s="9"/>
      <c r="R336" s="9"/>
    </row>
    <row r="337" spans="1:18">
      <c r="A337" s="8" t="s">
        <v>14</v>
      </c>
      <c r="B337" s="8" t="s">
        <v>15</v>
      </c>
      <c r="C337" s="8" t="s">
        <v>63</v>
      </c>
      <c r="D337" s="13">
        <v>511.2</v>
      </c>
      <c r="E337" s="8">
        <v>103</v>
      </c>
      <c r="F337" s="1">
        <v>31</v>
      </c>
      <c r="G337" s="1" t="str">
        <f t="shared" si="5"/>
        <v>ILICABOĞAZI10331</v>
      </c>
      <c r="H337" s="1"/>
      <c r="I337" s="9" t="e">
        <f>IF(VLOOKUP(G337,'Bereketli Satış'!J:AK,5,0)="","",VLOOKUP(G337,'Bereketli Satış'!J:AK,5,0))</f>
        <v>#N/A</v>
      </c>
      <c r="J337" s="9" t="e">
        <f>IF(VLOOKUP(G337,'Bereketli Satış'!J:AK,28,0)="","",VLOOKUP(G337,'Bereketli Satış'!J:AK,28,0))</f>
        <v>#N/A</v>
      </c>
      <c r="K337" s="9"/>
      <c r="L337" s="128"/>
      <c r="M337" s="100" t="e">
        <f>IF(VLOOKUP(G337,'Bereketli Satış'!J:AK,30,0)="","",VLOOKUP(G337,'Bereketli Satış'!J:AK,30,0))</f>
        <v>#N/A</v>
      </c>
      <c r="N337" s="9"/>
      <c r="O337" s="9"/>
      <c r="P337" s="9" t="e">
        <f>IF(VLOOKUP(G337,'Bereketli Satış'!J:AK,32,0)="","",VLOOKUP(G337,'Bereketli Satış'!J:AK,32,0))</f>
        <v>#N/A</v>
      </c>
      <c r="Q337" s="9"/>
      <c r="R337" s="9"/>
    </row>
    <row r="338" spans="1:18">
      <c r="A338" s="8" t="s">
        <v>14</v>
      </c>
      <c r="B338" s="8" t="s">
        <v>15</v>
      </c>
      <c r="C338" s="8" t="s">
        <v>63</v>
      </c>
      <c r="D338" s="13">
        <v>511.2</v>
      </c>
      <c r="E338" s="8">
        <v>103</v>
      </c>
      <c r="F338" s="1">
        <v>32</v>
      </c>
      <c r="G338" s="1" t="str">
        <f t="shared" si="5"/>
        <v>ILICABOĞAZI10332</v>
      </c>
      <c r="H338" s="1"/>
      <c r="I338" s="9" t="e">
        <f>IF(VLOOKUP(G338,'Bereketli Satış'!J:AK,5,0)="","",VLOOKUP(G338,'Bereketli Satış'!J:AK,5,0))</f>
        <v>#N/A</v>
      </c>
      <c r="J338" s="9" t="e">
        <f>IF(VLOOKUP(G338,'Bereketli Satış'!J:AK,28,0)="","",VLOOKUP(G338,'Bereketli Satış'!J:AK,28,0))</f>
        <v>#N/A</v>
      </c>
      <c r="K338" s="9"/>
      <c r="L338" s="128"/>
      <c r="M338" s="100" t="e">
        <f>IF(VLOOKUP(G338,'Bereketli Satış'!J:AK,30,0)="","",VLOOKUP(G338,'Bereketli Satış'!J:AK,30,0))</f>
        <v>#N/A</v>
      </c>
      <c r="N338" s="9"/>
      <c r="O338" s="9"/>
      <c r="P338" s="9" t="e">
        <f>IF(VLOOKUP(G338,'Bereketli Satış'!J:AK,32,0)="","",VLOOKUP(G338,'Bereketli Satış'!J:AK,32,0))</f>
        <v>#N/A</v>
      </c>
      <c r="Q338" s="9"/>
      <c r="R338" s="9"/>
    </row>
    <row r="339" spans="1:18">
      <c r="A339" s="8" t="s">
        <v>49</v>
      </c>
      <c r="B339" s="8" t="s">
        <v>50</v>
      </c>
      <c r="C339" s="8" t="s">
        <v>51</v>
      </c>
      <c r="D339" s="8">
        <v>515</v>
      </c>
      <c r="E339" s="8">
        <v>0</v>
      </c>
      <c r="F339" s="8">
        <v>818</v>
      </c>
      <c r="G339" s="1" t="str">
        <f t="shared" si="5"/>
        <v>KAHVETEPE0818</v>
      </c>
      <c r="H339" s="8"/>
      <c r="I339" s="9" t="e">
        <f>IF(VLOOKUP(G339,'Bereketli Satış'!J:AK,5,0)="","",VLOOKUP(G339,'Bereketli Satış'!J:AK,5,0))</f>
        <v>#N/A</v>
      </c>
      <c r="J339" s="9" t="e">
        <f>IF(VLOOKUP(G339,'Bereketli Satış'!J:AK,28,0)="","",VLOOKUP(G339,'Bereketli Satış'!J:AK,28,0))</f>
        <v>#N/A</v>
      </c>
      <c r="K339" s="9"/>
      <c r="L339" s="128"/>
      <c r="M339" s="100" t="e">
        <f>IF(VLOOKUP(G339,'Bereketli Satış'!J:AK,30,0)="","",VLOOKUP(G339,'Bereketli Satış'!J:AK,30,0))</f>
        <v>#N/A</v>
      </c>
      <c r="N339" s="100"/>
      <c r="O339" s="100"/>
      <c r="P339" s="9" t="e">
        <f>IF(VLOOKUP(G339,'Bereketli Satış'!J:AK,32,0)="","",VLOOKUP(G339,'Bereketli Satış'!J:AK,32,0))</f>
        <v>#N/A</v>
      </c>
      <c r="Q339" s="100"/>
      <c r="R339" s="100"/>
    </row>
    <row r="340" spans="1:18">
      <c r="A340" s="8" t="s">
        <v>14</v>
      </c>
      <c r="B340" s="8" t="s">
        <v>15</v>
      </c>
      <c r="C340" s="8" t="s">
        <v>16</v>
      </c>
      <c r="D340" s="8">
        <v>630.29999999999995</v>
      </c>
      <c r="E340" s="18">
        <v>179</v>
      </c>
      <c r="F340" s="8">
        <v>3</v>
      </c>
      <c r="G340" s="1" t="str">
        <f t="shared" si="5"/>
        <v>REŞADİYE1793</v>
      </c>
      <c r="H340" s="8"/>
      <c r="I340" s="9" t="e">
        <f>IF(VLOOKUP(G340,'Bereketli Satış'!J:AK,5,0)="","",VLOOKUP(G340,'Bereketli Satış'!J:AK,5,0))</f>
        <v>#N/A</v>
      </c>
      <c r="J340" s="9" t="e">
        <f>IF(VLOOKUP(G340,'Bereketli Satış'!J:AK,28,0)="","",VLOOKUP(G340,'Bereketli Satış'!J:AK,28,0))</f>
        <v>#N/A</v>
      </c>
      <c r="K340" s="100"/>
      <c r="L340" s="128"/>
      <c r="M340" s="100" t="e">
        <f>IF(VLOOKUP(G340,'Bereketli Satış'!J:AK,30,0)="","",VLOOKUP(G340,'Bereketli Satış'!J:AK,30,0))</f>
        <v>#N/A</v>
      </c>
      <c r="N340" s="9"/>
      <c r="O340" s="9"/>
      <c r="P340" s="9" t="e">
        <f>IF(VLOOKUP(G340,'Bereketli Satış'!J:AK,32,0)="","",VLOOKUP(G340,'Bereketli Satış'!J:AK,32,0))</f>
        <v>#N/A</v>
      </c>
      <c r="Q340" s="9"/>
      <c r="R340" s="9"/>
    </row>
    <row r="341" spans="1:18">
      <c r="A341" s="8" t="s">
        <v>14</v>
      </c>
      <c r="B341" s="8" t="s">
        <v>15</v>
      </c>
      <c r="C341" s="8" t="s">
        <v>63</v>
      </c>
      <c r="D341" s="8">
        <v>507.05</v>
      </c>
      <c r="E341" s="8">
        <v>105</v>
      </c>
      <c r="F341" s="1">
        <v>27</v>
      </c>
      <c r="G341" s="1" t="str">
        <f t="shared" si="5"/>
        <v>ILICABOĞAZI10527</v>
      </c>
      <c r="H341" s="1"/>
      <c r="I341" s="9" t="e">
        <f>IF(VLOOKUP(G341,'Bereketli Satış'!J:AK,5,0)="","",VLOOKUP(G341,'Bereketli Satış'!J:AK,5,0))</f>
        <v>#N/A</v>
      </c>
      <c r="J341" s="9" t="e">
        <f>IF(VLOOKUP(G341,'Bereketli Satış'!J:AK,28,0)="","",VLOOKUP(G341,'Bereketli Satış'!J:AK,28,0))</f>
        <v>#N/A</v>
      </c>
      <c r="K341" s="9"/>
      <c r="L341" s="128"/>
      <c r="M341" s="100" t="e">
        <f>IF(VLOOKUP(G341,'Bereketli Satış'!J:AK,30,0)="","",VLOOKUP(G341,'Bereketli Satış'!J:AK,30,0))</f>
        <v>#N/A</v>
      </c>
      <c r="N341" s="9"/>
      <c r="O341" s="9"/>
      <c r="P341" s="9" t="e">
        <f>IF(VLOOKUP(G341,'Bereketli Satış'!J:AK,32,0)="","",VLOOKUP(G341,'Bereketli Satış'!J:AK,32,0))</f>
        <v>#N/A</v>
      </c>
      <c r="Q341" s="9"/>
      <c r="R341" s="9"/>
    </row>
    <row r="342" spans="1:18">
      <c r="A342" s="8" t="s">
        <v>14</v>
      </c>
      <c r="B342" s="8" t="s">
        <v>15</v>
      </c>
      <c r="C342" s="8" t="s">
        <v>63</v>
      </c>
      <c r="D342" s="8">
        <v>507.05</v>
      </c>
      <c r="E342" s="8">
        <v>105</v>
      </c>
      <c r="F342" s="1">
        <v>30</v>
      </c>
      <c r="G342" s="1" t="str">
        <f t="shared" si="5"/>
        <v>ILICABOĞAZI10530</v>
      </c>
      <c r="H342" s="1"/>
      <c r="I342" s="9" t="e">
        <f>IF(VLOOKUP(G342,'Bereketli Satış'!J:AK,5,0)="","",VLOOKUP(G342,'Bereketli Satış'!J:AK,5,0))</f>
        <v>#N/A</v>
      </c>
      <c r="J342" s="9" t="e">
        <f>IF(VLOOKUP(G342,'Bereketli Satış'!J:AK,28,0)="","",VLOOKUP(G342,'Bereketli Satış'!J:AK,28,0))</f>
        <v>#N/A</v>
      </c>
      <c r="K342" s="9"/>
      <c r="L342" s="128"/>
      <c r="M342" s="100" t="e">
        <f>IF(VLOOKUP(G342,'Bereketli Satış'!J:AK,30,0)="","",VLOOKUP(G342,'Bereketli Satış'!J:AK,30,0))</f>
        <v>#N/A</v>
      </c>
      <c r="N342" s="9"/>
      <c r="O342" s="9"/>
      <c r="P342" s="9" t="e">
        <f>IF(VLOOKUP(G342,'Bereketli Satış'!J:AK,32,0)="","",VLOOKUP(G342,'Bereketli Satış'!J:AK,32,0))</f>
        <v>#N/A</v>
      </c>
      <c r="Q342" s="9"/>
      <c r="R342" s="9"/>
    </row>
    <row r="343" spans="1:18">
      <c r="A343" s="8" t="s">
        <v>14</v>
      </c>
      <c r="B343" s="8" t="s">
        <v>15</v>
      </c>
      <c r="C343" s="8" t="s">
        <v>63</v>
      </c>
      <c r="D343" s="8">
        <v>507.08</v>
      </c>
      <c r="E343" s="8">
        <v>105</v>
      </c>
      <c r="F343" s="1">
        <v>31</v>
      </c>
      <c r="G343" s="1" t="str">
        <f t="shared" si="5"/>
        <v>ILICABOĞAZI10531</v>
      </c>
      <c r="H343" s="1"/>
      <c r="I343" s="9" t="e">
        <f>IF(VLOOKUP(G343,'Bereketli Satış'!J:AK,5,0)="","",VLOOKUP(G343,'Bereketli Satış'!J:AK,5,0))</f>
        <v>#N/A</v>
      </c>
      <c r="J343" s="9" t="e">
        <f>IF(VLOOKUP(G343,'Bereketli Satış'!J:AK,28,0)="","",VLOOKUP(G343,'Bereketli Satış'!J:AK,28,0))</f>
        <v>#N/A</v>
      </c>
      <c r="K343" s="9"/>
      <c r="L343" s="128"/>
      <c r="M343" s="100" t="e">
        <f>IF(VLOOKUP(G343,'Bereketli Satış'!J:AK,30,0)="","",VLOOKUP(G343,'Bereketli Satış'!J:AK,30,0))</f>
        <v>#N/A</v>
      </c>
      <c r="N343" s="107"/>
      <c r="O343" s="107"/>
      <c r="P343" s="9" t="e">
        <f>IF(VLOOKUP(G343,'Bereketli Satış'!J:AK,32,0)="","",VLOOKUP(G343,'Bereketli Satış'!J:AK,32,0))</f>
        <v>#N/A</v>
      </c>
      <c r="Q343" s="107"/>
      <c r="R343" s="107"/>
    </row>
    <row r="344" spans="1:18">
      <c r="A344" s="96" t="s">
        <v>14</v>
      </c>
      <c r="B344" s="96" t="s">
        <v>15</v>
      </c>
      <c r="C344" s="96" t="s">
        <v>63</v>
      </c>
      <c r="D344" s="96">
        <v>507.05</v>
      </c>
      <c r="E344" s="96">
        <v>105</v>
      </c>
      <c r="F344" s="97">
        <v>29</v>
      </c>
      <c r="G344" s="1" t="str">
        <f t="shared" si="5"/>
        <v>ILICABOĞAZI10529</v>
      </c>
      <c r="H344" s="97"/>
      <c r="I344" s="9" t="e">
        <f>IF(VLOOKUP(G344,'Bereketli Satış'!J:AK,5,0)="","",VLOOKUP(G344,'Bereketli Satış'!J:AK,5,0))</f>
        <v>#N/A</v>
      </c>
      <c r="J344" s="9" t="e">
        <f>IF(VLOOKUP(G344,'Bereketli Satış'!J:AK,28,0)="","",VLOOKUP(G344,'Bereketli Satış'!J:AK,28,0))</f>
        <v>#N/A</v>
      </c>
      <c r="K344" s="107"/>
      <c r="L344" s="129"/>
      <c r="M344" s="100" t="e">
        <f>IF(VLOOKUP(G344,'Bereketli Satış'!J:AK,30,0)="","",VLOOKUP(G344,'Bereketli Satış'!J:AK,30,0))</f>
        <v>#N/A</v>
      </c>
      <c r="N344" s="9"/>
      <c r="O344" s="9"/>
      <c r="P344" s="9" t="e">
        <f>IF(VLOOKUP(G344,'Bereketli Satış'!J:AK,32,0)="","",VLOOKUP(G344,'Bereketli Satış'!J:AK,32,0))</f>
        <v>#N/A</v>
      </c>
      <c r="Q344" s="9"/>
      <c r="R344" s="9"/>
    </row>
    <row r="345" spans="1:18">
      <c r="A345" s="8" t="s">
        <v>14</v>
      </c>
      <c r="B345" s="8" t="s">
        <v>15</v>
      </c>
      <c r="C345" s="8" t="s">
        <v>63</v>
      </c>
      <c r="D345" s="8">
        <v>507.05</v>
      </c>
      <c r="E345" s="8">
        <v>105</v>
      </c>
      <c r="F345" s="1">
        <v>28</v>
      </c>
      <c r="G345" s="1" t="str">
        <f t="shared" si="5"/>
        <v>ILICABOĞAZI10528</v>
      </c>
      <c r="H345" s="1"/>
      <c r="I345" s="9" t="e">
        <f>IF(VLOOKUP(G345,'Bereketli Satış'!J:AK,5,0)="","",VLOOKUP(G345,'Bereketli Satış'!J:AK,5,0))</f>
        <v>#N/A</v>
      </c>
      <c r="J345" s="9" t="e">
        <f>IF(VLOOKUP(G345,'Bereketli Satış'!J:AK,28,0)="","",VLOOKUP(G345,'Bereketli Satış'!J:AK,28,0))</f>
        <v>#N/A</v>
      </c>
      <c r="K345" s="9"/>
      <c r="L345" s="128"/>
      <c r="M345" s="100" t="e">
        <f>IF(VLOOKUP(G345,'Bereketli Satış'!J:AK,30,0)="","",VLOOKUP(G345,'Bereketli Satış'!J:AK,30,0))</f>
        <v>#N/A</v>
      </c>
      <c r="N345" s="100"/>
      <c r="O345" s="100"/>
      <c r="P345" s="9" t="e">
        <f>IF(VLOOKUP(G345,'Bereketli Satış'!J:AK,32,0)="","",VLOOKUP(G345,'Bereketli Satış'!J:AK,32,0))</f>
        <v>#N/A</v>
      </c>
      <c r="Q345" s="100"/>
      <c r="R345" s="100"/>
    </row>
    <row r="346" spans="1:18">
      <c r="A346" s="8" t="s">
        <v>14</v>
      </c>
      <c r="B346" s="8" t="s">
        <v>15</v>
      </c>
      <c r="C346" s="8" t="s">
        <v>16</v>
      </c>
      <c r="D346" s="8">
        <v>613.58000000000004</v>
      </c>
      <c r="E346" s="18">
        <v>179</v>
      </c>
      <c r="F346" s="8">
        <v>2</v>
      </c>
      <c r="G346" s="1" t="str">
        <f t="shared" si="5"/>
        <v>REŞADİYE1792</v>
      </c>
      <c r="H346" s="8"/>
      <c r="I346" s="9" t="e">
        <f>IF(VLOOKUP(G346,'Bereketli Satış'!J:AK,5,0)="","",VLOOKUP(G346,'Bereketli Satış'!J:AK,5,0))</f>
        <v>#N/A</v>
      </c>
      <c r="J346" s="9" t="e">
        <f>IF(VLOOKUP(G346,'Bereketli Satış'!J:AK,28,0)="","",VLOOKUP(G346,'Bereketli Satış'!J:AK,28,0))</f>
        <v>#N/A</v>
      </c>
      <c r="K346" s="100"/>
      <c r="L346" s="128"/>
      <c r="M346" s="100" t="e">
        <f>IF(VLOOKUP(G346,'Bereketli Satış'!J:AK,30,0)="","",VLOOKUP(G346,'Bereketli Satış'!J:AK,30,0))</f>
        <v>#N/A</v>
      </c>
      <c r="N346" s="100"/>
      <c r="O346" s="100"/>
      <c r="P346" s="9" t="e">
        <f>IF(VLOOKUP(G346,'Bereketli Satış'!J:AK,32,0)="","",VLOOKUP(G346,'Bereketli Satış'!J:AK,32,0))</f>
        <v>#N/A</v>
      </c>
      <c r="Q346" s="100"/>
      <c r="R346" s="100"/>
    </row>
    <row r="347" spans="1:18">
      <c r="A347" s="8" t="s">
        <v>14</v>
      </c>
      <c r="B347" s="8" t="s">
        <v>23</v>
      </c>
      <c r="C347" s="8" t="s">
        <v>41</v>
      </c>
      <c r="D347" s="8">
        <v>785.63</v>
      </c>
      <c r="E347" s="18">
        <v>123</v>
      </c>
      <c r="F347" s="8">
        <v>6</v>
      </c>
      <c r="G347" s="1" t="str">
        <f t="shared" si="5"/>
        <v>BÜYÜKPINAR1236</v>
      </c>
      <c r="H347" s="8"/>
      <c r="I347" s="9" t="e">
        <f>IF(VLOOKUP(G347,'Bereketli Satış'!J:AK,5,0)="","",VLOOKUP(G347,'Bereketli Satış'!J:AK,5,0))</f>
        <v>#N/A</v>
      </c>
      <c r="J347" s="9" t="e">
        <f>IF(VLOOKUP(G347,'Bereketli Satış'!J:AK,28,0)="","",VLOOKUP(G347,'Bereketli Satış'!J:AK,28,0))</f>
        <v>#N/A</v>
      </c>
      <c r="K347" s="100"/>
      <c r="L347" s="128"/>
      <c r="M347" s="100" t="e">
        <f>IF(VLOOKUP(G347,'Bereketli Satış'!J:AK,30,0)="","",VLOOKUP(G347,'Bereketli Satış'!J:AK,30,0))</f>
        <v>#N/A</v>
      </c>
      <c r="N347" s="100"/>
      <c r="O347" s="100"/>
      <c r="P347" s="9" t="e">
        <f>IF(VLOOKUP(G347,'Bereketli Satış'!J:AK,32,0)="","",VLOOKUP(G347,'Bereketli Satış'!J:AK,32,0))</f>
        <v>#N/A</v>
      </c>
      <c r="Q347" s="100"/>
      <c r="R347" s="100"/>
    </row>
    <row r="348" spans="1:18">
      <c r="A348" s="8" t="s">
        <v>14</v>
      </c>
      <c r="B348" s="8" t="s">
        <v>23</v>
      </c>
      <c r="C348" s="8" t="s">
        <v>41</v>
      </c>
      <c r="D348" s="8">
        <v>777.22</v>
      </c>
      <c r="E348" s="18">
        <v>133</v>
      </c>
      <c r="F348" s="8">
        <v>5</v>
      </c>
      <c r="G348" s="1" t="str">
        <f t="shared" si="5"/>
        <v>BÜYÜKPINAR1335</v>
      </c>
      <c r="H348" s="8"/>
      <c r="I348" s="9" t="e">
        <f>IF(VLOOKUP(G348,'Bereketli Satış'!J:AK,5,0)="","",VLOOKUP(G348,'Bereketli Satış'!J:AK,5,0))</f>
        <v>#N/A</v>
      </c>
      <c r="J348" s="9" t="e">
        <f>IF(VLOOKUP(G348,'Bereketli Satış'!J:AK,28,0)="","",VLOOKUP(G348,'Bereketli Satış'!J:AK,28,0))</f>
        <v>#N/A</v>
      </c>
      <c r="K348" s="100"/>
      <c r="L348" s="128"/>
      <c r="M348" s="100" t="e">
        <f>IF(VLOOKUP(G348,'Bereketli Satış'!J:AK,30,0)="","",VLOOKUP(G348,'Bereketli Satış'!J:AK,30,0))</f>
        <v>#N/A</v>
      </c>
      <c r="N348" s="9"/>
      <c r="O348" s="9"/>
      <c r="P348" s="9" t="e">
        <f>IF(VLOOKUP(G348,'Bereketli Satış'!J:AK,32,0)="","",VLOOKUP(G348,'Bereketli Satış'!J:AK,32,0))</f>
        <v>#N/A</v>
      </c>
      <c r="Q348" s="9"/>
      <c r="R348" s="9"/>
    </row>
    <row r="349" spans="1:18">
      <c r="A349" s="8" t="s">
        <v>14</v>
      </c>
      <c r="B349" s="8" t="s">
        <v>23</v>
      </c>
      <c r="C349" s="8" t="s">
        <v>72</v>
      </c>
      <c r="D349" s="8">
        <v>623.92999999999995</v>
      </c>
      <c r="E349" s="18">
        <v>178</v>
      </c>
      <c r="F349" s="8">
        <v>18</v>
      </c>
      <c r="G349" s="1" t="str">
        <f t="shared" si="5"/>
        <v>TATLIPINAR17818</v>
      </c>
      <c r="H349" s="8"/>
      <c r="I349" s="9" t="e">
        <f>IF(VLOOKUP(G349,'Bereketli Satış'!J:AK,5,0)="","",VLOOKUP(G349,'Bereketli Satış'!J:AK,5,0))</f>
        <v>#N/A</v>
      </c>
      <c r="J349" s="9" t="e">
        <f>IF(VLOOKUP(G349,'Bereketli Satış'!J:AK,28,0)="","",VLOOKUP(G349,'Bereketli Satış'!J:AK,28,0))</f>
        <v>#N/A</v>
      </c>
      <c r="K349" s="9"/>
      <c r="L349" s="128"/>
      <c r="M349" s="100" t="e">
        <f>IF(VLOOKUP(G349,'Bereketli Satış'!J:AK,30,0)="","",VLOOKUP(G349,'Bereketli Satış'!J:AK,30,0))</f>
        <v>#N/A</v>
      </c>
      <c r="N349" s="9"/>
      <c r="O349" s="9"/>
      <c r="P349" s="9" t="e">
        <f>IF(VLOOKUP(G349,'Bereketli Satış'!J:AK,32,0)="","",VLOOKUP(G349,'Bereketli Satış'!J:AK,32,0))</f>
        <v>#N/A</v>
      </c>
      <c r="Q349" s="9"/>
      <c r="R349" s="9"/>
    </row>
    <row r="350" spans="1:18">
      <c r="A350" s="8" t="s">
        <v>49</v>
      </c>
      <c r="B350" s="8" t="s">
        <v>50</v>
      </c>
      <c r="C350" s="8" t="s">
        <v>51</v>
      </c>
      <c r="D350" s="8">
        <v>552</v>
      </c>
      <c r="E350" s="8">
        <v>0</v>
      </c>
      <c r="F350" s="8">
        <v>816</v>
      </c>
      <c r="G350" s="1" t="str">
        <f t="shared" si="5"/>
        <v>KAHVETEPE0816</v>
      </c>
      <c r="H350" s="8"/>
      <c r="I350" s="9" t="e">
        <f>IF(VLOOKUP(G350,'Bereketli Satış'!J:AK,5,0)="","",VLOOKUP(G350,'Bereketli Satış'!J:AK,5,0))</f>
        <v>#N/A</v>
      </c>
      <c r="J350" s="9" t="e">
        <f>IF(VLOOKUP(G350,'Bereketli Satış'!J:AK,28,0)="","",VLOOKUP(G350,'Bereketli Satış'!J:AK,28,0))</f>
        <v>#N/A</v>
      </c>
      <c r="K350" s="9"/>
      <c r="L350" s="128"/>
      <c r="M350" s="100" t="e">
        <f>IF(VLOOKUP(G350,'Bereketli Satış'!J:AK,30,0)="","",VLOOKUP(G350,'Bereketli Satış'!J:AK,30,0))</f>
        <v>#N/A</v>
      </c>
      <c r="N350" s="9"/>
      <c r="O350" s="9"/>
      <c r="P350" s="9" t="e">
        <f>IF(VLOOKUP(G350,'Bereketli Satış'!J:AK,32,0)="","",VLOOKUP(G350,'Bereketli Satış'!J:AK,32,0))</f>
        <v>#N/A</v>
      </c>
      <c r="Q350" s="9"/>
      <c r="R350" s="9"/>
    </row>
    <row r="351" spans="1:18">
      <c r="A351" s="8" t="s">
        <v>14</v>
      </c>
      <c r="B351" s="8" t="s">
        <v>33</v>
      </c>
      <c r="C351" s="8" t="s">
        <v>34</v>
      </c>
      <c r="D351" s="8">
        <v>753.25</v>
      </c>
      <c r="E351" s="8">
        <v>103</v>
      </c>
      <c r="F351" s="1">
        <v>7</v>
      </c>
      <c r="G351" s="1" t="str">
        <f t="shared" si="5"/>
        <v>ARMUTLU1037</v>
      </c>
      <c r="H351" s="1"/>
      <c r="I351" s="9" t="e">
        <f>IF(VLOOKUP(G351,'Bereketli Satış'!J:AK,5,0)="","",VLOOKUP(G351,'Bereketli Satış'!J:AK,5,0))</f>
        <v>#N/A</v>
      </c>
      <c r="J351" s="9" t="e">
        <f>IF(VLOOKUP(G351,'Bereketli Satış'!J:AK,28,0)="","",VLOOKUP(G351,'Bereketli Satış'!J:AK,28,0))</f>
        <v>#N/A</v>
      </c>
      <c r="K351" s="9"/>
      <c r="L351" s="128"/>
      <c r="M351" s="100" t="e">
        <f>IF(VLOOKUP(G351,'Bereketli Satış'!J:AK,30,0)="","",VLOOKUP(G351,'Bereketli Satış'!J:AK,30,0))</f>
        <v>#N/A</v>
      </c>
      <c r="N351" s="9"/>
      <c r="O351" s="9"/>
      <c r="P351" s="9" t="e">
        <f>IF(VLOOKUP(G351,'Bereketli Satış'!J:AK,32,0)="","",VLOOKUP(G351,'Bereketli Satış'!J:AK,32,0))</f>
        <v>#N/A</v>
      </c>
      <c r="Q351" s="9"/>
      <c r="R351" s="9"/>
    </row>
    <row r="352" spans="1:18">
      <c r="A352" s="8" t="s">
        <v>14</v>
      </c>
      <c r="B352" s="8" t="s">
        <v>33</v>
      </c>
      <c r="C352" s="8" t="s">
        <v>34</v>
      </c>
      <c r="D352" s="8">
        <v>793.35</v>
      </c>
      <c r="E352" s="8">
        <v>102</v>
      </c>
      <c r="F352" s="1">
        <v>1</v>
      </c>
      <c r="G352" s="1" t="str">
        <f t="shared" si="5"/>
        <v>ARMUTLU1021</v>
      </c>
      <c r="H352" s="1"/>
      <c r="I352" s="9" t="e">
        <f>IF(VLOOKUP(G352,'Bereketli Satış'!J:AK,5,0)="","",VLOOKUP(G352,'Bereketli Satış'!J:AK,5,0))</f>
        <v>#N/A</v>
      </c>
      <c r="J352" s="9" t="e">
        <f>IF(VLOOKUP(G352,'Bereketli Satış'!J:AK,28,0)="","",VLOOKUP(G352,'Bereketli Satış'!J:AK,28,0))</f>
        <v>#N/A</v>
      </c>
      <c r="K352" s="9"/>
      <c r="L352" s="128"/>
      <c r="M352" s="100" t="e">
        <f>IF(VLOOKUP(G352,'Bereketli Satış'!J:AK,30,0)="","",VLOOKUP(G352,'Bereketli Satış'!J:AK,30,0))</f>
        <v>#N/A</v>
      </c>
      <c r="N352" s="9"/>
      <c r="O352" s="9"/>
      <c r="P352" s="9" t="e">
        <f>IF(VLOOKUP(G352,'Bereketli Satış'!J:AK,32,0)="","",VLOOKUP(G352,'Bereketli Satış'!J:AK,32,0))</f>
        <v>#N/A</v>
      </c>
      <c r="Q352" s="9"/>
      <c r="R352" s="9"/>
    </row>
    <row r="353" spans="1:18">
      <c r="A353" s="8" t="s">
        <v>49</v>
      </c>
      <c r="B353" s="8" t="s">
        <v>50</v>
      </c>
      <c r="C353" s="8" t="s">
        <v>51</v>
      </c>
      <c r="D353" s="8">
        <v>561</v>
      </c>
      <c r="E353" s="8">
        <v>0</v>
      </c>
      <c r="F353" s="8">
        <v>819</v>
      </c>
      <c r="G353" s="1" t="str">
        <f t="shared" si="5"/>
        <v>KAHVETEPE0819</v>
      </c>
      <c r="H353" s="8"/>
      <c r="I353" s="9" t="e">
        <f>IF(VLOOKUP(G353,'Bereketli Satış'!J:AK,5,0)="","",VLOOKUP(G353,'Bereketli Satış'!J:AK,5,0))</f>
        <v>#N/A</v>
      </c>
      <c r="J353" s="9" t="e">
        <f>IF(VLOOKUP(G353,'Bereketli Satış'!J:AK,28,0)="","",VLOOKUP(G353,'Bereketli Satış'!J:AK,28,0))</f>
        <v>#N/A</v>
      </c>
      <c r="K353" s="9"/>
      <c r="L353" s="128"/>
      <c r="M353" s="100" t="e">
        <f>IF(VLOOKUP(G353,'Bereketli Satış'!J:AK,30,0)="","",VLOOKUP(G353,'Bereketli Satış'!J:AK,30,0))</f>
        <v>#N/A</v>
      </c>
      <c r="N353" s="9"/>
      <c r="O353" s="9"/>
      <c r="P353" s="9" t="e">
        <f>IF(VLOOKUP(G353,'Bereketli Satış'!J:AK,32,0)="","",VLOOKUP(G353,'Bereketli Satış'!J:AK,32,0))</f>
        <v>#N/A</v>
      </c>
      <c r="Q353" s="9"/>
      <c r="R353" s="9"/>
    </row>
    <row r="354" spans="1:18">
      <c r="A354" s="8" t="s">
        <v>14</v>
      </c>
      <c r="B354" s="8" t="s">
        <v>33</v>
      </c>
      <c r="C354" s="8" t="s">
        <v>34</v>
      </c>
      <c r="D354" s="8">
        <v>808.42</v>
      </c>
      <c r="E354" s="8">
        <v>102</v>
      </c>
      <c r="F354" s="1">
        <v>2</v>
      </c>
      <c r="G354" s="1" t="str">
        <f t="shared" si="5"/>
        <v>ARMUTLU1022</v>
      </c>
      <c r="H354" s="1"/>
      <c r="I354" s="9" t="e">
        <f>IF(VLOOKUP(G354,'Bereketli Satış'!J:AK,5,0)="","",VLOOKUP(G354,'Bereketli Satış'!J:AK,5,0))</f>
        <v>#N/A</v>
      </c>
      <c r="J354" s="9" t="e">
        <f>IF(VLOOKUP(G354,'Bereketli Satış'!J:AK,28,0)="","",VLOOKUP(G354,'Bereketli Satış'!J:AK,28,0))</f>
        <v>#N/A</v>
      </c>
      <c r="K354" s="9"/>
      <c r="L354" s="128"/>
      <c r="M354" s="100" t="e">
        <f>IF(VLOOKUP(G354,'Bereketli Satış'!J:AK,30,0)="","",VLOOKUP(G354,'Bereketli Satış'!J:AK,30,0))</f>
        <v>#N/A</v>
      </c>
      <c r="N354" s="9"/>
      <c r="O354" s="9"/>
      <c r="P354" s="9" t="e">
        <f>IF(VLOOKUP(G354,'Bereketli Satış'!J:AK,32,0)="","",VLOOKUP(G354,'Bereketli Satış'!J:AK,32,0))</f>
        <v>#N/A</v>
      </c>
      <c r="Q354" s="9"/>
      <c r="R354" s="9"/>
    </row>
    <row r="355" spans="1:18">
      <c r="A355" s="8" t="s">
        <v>17</v>
      </c>
      <c r="B355" s="8" t="s">
        <v>39</v>
      </c>
      <c r="C355" s="8" t="s">
        <v>40</v>
      </c>
      <c r="D355" s="8">
        <v>329.95</v>
      </c>
      <c r="E355" s="8">
        <v>104</v>
      </c>
      <c r="F355" s="8">
        <v>1</v>
      </c>
      <c r="G355" s="1" t="str">
        <f t="shared" si="5"/>
        <v>BEĞEL1041</v>
      </c>
      <c r="H355" s="8"/>
      <c r="I355" s="9" t="e">
        <f>IF(VLOOKUP(G355,'Bereketli Satış'!J:AK,5,0)="","",VLOOKUP(G355,'Bereketli Satış'!J:AK,5,0))</f>
        <v>#N/A</v>
      </c>
      <c r="J355" s="9" t="e">
        <f>IF(VLOOKUP(G355,'Bereketli Satış'!J:AK,28,0)="","",VLOOKUP(G355,'Bereketli Satış'!J:AK,28,0))</f>
        <v>#N/A</v>
      </c>
      <c r="K355" s="9"/>
      <c r="L355" s="128"/>
      <c r="M355" s="100" t="e">
        <f>IF(VLOOKUP(G355,'Bereketli Satış'!J:AK,30,0)="","",VLOOKUP(G355,'Bereketli Satış'!J:AK,30,0))</f>
        <v>#N/A</v>
      </c>
      <c r="N355" s="9"/>
      <c r="O355" s="9"/>
      <c r="P355" s="9" t="e">
        <f>IF(VLOOKUP(G355,'Bereketli Satış'!J:AK,32,0)="","",VLOOKUP(G355,'Bereketli Satış'!J:AK,32,0))</f>
        <v>#N/A</v>
      </c>
      <c r="Q355" s="9"/>
      <c r="R355" s="9"/>
    </row>
    <row r="356" spans="1:18">
      <c r="A356" s="8" t="s">
        <v>14</v>
      </c>
      <c r="B356" s="8" t="s">
        <v>33</v>
      </c>
      <c r="C356" s="8" t="s">
        <v>34</v>
      </c>
      <c r="D356" s="8">
        <v>810.1</v>
      </c>
      <c r="E356" s="8">
        <v>103</v>
      </c>
      <c r="F356" s="1">
        <v>4</v>
      </c>
      <c r="G356" s="1" t="str">
        <f t="shared" si="5"/>
        <v>ARMUTLU1034</v>
      </c>
      <c r="H356" s="1"/>
      <c r="I356" s="9" t="e">
        <f>IF(VLOOKUP(G356,'Bereketli Satış'!J:AK,5,0)="","",VLOOKUP(G356,'Bereketli Satış'!J:AK,5,0))</f>
        <v>#N/A</v>
      </c>
      <c r="J356" s="9" t="e">
        <f>IF(VLOOKUP(G356,'Bereketli Satış'!J:AK,28,0)="","",VLOOKUP(G356,'Bereketli Satış'!J:AK,28,0))</f>
        <v>#N/A</v>
      </c>
      <c r="K356" s="9"/>
      <c r="L356" s="128"/>
      <c r="M356" s="100" t="e">
        <f>IF(VLOOKUP(G356,'Bereketli Satış'!J:AK,30,0)="","",VLOOKUP(G356,'Bereketli Satış'!J:AK,30,0))</f>
        <v>#N/A</v>
      </c>
      <c r="N356" s="9"/>
      <c r="O356" s="9"/>
      <c r="P356" s="9" t="e">
        <f>IF(VLOOKUP(G356,'Bereketli Satış'!J:AK,32,0)="","",VLOOKUP(G356,'Bereketli Satış'!J:AK,32,0))</f>
        <v>#N/A</v>
      </c>
      <c r="Q356" s="9"/>
      <c r="R356" s="9"/>
    </row>
    <row r="357" spans="1:18">
      <c r="A357" s="8" t="s">
        <v>14</v>
      </c>
      <c r="B357" s="8" t="s">
        <v>23</v>
      </c>
      <c r="C357" s="8" t="s">
        <v>41</v>
      </c>
      <c r="D357" s="8">
        <v>675.4</v>
      </c>
      <c r="E357" s="18">
        <v>125</v>
      </c>
      <c r="F357" s="8">
        <v>4</v>
      </c>
      <c r="G357" s="1" t="str">
        <f t="shared" si="5"/>
        <v>BÜYÜKPINAR1254</v>
      </c>
      <c r="H357" s="8"/>
      <c r="I357" s="9" t="e">
        <f>IF(VLOOKUP(G357,'Bereketli Satış'!J:AK,5,0)="","",VLOOKUP(G357,'Bereketli Satış'!J:AK,5,0))</f>
        <v>#N/A</v>
      </c>
      <c r="J357" s="9" t="e">
        <f>IF(VLOOKUP(G357,'Bereketli Satış'!J:AK,28,0)="","",VLOOKUP(G357,'Bereketli Satış'!J:AK,28,0))</f>
        <v>#N/A</v>
      </c>
      <c r="K357" s="9"/>
      <c r="L357" s="128"/>
      <c r="M357" s="100" t="e">
        <f>IF(VLOOKUP(G357,'Bereketli Satış'!J:AK,30,0)="","",VLOOKUP(G357,'Bereketli Satış'!J:AK,30,0))</f>
        <v>#N/A</v>
      </c>
      <c r="N357" s="100"/>
      <c r="O357" s="100"/>
      <c r="P357" s="9" t="e">
        <f>IF(VLOOKUP(G357,'Bereketli Satış'!J:AK,32,0)="","",VLOOKUP(G357,'Bereketli Satış'!J:AK,32,0))</f>
        <v>#N/A</v>
      </c>
      <c r="Q357" s="100"/>
      <c r="R357" s="100"/>
    </row>
    <row r="358" spans="1:18">
      <c r="A358" s="8" t="s">
        <v>17</v>
      </c>
      <c r="B358" s="8" t="s">
        <v>21</v>
      </c>
      <c r="C358" s="8" t="s">
        <v>22</v>
      </c>
      <c r="D358" s="8">
        <v>679</v>
      </c>
      <c r="E358" s="18">
        <v>105</v>
      </c>
      <c r="F358" s="8">
        <v>16</v>
      </c>
      <c r="G358" s="1" t="str">
        <f t="shared" si="5"/>
        <v>KİLLİK10516</v>
      </c>
      <c r="H358" s="8"/>
      <c r="I358" s="9" t="e">
        <f>IF(VLOOKUP(G358,'Bereketli Satış'!J:AK,5,0)="","",VLOOKUP(G358,'Bereketli Satış'!J:AK,5,0))</f>
        <v>#N/A</v>
      </c>
      <c r="J358" s="9" t="e">
        <f>IF(VLOOKUP(G358,'Bereketli Satış'!J:AK,28,0)="","",VLOOKUP(G358,'Bereketli Satış'!J:AK,28,0))</f>
        <v>#N/A</v>
      </c>
      <c r="K358" s="100"/>
      <c r="L358" s="128"/>
      <c r="M358" s="100" t="e">
        <f>IF(VLOOKUP(G358,'Bereketli Satış'!J:AK,30,0)="","",VLOOKUP(G358,'Bereketli Satış'!J:AK,30,0))</f>
        <v>#N/A</v>
      </c>
      <c r="N358" s="100"/>
      <c r="O358" s="100"/>
      <c r="P358" s="9" t="e">
        <f>IF(VLOOKUP(G358,'Bereketli Satış'!J:AK,32,0)="","",VLOOKUP(G358,'Bereketli Satış'!J:AK,32,0))</f>
        <v>#N/A</v>
      </c>
      <c r="Q358" s="100"/>
      <c r="R358" s="100"/>
    </row>
    <row r="359" spans="1:18">
      <c r="A359" s="8" t="s">
        <v>14</v>
      </c>
      <c r="B359" s="8" t="s">
        <v>33</v>
      </c>
      <c r="C359" s="8" t="s">
        <v>42</v>
      </c>
      <c r="D359" s="8">
        <v>572.51</v>
      </c>
      <c r="E359" s="8">
        <v>116</v>
      </c>
      <c r="F359" s="1">
        <v>18</v>
      </c>
      <c r="G359" s="1" t="str">
        <f t="shared" si="5"/>
        <v>İBİLLER11618</v>
      </c>
      <c r="H359" s="1"/>
      <c r="I359" s="9" t="e">
        <f>IF(VLOOKUP(G359,'Bereketli Satış'!J:AK,5,0)="","",VLOOKUP(G359,'Bereketli Satış'!J:AK,5,0))</f>
        <v>#N/A</v>
      </c>
      <c r="J359" s="9" t="e">
        <f>IF(VLOOKUP(G359,'Bereketli Satış'!J:AK,28,0)="","",VLOOKUP(G359,'Bereketli Satış'!J:AK,28,0))</f>
        <v>#N/A</v>
      </c>
      <c r="K359" s="100"/>
      <c r="L359" s="128"/>
      <c r="M359" s="100" t="e">
        <f>IF(VLOOKUP(G359,'Bereketli Satış'!J:AK,30,0)="","",VLOOKUP(G359,'Bereketli Satış'!J:AK,30,0))</f>
        <v>#N/A</v>
      </c>
      <c r="N359" s="9"/>
      <c r="O359" s="9"/>
      <c r="P359" s="9" t="e">
        <f>IF(VLOOKUP(G359,'Bereketli Satış'!J:AK,32,0)="","",VLOOKUP(G359,'Bereketli Satış'!J:AK,32,0))</f>
        <v>#N/A</v>
      </c>
      <c r="Q359" s="9"/>
      <c r="R359" s="9"/>
    </row>
    <row r="360" spans="1:18">
      <c r="A360" s="8" t="s">
        <v>14</v>
      </c>
      <c r="B360" s="8" t="s">
        <v>33</v>
      </c>
      <c r="C360" s="8" t="s">
        <v>34</v>
      </c>
      <c r="D360" s="8">
        <v>816</v>
      </c>
      <c r="E360" s="8">
        <v>102</v>
      </c>
      <c r="F360" s="1">
        <v>7</v>
      </c>
      <c r="G360" s="1" t="str">
        <f t="shared" si="5"/>
        <v>ARMUTLU1027</v>
      </c>
      <c r="H360" s="1"/>
      <c r="I360" s="9" t="e">
        <f>IF(VLOOKUP(G360,'Bereketli Satış'!J:AK,5,0)="","",VLOOKUP(G360,'Bereketli Satış'!J:AK,5,0))</f>
        <v>#N/A</v>
      </c>
      <c r="J360" s="9" t="e">
        <f>IF(VLOOKUP(G360,'Bereketli Satış'!J:AK,28,0)="","",VLOOKUP(G360,'Bereketli Satış'!J:AK,28,0))</f>
        <v>#N/A</v>
      </c>
      <c r="K360" s="9"/>
      <c r="L360" s="128"/>
      <c r="M360" s="100" t="e">
        <f>IF(VLOOKUP(G360,'Bereketli Satış'!J:AK,30,0)="","",VLOOKUP(G360,'Bereketli Satış'!J:AK,30,0))</f>
        <v>#N/A</v>
      </c>
      <c r="N360" s="9"/>
      <c r="O360" s="9"/>
      <c r="P360" s="9" t="e">
        <f>IF(VLOOKUP(G360,'Bereketli Satış'!J:AK,32,0)="","",VLOOKUP(G360,'Bereketli Satış'!J:AK,32,0))</f>
        <v>#N/A</v>
      </c>
      <c r="Q360" s="9"/>
      <c r="R360" s="9"/>
    </row>
    <row r="361" spans="1:18">
      <c r="A361" s="8" t="s">
        <v>14</v>
      </c>
      <c r="B361" s="8" t="s">
        <v>33</v>
      </c>
      <c r="C361" s="8" t="s">
        <v>34</v>
      </c>
      <c r="D361" s="8">
        <v>816</v>
      </c>
      <c r="E361" s="8">
        <v>102</v>
      </c>
      <c r="F361" s="1">
        <v>3</v>
      </c>
      <c r="G361" s="1" t="str">
        <f t="shared" si="5"/>
        <v>ARMUTLU1023</v>
      </c>
      <c r="H361" s="1"/>
      <c r="I361" s="9" t="e">
        <f>IF(VLOOKUP(G361,'Bereketli Satış'!J:AK,5,0)="","",VLOOKUP(G361,'Bereketli Satış'!J:AK,5,0))</f>
        <v>#N/A</v>
      </c>
      <c r="J361" s="9" t="e">
        <f>IF(VLOOKUP(G361,'Bereketli Satış'!J:AK,28,0)="","",VLOOKUP(G361,'Bereketli Satış'!J:AK,28,0))</f>
        <v>#N/A</v>
      </c>
      <c r="K361" s="9"/>
      <c r="L361" s="128"/>
      <c r="M361" s="100" t="e">
        <f>IF(VLOOKUP(G361,'Bereketli Satış'!J:AK,30,0)="","",VLOOKUP(G361,'Bereketli Satış'!J:AK,30,0))</f>
        <v>#N/A</v>
      </c>
      <c r="N361" s="9"/>
      <c r="O361" s="9"/>
      <c r="P361" s="9" t="e">
        <f>IF(VLOOKUP(G361,'Bereketli Satış'!J:AK,32,0)="","",VLOOKUP(G361,'Bereketli Satış'!J:AK,32,0))</f>
        <v>#N/A</v>
      </c>
      <c r="Q361" s="9"/>
      <c r="R361" s="9"/>
    </row>
    <row r="362" spans="1:18">
      <c r="A362" s="8" t="s">
        <v>14</v>
      </c>
      <c r="B362" s="8" t="s">
        <v>33</v>
      </c>
      <c r="C362" s="8" t="s">
        <v>34</v>
      </c>
      <c r="D362" s="8">
        <v>816</v>
      </c>
      <c r="E362" s="8">
        <v>102</v>
      </c>
      <c r="F362" s="1">
        <v>4</v>
      </c>
      <c r="G362" s="1" t="str">
        <f t="shared" si="5"/>
        <v>ARMUTLU1024</v>
      </c>
      <c r="H362" s="1"/>
      <c r="I362" s="9" t="e">
        <f>IF(VLOOKUP(G362,'Bereketli Satış'!J:AK,5,0)="","",VLOOKUP(G362,'Bereketli Satış'!J:AK,5,0))</f>
        <v>#N/A</v>
      </c>
      <c r="J362" s="9" t="e">
        <f>IF(VLOOKUP(G362,'Bereketli Satış'!J:AK,28,0)="","",VLOOKUP(G362,'Bereketli Satış'!J:AK,28,0))</f>
        <v>#N/A</v>
      </c>
      <c r="K362" s="9"/>
      <c r="L362" s="128"/>
      <c r="M362" s="100" t="e">
        <f>IF(VLOOKUP(G362,'Bereketli Satış'!J:AK,30,0)="","",VLOOKUP(G362,'Bereketli Satış'!J:AK,30,0))</f>
        <v>#N/A</v>
      </c>
      <c r="N362" s="100"/>
      <c r="O362" s="100"/>
      <c r="P362" s="9" t="e">
        <f>IF(VLOOKUP(G362,'Bereketli Satış'!J:AK,32,0)="","",VLOOKUP(G362,'Bereketli Satış'!J:AK,32,0))</f>
        <v>#N/A</v>
      </c>
      <c r="Q362" s="100"/>
      <c r="R362" s="100"/>
    </row>
    <row r="363" spans="1:18">
      <c r="A363" s="8" t="s">
        <v>14</v>
      </c>
      <c r="B363" s="8" t="s">
        <v>33</v>
      </c>
      <c r="C363" s="8" t="s">
        <v>42</v>
      </c>
      <c r="D363" s="8">
        <v>575.55999999999995</v>
      </c>
      <c r="E363" s="8">
        <v>118</v>
      </c>
      <c r="F363" s="8">
        <v>2</v>
      </c>
      <c r="G363" s="1" t="str">
        <f t="shared" si="5"/>
        <v>İBİLLER1182</v>
      </c>
      <c r="H363" s="8"/>
      <c r="I363" s="9" t="e">
        <f>IF(VLOOKUP(G363,'Bereketli Satış'!J:AK,5,0)="","",VLOOKUP(G363,'Bereketli Satış'!J:AK,5,0))</f>
        <v>#N/A</v>
      </c>
      <c r="J363" s="9" t="e">
        <f>IF(VLOOKUP(G363,'Bereketli Satış'!J:AK,28,0)="","",VLOOKUP(G363,'Bereketli Satış'!J:AK,28,0))</f>
        <v>#N/A</v>
      </c>
      <c r="K363" s="100"/>
      <c r="L363" s="128"/>
      <c r="M363" s="100" t="e">
        <f>IF(VLOOKUP(G363,'Bereketli Satış'!J:AK,30,0)="","",VLOOKUP(G363,'Bereketli Satış'!J:AK,30,0))</f>
        <v>#N/A</v>
      </c>
      <c r="N363" s="9"/>
      <c r="O363" s="9"/>
      <c r="P363" s="9" t="e">
        <f>IF(VLOOKUP(G363,'Bereketli Satış'!J:AK,32,0)="","",VLOOKUP(G363,'Bereketli Satış'!J:AK,32,0))</f>
        <v>#N/A</v>
      </c>
      <c r="Q363" s="9"/>
      <c r="R363" s="9"/>
    </row>
    <row r="364" spans="1:18">
      <c r="A364" s="8" t="s">
        <v>14</v>
      </c>
      <c r="B364" s="8" t="s">
        <v>33</v>
      </c>
      <c r="C364" s="8" t="s">
        <v>34</v>
      </c>
      <c r="D364" s="8">
        <v>816.47</v>
      </c>
      <c r="E364" s="8">
        <v>102</v>
      </c>
      <c r="F364" s="1">
        <v>8</v>
      </c>
      <c r="G364" s="1" t="str">
        <f t="shared" si="5"/>
        <v>ARMUTLU1028</v>
      </c>
      <c r="H364" s="1"/>
      <c r="I364" s="9" t="e">
        <f>IF(VLOOKUP(G364,'Bereketli Satış'!J:AK,5,0)="","",VLOOKUP(G364,'Bereketli Satış'!J:AK,5,0))</f>
        <v>#N/A</v>
      </c>
      <c r="J364" s="9" t="e">
        <f>IF(VLOOKUP(G364,'Bereketli Satış'!J:AK,28,0)="","",VLOOKUP(G364,'Bereketli Satış'!J:AK,28,0))</f>
        <v>#N/A</v>
      </c>
      <c r="K364" s="9"/>
      <c r="L364" s="128"/>
      <c r="M364" s="100" t="e">
        <f>IF(VLOOKUP(G364,'Bereketli Satış'!J:AK,30,0)="","",VLOOKUP(G364,'Bereketli Satış'!J:AK,30,0))</f>
        <v>#N/A</v>
      </c>
      <c r="N364" s="9"/>
      <c r="O364" s="9"/>
      <c r="P364" s="9" t="e">
        <f>IF(VLOOKUP(G364,'Bereketli Satış'!J:AK,32,0)="","",VLOOKUP(G364,'Bereketli Satış'!J:AK,32,0))</f>
        <v>#N/A</v>
      </c>
      <c r="Q364" s="9"/>
      <c r="R364" s="9"/>
    </row>
    <row r="365" spans="1:18">
      <c r="A365" s="8" t="s">
        <v>14</v>
      </c>
      <c r="B365" s="8" t="s">
        <v>15</v>
      </c>
      <c r="C365" s="8" t="s">
        <v>16</v>
      </c>
      <c r="D365" s="8">
        <v>753.16</v>
      </c>
      <c r="E365" s="8">
        <v>168</v>
      </c>
      <c r="F365" s="1">
        <v>5</v>
      </c>
      <c r="G365" s="1" t="str">
        <f t="shared" si="5"/>
        <v>REŞADİYE1685</v>
      </c>
      <c r="H365" s="1"/>
      <c r="I365" s="9" t="e">
        <f>IF(VLOOKUP(G365,'Bereketli Satış'!J:AK,5,0)="","",VLOOKUP(G365,'Bereketli Satış'!J:AK,5,0))</f>
        <v>#N/A</v>
      </c>
      <c r="J365" s="9" t="e">
        <f>IF(VLOOKUP(G365,'Bereketli Satış'!J:AK,28,0)="","",VLOOKUP(G365,'Bereketli Satış'!J:AK,28,0))</f>
        <v>#N/A</v>
      </c>
      <c r="K365" s="9"/>
      <c r="L365" s="128"/>
      <c r="M365" s="100" t="e">
        <f>IF(VLOOKUP(G365,'Bereketli Satış'!J:AK,30,0)="","",VLOOKUP(G365,'Bereketli Satış'!J:AK,30,0))</f>
        <v>#N/A</v>
      </c>
      <c r="N365" s="100"/>
      <c r="O365" s="100"/>
      <c r="P365" s="9" t="e">
        <f>IF(VLOOKUP(G365,'Bereketli Satış'!J:AK,32,0)="","",VLOOKUP(G365,'Bereketli Satış'!J:AK,32,0))</f>
        <v>#N/A</v>
      </c>
      <c r="Q365" s="100"/>
      <c r="R365" s="100"/>
    </row>
    <row r="366" spans="1:18">
      <c r="A366" s="8" t="s">
        <v>14</v>
      </c>
      <c r="B366" s="8" t="s">
        <v>33</v>
      </c>
      <c r="C366" s="8" t="s">
        <v>42</v>
      </c>
      <c r="D366" s="8">
        <v>605.48</v>
      </c>
      <c r="E366" s="18">
        <v>117</v>
      </c>
      <c r="F366" s="8">
        <v>12</v>
      </c>
      <c r="G366" s="1" t="str">
        <f t="shared" si="5"/>
        <v>İBİLLER11712</v>
      </c>
      <c r="H366" s="8"/>
      <c r="I366" s="9" t="e">
        <f>IF(VLOOKUP(G366,'Bereketli Satış'!J:AK,5,0)="","",VLOOKUP(G366,'Bereketli Satış'!J:AK,5,0))</f>
        <v>#N/A</v>
      </c>
      <c r="J366" s="9" t="e">
        <f>IF(VLOOKUP(G366,'Bereketli Satış'!J:AK,28,0)="","",VLOOKUP(G366,'Bereketli Satış'!J:AK,28,0))</f>
        <v>#N/A</v>
      </c>
      <c r="K366" s="100"/>
      <c r="L366" s="128"/>
      <c r="M366" s="100" t="e">
        <f>IF(VLOOKUP(G366,'Bereketli Satış'!J:AK,30,0)="","",VLOOKUP(G366,'Bereketli Satış'!J:AK,30,0))</f>
        <v>#N/A</v>
      </c>
      <c r="N366" s="100"/>
      <c r="O366" s="100"/>
      <c r="P366" s="9" t="e">
        <f>IF(VLOOKUP(G366,'Bereketli Satış'!J:AK,32,0)="","",VLOOKUP(G366,'Bereketli Satış'!J:AK,32,0))</f>
        <v>#N/A</v>
      </c>
      <c r="Q366" s="100"/>
      <c r="R366" s="100"/>
    </row>
    <row r="367" spans="1:18">
      <c r="A367" s="8" t="s">
        <v>14</v>
      </c>
      <c r="B367" s="8" t="s">
        <v>33</v>
      </c>
      <c r="C367" s="8" t="s">
        <v>42</v>
      </c>
      <c r="D367" s="8">
        <v>605.6</v>
      </c>
      <c r="E367" s="18">
        <v>117</v>
      </c>
      <c r="F367" s="8">
        <v>4</v>
      </c>
      <c r="G367" s="1" t="str">
        <f t="shared" si="5"/>
        <v>İBİLLER1174</v>
      </c>
      <c r="H367" s="8"/>
      <c r="I367" s="9" t="e">
        <f>IF(VLOOKUP(G367,'Bereketli Satış'!J:AK,5,0)="","",VLOOKUP(G367,'Bereketli Satış'!J:AK,5,0))</f>
        <v>#N/A</v>
      </c>
      <c r="J367" s="9" t="e">
        <f>IF(VLOOKUP(G367,'Bereketli Satış'!J:AK,28,0)="","",VLOOKUP(G367,'Bereketli Satış'!J:AK,28,0))</f>
        <v>#N/A</v>
      </c>
      <c r="K367" s="100"/>
      <c r="L367" s="128"/>
      <c r="M367" s="100" t="e">
        <f>IF(VLOOKUP(G367,'Bereketli Satış'!J:AK,30,0)="","",VLOOKUP(G367,'Bereketli Satış'!J:AK,30,0))</f>
        <v>#N/A</v>
      </c>
      <c r="N367" s="100"/>
      <c r="O367" s="100"/>
      <c r="P367" s="9" t="e">
        <f>IF(VLOOKUP(G367,'Bereketli Satış'!J:AK,32,0)="","",VLOOKUP(G367,'Bereketli Satış'!J:AK,32,0))</f>
        <v>#N/A</v>
      </c>
      <c r="Q367" s="100"/>
      <c r="R367" s="100"/>
    </row>
    <row r="368" spans="1:18">
      <c r="A368" s="8" t="s">
        <v>14</v>
      </c>
      <c r="B368" s="8" t="s">
        <v>33</v>
      </c>
      <c r="C368" s="8" t="s">
        <v>42</v>
      </c>
      <c r="D368" s="8">
        <v>605.79999999999995</v>
      </c>
      <c r="E368" s="18">
        <v>117</v>
      </c>
      <c r="F368" s="8">
        <v>11</v>
      </c>
      <c r="G368" s="1" t="str">
        <f t="shared" si="5"/>
        <v>İBİLLER11711</v>
      </c>
      <c r="H368" s="8"/>
      <c r="I368" s="9" t="e">
        <f>IF(VLOOKUP(G368,'Bereketli Satış'!J:AK,5,0)="","",VLOOKUP(G368,'Bereketli Satış'!J:AK,5,0))</f>
        <v>#N/A</v>
      </c>
      <c r="J368" s="9" t="e">
        <f>IF(VLOOKUP(G368,'Bereketli Satış'!J:AK,28,0)="","",VLOOKUP(G368,'Bereketli Satış'!J:AK,28,0))</f>
        <v>#N/A</v>
      </c>
      <c r="K368" s="100"/>
      <c r="L368" s="128"/>
      <c r="M368" s="100" t="e">
        <f>IF(VLOOKUP(G368,'Bereketli Satış'!J:AK,30,0)="","",VLOOKUP(G368,'Bereketli Satış'!J:AK,30,0))</f>
        <v>#N/A</v>
      </c>
      <c r="N368" s="100"/>
      <c r="O368" s="100"/>
      <c r="P368" s="9" t="e">
        <f>IF(VLOOKUP(G368,'Bereketli Satış'!J:AK,32,0)="","",VLOOKUP(G368,'Bereketli Satış'!J:AK,32,0))</f>
        <v>#N/A</v>
      </c>
      <c r="Q368" s="100"/>
      <c r="R368" s="100"/>
    </row>
    <row r="369" spans="1:18">
      <c r="A369" s="8" t="s">
        <v>14</v>
      </c>
      <c r="B369" s="8" t="s">
        <v>33</v>
      </c>
      <c r="C369" s="8" t="s">
        <v>42</v>
      </c>
      <c r="D369" s="8">
        <v>606.11</v>
      </c>
      <c r="E369" s="18">
        <v>117</v>
      </c>
      <c r="F369" s="8">
        <v>10</v>
      </c>
      <c r="G369" s="1" t="str">
        <f t="shared" si="5"/>
        <v>İBİLLER11710</v>
      </c>
      <c r="H369" s="8"/>
      <c r="I369" s="9" t="e">
        <f>IF(VLOOKUP(G369,'Bereketli Satış'!J:AK,5,0)="","",VLOOKUP(G369,'Bereketli Satış'!J:AK,5,0))</f>
        <v>#N/A</v>
      </c>
      <c r="J369" s="9" t="e">
        <f>IF(VLOOKUP(G369,'Bereketli Satış'!J:AK,28,0)="","",VLOOKUP(G369,'Bereketli Satış'!J:AK,28,0))</f>
        <v>#N/A</v>
      </c>
      <c r="K369" s="100"/>
      <c r="L369" s="128"/>
      <c r="M369" s="100" t="e">
        <f>IF(VLOOKUP(G369,'Bereketli Satış'!J:AK,30,0)="","",VLOOKUP(G369,'Bereketli Satış'!J:AK,30,0))</f>
        <v>#N/A</v>
      </c>
      <c r="N369" s="100"/>
      <c r="O369" s="100"/>
      <c r="P369" s="9" t="e">
        <f>IF(VLOOKUP(G369,'Bereketli Satış'!J:AK,32,0)="","",VLOOKUP(G369,'Bereketli Satış'!J:AK,32,0))</f>
        <v>#N/A</v>
      </c>
      <c r="Q369" s="100"/>
      <c r="R369" s="100"/>
    </row>
    <row r="370" spans="1:18">
      <c r="A370" s="8" t="s">
        <v>14</v>
      </c>
      <c r="B370" s="8" t="s">
        <v>33</v>
      </c>
      <c r="C370" s="8" t="s">
        <v>42</v>
      </c>
      <c r="D370" s="8">
        <v>610</v>
      </c>
      <c r="E370" s="18">
        <v>111</v>
      </c>
      <c r="F370" s="8">
        <v>4</v>
      </c>
      <c r="G370" s="1" t="str">
        <f t="shared" si="5"/>
        <v>İBİLLER1114</v>
      </c>
      <c r="H370" s="8"/>
      <c r="I370" s="9" t="e">
        <f>IF(VLOOKUP(G370,'Bereketli Satış'!J:AK,5,0)="","",VLOOKUP(G370,'Bereketli Satış'!J:AK,5,0))</f>
        <v>#N/A</v>
      </c>
      <c r="J370" s="9" t="e">
        <f>IF(VLOOKUP(G370,'Bereketli Satış'!J:AK,28,0)="","",VLOOKUP(G370,'Bereketli Satış'!J:AK,28,0))</f>
        <v>#N/A</v>
      </c>
      <c r="K370" s="100"/>
      <c r="L370" s="128"/>
      <c r="M370" s="100" t="e">
        <f>IF(VLOOKUP(G370,'Bereketli Satış'!J:AK,30,0)="","",VLOOKUP(G370,'Bereketli Satış'!J:AK,30,0))</f>
        <v>#N/A</v>
      </c>
      <c r="N370" s="100"/>
      <c r="O370" s="100"/>
      <c r="P370" s="9" t="e">
        <f>IF(VLOOKUP(G370,'Bereketli Satış'!J:AK,32,0)="","",VLOOKUP(G370,'Bereketli Satış'!J:AK,32,0))</f>
        <v>#N/A</v>
      </c>
      <c r="Q370" s="100"/>
      <c r="R370" s="100"/>
    </row>
    <row r="371" spans="1:18">
      <c r="A371" s="8" t="s">
        <v>14</v>
      </c>
      <c r="B371" s="8" t="s">
        <v>23</v>
      </c>
      <c r="C371" s="8" t="s">
        <v>41</v>
      </c>
      <c r="D371" s="8">
        <v>988.72</v>
      </c>
      <c r="E371" s="18">
        <v>135</v>
      </c>
      <c r="F371" s="8">
        <v>4</v>
      </c>
      <c r="G371" s="1" t="str">
        <f t="shared" si="5"/>
        <v>BÜYÜKPINAR1354</v>
      </c>
      <c r="H371" s="8"/>
      <c r="I371" s="9" t="e">
        <f>IF(VLOOKUP(G371,'Bereketli Satış'!J:AK,5,0)="","",VLOOKUP(G371,'Bereketli Satış'!J:AK,5,0))</f>
        <v>#N/A</v>
      </c>
      <c r="J371" s="9" t="e">
        <f>IF(VLOOKUP(G371,'Bereketli Satış'!J:AK,28,0)="","",VLOOKUP(G371,'Bereketli Satış'!J:AK,28,0))</f>
        <v>#N/A</v>
      </c>
      <c r="K371" s="100"/>
      <c r="L371" s="128"/>
      <c r="M371" s="100" t="e">
        <f>IF(VLOOKUP(G371,'Bereketli Satış'!J:AK,30,0)="","",VLOOKUP(G371,'Bereketli Satış'!J:AK,30,0))</f>
        <v>#N/A</v>
      </c>
      <c r="N371" s="100"/>
      <c r="O371" s="100"/>
      <c r="P371" s="9" t="e">
        <f>IF(VLOOKUP(G371,'Bereketli Satış'!J:AK,32,0)="","",VLOOKUP(G371,'Bereketli Satış'!J:AK,32,0))</f>
        <v>#N/A</v>
      </c>
      <c r="Q371" s="100"/>
      <c r="R371" s="100"/>
    </row>
    <row r="372" spans="1:18">
      <c r="A372" s="8" t="s">
        <v>14</v>
      </c>
      <c r="B372" s="8" t="s">
        <v>33</v>
      </c>
      <c r="C372" s="8" t="s">
        <v>42</v>
      </c>
      <c r="D372" s="8">
        <v>620</v>
      </c>
      <c r="E372" s="18">
        <v>116</v>
      </c>
      <c r="F372" s="8">
        <v>2</v>
      </c>
      <c r="G372" s="1" t="str">
        <f t="shared" si="5"/>
        <v>İBİLLER1162</v>
      </c>
      <c r="H372" s="8"/>
      <c r="I372" s="9" t="e">
        <f>IF(VLOOKUP(G372,'Bereketli Satış'!J:AK,5,0)="","",VLOOKUP(G372,'Bereketli Satış'!J:AK,5,0))</f>
        <v>#N/A</v>
      </c>
      <c r="J372" s="9" t="e">
        <f>IF(VLOOKUP(G372,'Bereketli Satış'!J:AK,28,0)="","",VLOOKUP(G372,'Bereketli Satış'!J:AK,28,0))</f>
        <v>#N/A</v>
      </c>
      <c r="K372" s="100"/>
      <c r="L372" s="128"/>
      <c r="M372" s="100" t="e">
        <f>IF(VLOOKUP(G372,'Bereketli Satış'!J:AK,30,0)="","",VLOOKUP(G372,'Bereketli Satış'!J:AK,30,0))</f>
        <v>#N/A</v>
      </c>
      <c r="N372" s="100"/>
      <c r="O372" s="100"/>
      <c r="P372" s="9" t="e">
        <f>IF(VLOOKUP(G372,'Bereketli Satış'!J:AK,32,0)="","",VLOOKUP(G372,'Bereketli Satış'!J:AK,32,0))</f>
        <v>#N/A</v>
      </c>
      <c r="Q372" s="100"/>
      <c r="R372" s="100"/>
    </row>
    <row r="373" spans="1:18">
      <c r="A373" s="8" t="s">
        <v>14</v>
      </c>
      <c r="B373" s="8" t="s">
        <v>33</v>
      </c>
      <c r="C373" s="8" t="s">
        <v>42</v>
      </c>
      <c r="D373" s="8">
        <v>620</v>
      </c>
      <c r="E373" s="18">
        <v>116</v>
      </c>
      <c r="F373" s="8">
        <v>3</v>
      </c>
      <c r="G373" s="1" t="str">
        <f t="shared" si="5"/>
        <v>İBİLLER1163</v>
      </c>
      <c r="H373" s="8"/>
      <c r="I373" s="9" t="e">
        <f>IF(VLOOKUP(G373,'Bereketli Satış'!J:AK,5,0)="","",VLOOKUP(G373,'Bereketli Satış'!J:AK,5,0))</f>
        <v>#N/A</v>
      </c>
      <c r="J373" s="9" t="e">
        <f>IF(VLOOKUP(G373,'Bereketli Satış'!J:AK,28,0)="","",VLOOKUP(G373,'Bereketli Satış'!J:AK,28,0))</f>
        <v>#N/A</v>
      </c>
      <c r="K373" s="100"/>
      <c r="L373" s="128"/>
      <c r="M373" s="100" t="e">
        <f>IF(VLOOKUP(G373,'Bereketli Satış'!J:AK,30,0)="","",VLOOKUP(G373,'Bereketli Satış'!J:AK,30,0))</f>
        <v>#N/A</v>
      </c>
      <c r="N373" s="100"/>
      <c r="O373" s="100"/>
      <c r="P373" s="9" t="e">
        <f>IF(VLOOKUP(G373,'Bereketli Satış'!J:AK,32,0)="","",VLOOKUP(G373,'Bereketli Satış'!J:AK,32,0))</f>
        <v>#N/A</v>
      </c>
      <c r="Q373" s="100"/>
      <c r="R373" s="100"/>
    </row>
    <row r="374" spans="1:18">
      <c r="A374" s="8" t="s">
        <v>14</v>
      </c>
      <c r="B374" s="8" t="s">
        <v>33</v>
      </c>
      <c r="C374" s="8" t="s">
        <v>42</v>
      </c>
      <c r="D374" s="8">
        <v>620</v>
      </c>
      <c r="E374" s="18">
        <v>116</v>
      </c>
      <c r="F374" s="8">
        <v>4</v>
      </c>
      <c r="G374" s="1" t="str">
        <f t="shared" si="5"/>
        <v>İBİLLER1164</v>
      </c>
      <c r="H374" s="8"/>
      <c r="I374" s="9" t="e">
        <f>IF(VLOOKUP(G374,'Bereketli Satış'!J:AK,5,0)="","",VLOOKUP(G374,'Bereketli Satış'!J:AK,5,0))</f>
        <v>#N/A</v>
      </c>
      <c r="J374" s="9" t="e">
        <f>IF(VLOOKUP(G374,'Bereketli Satış'!J:AK,28,0)="","",VLOOKUP(G374,'Bereketli Satış'!J:AK,28,0))</f>
        <v>#N/A</v>
      </c>
      <c r="K374" s="100"/>
      <c r="L374" s="128"/>
      <c r="M374" s="100" t="e">
        <f>IF(VLOOKUP(G374,'Bereketli Satış'!J:AK,30,0)="","",VLOOKUP(G374,'Bereketli Satış'!J:AK,30,0))</f>
        <v>#N/A</v>
      </c>
      <c r="N374" s="100"/>
      <c r="O374" s="100"/>
      <c r="P374" s="9" t="e">
        <f>IF(VLOOKUP(G374,'Bereketli Satış'!J:AK,32,0)="","",VLOOKUP(G374,'Bereketli Satış'!J:AK,32,0))</f>
        <v>#N/A</v>
      </c>
      <c r="Q374" s="100"/>
      <c r="R374" s="100"/>
    </row>
    <row r="375" spans="1:18">
      <c r="A375" s="8" t="s">
        <v>14</v>
      </c>
      <c r="B375" s="8" t="s">
        <v>33</v>
      </c>
      <c r="C375" s="8" t="s">
        <v>42</v>
      </c>
      <c r="D375" s="8">
        <v>620.74</v>
      </c>
      <c r="E375" s="18">
        <v>117</v>
      </c>
      <c r="F375" s="8">
        <v>2</v>
      </c>
      <c r="G375" s="1" t="str">
        <f t="shared" si="5"/>
        <v>İBİLLER1172</v>
      </c>
      <c r="H375" s="8"/>
      <c r="I375" s="9" t="e">
        <f>IF(VLOOKUP(G375,'Bereketli Satış'!J:AK,5,0)="","",VLOOKUP(G375,'Bereketli Satış'!J:AK,5,0))</f>
        <v>#N/A</v>
      </c>
      <c r="J375" s="9" t="e">
        <f>IF(VLOOKUP(G375,'Bereketli Satış'!J:AK,28,0)="","",VLOOKUP(G375,'Bereketli Satış'!J:AK,28,0))</f>
        <v>#N/A</v>
      </c>
      <c r="K375" s="100"/>
      <c r="L375" s="128"/>
      <c r="M375" s="100" t="e">
        <f>IF(VLOOKUP(G375,'Bereketli Satış'!J:AK,30,0)="","",VLOOKUP(G375,'Bereketli Satış'!J:AK,30,0))</f>
        <v>#N/A</v>
      </c>
      <c r="N375" s="100"/>
      <c r="O375" s="100"/>
      <c r="P375" s="9" t="e">
        <f>IF(VLOOKUP(G375,'Bereketli Satış'!J:AK,32,0)="","",VLOOKUP(G375,'Bereketli Satış'!J:AK,32,0))</f>
        <v>#N/A</v>
      </c>
      <c r="Q375" s="100"/>
      <c r="R375" s="100"/>
    </row>
    <row r="376" spans="1:18">
      <c r="A376" s="8" t="s">
        <v>14</v>
      </c>
      <c r="B376" s="8" t="s">
        <v>33</v>
      </c>
      <c r="C376" s="8" t="s">
        <v>42</v>
      </c>
      <c r="D376" s="8">
        <v>620.74</v>
      </c>
      <c r="E376" s="18">
        <v>117</v>
      </c>
      <c r="F376" s="8">
        <v>3</v>
      </c>
      <c r="G376" s="1" t="str">
        <f t="shared" si="5"/>
        <v>İBİLLER1173</v>
      </c>
      <c r="H376" s="8"/>
      <c r="I376" s="9" t="e">
        <f>IF(VLOOKUP(G376,'Bereketli Satış'!J:AK,5,0)="","",VLOOKUP(G376,'Bereketli Satış'!J:AK,5,0))</f>
        <v>#N/A</v>
      </c>
      <c r="J376" s="9" t="e">
        <f>IF(VLOOKUP(G376,'Bereketli Satış'!J:AK,28,0)="","",VLOOKUP(G376,'Bereketli Satış'!J:AK,28,0))</f>
        <v>#N/A</v>
      </c>
      <c r="K376" s="100"/>
      <c r="L376" s="128"/>
      <c r="M376" s="100" t="e">
        <f>IF(VLOOKUP(G376,'Bereketli Satış'!J:AK,30,0)="","",VLOOKUP(G376,'Bereketli Satış'!J:AK,30,0))</f>
        <v>#N/A</v>
      </c>
      <c r="N376" s="9"/>
      <c r="O376" s="9"/>
      <c r="P376" s="9" t="e">
        <f>IF(VLOOKUP(G376,'Bereketli Satış'!J:AK,32,0)="","",VLOOKUP(G376,'Bereketli Satış'!J:AK,32,0))</f>
        <v>#N/A</v>
      </c>
      <c r="Q376" s="9"/>
      <c r="R376" s="9"/>
    </row>
    <row r="377" spans="1:18">
      <c r="A377" s="8" t="s">
        <v>14</v>
      </c>
      <c r="B377" s="8" t="s">
        <v>15</v>
      </c>
      <c r="C377" s="8" t="s">
        <v>16</v>
      </c>
      <c r="D377" s="8">
        <v>771.66</v>
      </c>
      <c r="E377" s="8">
        <v>181</v>
      </c>
      <c r="F377" s="1">
        <v>14</v>
      </c>
      <c r="G377" s="1" t="str">
        <f t="shared" si="5"/>
        <v>REŞADİYE18114</v>
      </c>
      <c r="H377" s="1"/>
      <c r="I377" s="9" t="e">
        <f>IF(VLOOKUP(G377,'Bereketli Satış'!J:AK,5,0)="","",VLOOKUP(G377,'Bereketli Satış'!J:AK,5,0))</f>
        <v>#N/A</v>
      </c>
      <c r="J377" s="9" t="e">
        <f>IF(VLOOKUP(G377,'Bereketli Satış'!J:AK,28,0)="","",VLOOKUP(G377,'Bereketli Satış'!J:AK,28,0))</f>
        <v>#N/A</v>
      </c>
      <c r="K377" s="9"/>
      <c r="L377" s="128"/>
      <c r="M377" s="100" t="e">
        <f>IF(VLOOKUP(G377,'Bereketli Satış'!J:AK,30,0)="","",VLOOKUP(G377,'Bereketli Satış'!J:AK,30,0))</f>
        <v>#N/A</v>
      </c>
      <c r="N377" s="100"/>
      <c r="O377" s="100"/>
      <c r="P377" s="9" t="e">
        <f>IF(VLOOKUP(G377,'Bereketli Satış'!J:AK,32,0)="","",VLOOKUP(G377,'Bereketli Satış'!J:AK,32,0))</f>
        <v>#N/A</v>
      </c>
      <c r="Q377" s="100"/>
      <c r="R377" s="100"/>
    </row>
    <row r="378" spans="1:18">
      <c r="A378" s="8" t="s">
        <v>14</v>
      </c>
      <c r="B378" s="8" t="s">
        <v>33</v>
      </c>
      <c r="C378" s="8" t="s">
        <v>42</v>
      </c>
      <c r="D378" s="8">
        <v>660.57</v>
      </c>
      <c r="E378" s="18">
        <v>117</v>
      </c>
      <c r="F378" s="8">
        <v>17</v>
      </c>
      <c r="G378" s="1" t="str">
        <f t="shared" si="5"/>
        <v>İBİLLER11717</v>
      </c>
      <c r="H378" s="8"/>
      <c r="I378" s="9" t="e">
        <f>IF(VLOOKUP(G378,'Bereketli Satış'!J:AK,5,0)="","",VLOOKUP(G378,'Bereketli Satış'!J:AK,5,0))</f>
        <v>#N/A</v>
      </c>
      <c r="J378" s="9" t="e">
        <f>IF(VLOOKUP(G378,'Bereketli Satış'!J:AK,28,0)="","",VLOOKUP(G378,'Bereketli Satış'!J:AK,28,0))</f>
        <v>#N/A</v>
      </c>
      <c r="K378" s="100"/>
      <c r="L378" s="128"/>
      <c r="M378" s="100" t="e">
        <f>IF(VLOOKUP(G378,'Bereketli Satış'!J:AK,30,0)="","",VLOOKUP(G378,'Bereketli Satış'!J:AK,30,0))</f>
        <v>#N/A</v>
      </c>
      <c r="N378" s="100"/>
      <c r="O378" s="100"/>
      <c r="P378" s="9" t="e">
        <f>IF(VLOOKUP(G378,'Bereketli Satış'!J:AK,32,0)="","",VLOOKUP(G378,'Bereketli Satış'!J:AK,32,0))</f>
        <v>#N/A</v>
      </c>
      <c r="Q378" s="100"/>
      <c r="R378" s="100"/>
    </row>
    <row r="379" spans="1:18">
      <c r="A379" s="8" t="s">
        <v>14</v>
      </c>
      <c r="B379" s="8" t="s">
        <v>33</v>
      </c>
      <c r="C379" s="8" t="s">
        <v>42</v>
      </c>
      <c r="D379" s="8">
        <v>671.12</v>
      </c>
      <c r="E379" s="18">
        <v>110</v>
      </c>
      <c r="F379" s="8">
        <v>5</v>
      </c>
      <c r="G379" s="1" t="str">
        <f t="shared" si="5"/>
        <v>İBİLLER1105</v>
      </c>
      <c r="H379" s="8"/>
      <c r="I379" s="9" t="e">
        <f>IF(VLOOKUP(G379,'Bereketli Satış'!J:AK,5,0)="","",VLOOKUP(G379,'Bereketli Satış'!J:AK,5,0))</f>
        <v>#N/A</v>
      </c>
      <c r="J379" s="9" t="e">
        <f>IF(VLOOKUP(G379,'Bereketli Satış'!J:AK,28,0)="","",VLOOKUP(G379,'Bereketli Satış'!J:AK,28,0))</f>
        <v>#N/A</v>
      </c>
      <c r="K379" s="100"/>
      <c r="L379" s="128"/>
      <c r="M379" s="100" t="e">
        <f>IF(VLOOKUP(G379,'Bereketli Satış'!J:AK,30,0)="","",VLOOKUP(G379,'Bereketli Satış'!J:AK,30,0))</f>
        <v>#N/A</v>
      </c>
      <c r="N379" s="100"/>
      <c r="O379" s="100"/>
      <c r="P379" s="9" t="e">
        <f>IF(VLOOKUP(G379,'Bereketli Satış'!J:AK,32,0)="","",VLOOKUP(G379,'Bereketli Satış'!J:AK,32,0))</f>
        <v>#N/A</v>
      </c>
      <c r="Q379" s="100"/>
      <c r="R379" s="100"/>
    </row>
    <row r="380" spans="1:18">
      <c r="A380" s="8" t="s">
        <v>14</v>
      </c>
      <c r="B380" s="8" t="s">
        <v>33</v>
      </c>
      <c r="C380" s="8" t="s">
        <v>42</v>
      </c>
      <c r="D380" s="8">
        <v>683.55</v>
      </c>
      <c r="E380" s="18">
        <v>116</v>
      </c>
      <c r="F380" s="8">
        <v>9</v>
      </c>
      <c r="G380" s="1" t="str">
        <f t="shared" si="5"/>
        <v>İBİLLER1169</v>
      </c>
      <c r="H380" s="8"/>
      <c r="I380" s="9" t="e">
        <f>IF(VLOOKUP(G380,'Bereketli Satış'!J:AK,5,0)="","",VLOOKUP(G380,'Bereketli Satış'!J:AK,5,0))</f>
        <v>#N/A</v>
      </c>
      <c r="J380" s="9" t="e">
        <f>IF(VLOOKUP(G380,'Bereketli Satış'!J:AK,28,0)="","",VLOOKUP(G380,'Bereketli Satış'!J:AK,28,0))</f>
        <v>#N/A</v>
      </c>
      <c r="K380" s="100"/>
      <c r="L380" s="128"/>
      <c r="M380" s="100" t="e">
        <f>IF(VLOOKUP(G380,'Bereketli Satış'!J:AK,30,0)="","",VLOOKUP(G380,'Bereketli Satış'!J:AK,30,0))</f>
        <v>#N/A</v>
      </c>
      <c r="N380" s="100"/>
      <c r="O380" s="100"/>
      <c r="P380" s="9" t="e">
        <f>IF(VLOOKUP(G380,'Bereketli Satış'!J:AK,32,0)="","",VLOOKUP(G380,'Bereketli Satış'!J:AK,32,0))</f>
        <v>#N/A</v>
      </c>
      <c r="Q380" s="100"/>
      <c r="R380" s="100"/>
    </row>
    <row r="381" spans="1:18">
      <c r="A381" s="8" t="s">
        <v>14</v>
      </c>
      <c r="B381" s="8" t="s">
        <v>33</v>
      </c>
      <c r="C381" s="8" t="s">
        <v>42</v>
      </c>
      <c r="D381" s="8">
        <v>688.89</v>
      </c>
      <c r="E381" s="18">
        <v>117</v>
      </c>
      <c r="F381" s="8">
        <v>1</v>
      </c>
      <c r="G381" s="1" t="str">
        <f t="shared" si="5"/>
        <v>İBİLLER1171</v>
      </c>
      <c r="H381" s="8"/>
      <c r="I381" s="9" t="e">
        <f>IF(VLOOKUP(G381,'Bereketli Satış'!J:AK,5,0)="","",VLOOKUP(G381,'Bereketli Satış'!J:AK,5,0))</f>
        <v>#N/A</v>
      </c>
      <c r="J381" s="9" t="e">
        <f>IF(VLOOKUP(G381,'Bereketli Satış'!J:AK,28,0)="","",VLOOKUP(G381,'Bereketli Satış'!J:AK,28,0))</f>
        <v>#N/A</v>
      </c>
      <c r="K381" s="100"/>
      <c r="L381" s="128"/>
      <c r="M381" s="100" t="e">
        <f>IF(VLOOKUP(G381,'Bereketli Satış'!J:AK,30,0)="","",VLOOKUP(G381,'Bereketli Satış'!J:AK,30,0))</f>
        <v>#N/A</v>
      </c>
      <c r="N381" s="9"/>
      <c r="O381" s="9"/>
      <c r="P381" s="9" t="e">
        <f>IF(VLOOKUP(G381,'Bereketli Satış'!J:AK,32,0)="","",VLOOKUP(G381,'Bereketli Satış'!J:AK,32,0))</f>
        <v>#N/A</v>
      </c>
      <c r="Q381" s="9"/>
      <c r="R381" s="9"/>
    </row>
    <row r="382" spans="1:18">
      <c r="A382" s="8" t="s">
        <v>14</v>
      </c>
      <c r="B382" s="8" t="s">
        <v>23</v>
      </c>
      <c r="C382" s="8" t="s">
        <v>73</v>
      </c>
      <c r="D382" s="8">
        <v>585.04</v>
      </c>
      <c r="E382" s="8">
        <v>113</v>
      </c>
      <c r="F382" s="3">
        <v>21</v>
      </c>
      <c r="G382" s="1" t="str">
        <f t="shared" si="5"/>
        <v>DAVUTLAR11321</v>
      </c>
      <c r="H382" s="3"/>
      <c r="I382" s="9" t="e">
        <f>IF(VLOOKUP(G382,'Bereketli Satış'!J:AK,5,0)="","",VLOOKUP(G382,'Bereketli Satış'!J:AK,5,0))</f>
        <v>#N/A</v>
      </c>
      <c r="J382" s="9" t="e">
        <f>IF(VLOOKUP(G382,'Bereketli Satış'!J:AK,28,0)="","",VLOOKUP(G382,'Bereketli Satış'!J:AK,28,0))</f>
        <v>#N/A</v>
      </c>
      <c r="K382" s="9"/>
      <c r="L382" s="128"/>
      <c r="M382" s="100" t="e">
        <f>IF(VLOOKUP(G382,'Bereketli Satış'!J:AK,30,0)="","",VLOOKUP(G382,'Bereketli Satış'!J:AK,30,0))</f>
        <v>#N/A</v>
      </c>
      <c r="N382" s="9"/>
      <c r="O382" s="9"/>
      <c r="P382" s="9" t="e">
        <f>IF(VLOOKUP(G382,'Bereketli Satış'!J:AK,32,0)="","",VLOOKUP(G382,'Bereketli Satış'!J:AK,32,0))</f>
        <v>#N/A</v>
      </c>
      <c r="Q382" s="9"/>
      <c r="R382" s="9"/>
    </row>
    <row r="383" spans="1:18">
      <c r="A383" s="8" t="s">
        <v>14</v>
      </c>
      <c r="B383" s="8" t="s">
        <v>23</v>
      </c>
      <c r="C383" s="8" t="s">
        <v>73</v>
      </c>
      <c r="D383" s="8">
        <v>585.04</v>
      </c>
      <c r="E383" s="8">
        <v>113</v>
      </c>
      <c r="F383" s="3">
        <v>22</v>
      </c>
      <c r="G383" s="1" t="str">
        <f t="shared" si="5"/>
        <v>DAVUTLAR11322</v>
      </c>
      <c r="H383" s="3"/>
      <c r="I383" s="9" t="e">
        <f>IF(VLOOKUP(G383,'Bereketli Satış'!J:AK,5,0)="","",VLOOKUP(G383,'Bereketli Satış'!J:AK,5,0))</f>
        <v>#N/A</v>
      </c>
      <c r="J383" s="9" t="e">
        <f>IF(VLOOKUP(G383,'Bereketli Satış'!J:AK,28,0)="","",VLOOKUP(G383,'Bereketli Satış'!J:AK,28,0))</f>
        <v>#N/A</v>
      </c>
      <c r="K383" s="9"/>
      <c r="L383" s="128"/>
      <c r="M383" s="100" t="e">
        <f>IF(VLOOKUP(G383,'Bereketli Satış'!J:AK,30,0)="","",VLOOKUP(G383,'Bereketli Satış'!J:AK,30,0))</f>
        <v>#N/A</v>
      </c>
      <c r="N383" s="100"/>
      <c r="O383" s="100"/>
      <c r="P383" s="9" t="e">
        <f>IF(VLOOKUP(G383,'Bereketli Satış'!J:AK,32,0)="","",VLOOKUP(G383,'Bereketli Satış'!J:AK,32,0))</f>
        <v>#N/A</v>
      </c>
      <c r="Q383" s="100"/>
      <c r="R383" s="100"/>
    </row>
    <row r="384" spans="1:18">
      <c r="A384" s="8" t="s">
        <v>14</v>
      </c>
      <c r="B384" s="8" t="s">
        <v>33</v>
      </c>
      <c r="C384" s="8" t="s">
        <v>42</v>
      </c>
      <c r="D384" s="8">
        <v>837.79</v>
      </c>
      <c r="E384" s="18">
        <v>110</v>
      </c>
      <c r="F384" s="8">
        <v>1</v>
      </c>
      <c r="G384" s="1" t="str">
        <f t="shared" si="5"/>
        <v>İBİLLER1101</v>
      </c>
      <c r="H384" s="8"/>
      <c r="I384" s="9" t="e">
        <f>IF(VLOOKUP(G384,'Bereketli Satış'!J:AK,5,0)="","",VLOOKUP(G384,'Bereketli Satış'!J:AK,5,0))</f>
        <v>#N/A</v>
      </c>
      <c r="J384" s="9" t="e">
        <f>IF(VLOOKUP(G384,'Bereketli Satış'!J:AK,28,0)="","",VLOOKUP(G384,'Bereketli Satış'!J:AK,28,0))</f>
        <v>#N/A</v>
      </c>
      <c r="K384" s="100"/>
      <c r="L384" s="128"/>
      <c r="M384" s="100" t="e">
        <f>IF(VLOOKUP(G384,'Bereketli Satış'!J:AK,30,0)="","",VLOOKUP(G384,'Bereketli Satış'!J:AK,30,0))</f>
        <v>#N/A</v>
      </c>
      <c r="N384" s="100"/>
      <c r="O384" s="100"/>
      <c r="P384" s="9" t="e">
        <f>IF(VLOOKUP(G384,'Bereketli Satış'!J:AK,32,0)="","",VLOOKUP(G384,'Bereketli Satış'!J:AK,32,0))</f>
        <v>#N/A</v>
      </c>
      <c r="Q384" s="100"/>
      <c r="R384" s="100"/>
    </row>
    <row r="385" spans="1:18">
      <c r="A385" s="8" t="s">
        <v>14</v>
      </c>
      <c r="B385" s="8" t="s">
        <v>23</v>
      </c>
      <c r="C385" s="8" t="s">
        <v>56</v>
      </c>
      <c r="D385" s="8">
        <v>236.18</v>
      </c>
      <c r="E385" s="18">
        <v>12477</v>
      </c>
      <c r="F385" s="8">
        <v>30</v>
      </c>
      <c r="G385" s="1" t="str">
        <f t="shared" si="5"/>
        <v>KUVAYİ MİLLİYE1247730</v>
      </c>
      <c r="H385" s="8"/>
      <c r="I385" s="9" t="e">
        <f>IF(VLOOKUP(G385,'Bereketli Satış'!J:AK,5,0)="","",VLOOKUP(G385,'Bereketli Satış'!J:AK,5,0))</f>
        <v>#N/A</v>
      </c>
      <c r="J385" s="9" t="e">
        <f>IF(VLOOKUP(G385,'Bereketli Satış'!J:AK,28,0)="","",VLOOKUP(G385,'Bereketli Satış'!J:AK,28,0))</f>
        <v>#N/A</v>
      </c>
      <c r="K385" s="100"/>
      <c r="L385" s="128"/>
      <c r="M385" s="100" t="e">
        <f>IF(VLOOKUP(G385,'Bereketli Satış'!J:AK,30,0)="","",VLOOKUP(G385,'Bereketli Satış'!J:AK,30,0))</f>
        <v>#N/A</v>
      </c>
      <c r="N385" s="16"/>
      <c r="O385" s="16"/>
      <c r="P385" s="9" t="e">
        <f>IF(VLOOKUP(G385,'Bereketli Satış'!J:AK,32,0)="","",VLOOKUP(G385,'Bereketli Satış'!J:AK,32,0))</f>
        <v>#N/A</v>
      </c>
      <c r="Q385" s="16"/>
      <c r="R385" s="16"/>
    </row>
    <row r="386" spans="1:18">
      <c r="A386" s="16" t="s">
        <v>61</v>
      </c>
      <c r="B386" s="16" t="s">
        <v>15</v>
      </c>
      <c r="C386" s="16" t="s">
        <v>62</v>
      </c>
      <c r="D386" s="16">
        <v>1561.25</v>
      </c>
      <c r="E386" s="16"/>
      <c r="F386" s="16"/>
      <c r="G386" s="1" t="str">
        <f t="shared" si="5"/>
        <v>ÜMİTELİ</v>
      </c>
      <c r="H386" s="16"/>
      <c r="I386" s="9" t="e">
        <f>IF(VLOOKUP(G386,'Bereketli Satış'!J:AK,5,0)="","",VLOOKUP(G386,'Bereketli Satış'!J:AK,5,0))</f>
        <v>#N/A</v>
      </c>
      <c r="J386" s="9" t="e">
        <f>IF(VLOOKUP(G386,'Bereketli Satış'!J:AK,28,0)="","",VLOOKUP(G386,'Bereketli Satış'!J:AK,28,0))</f>
        <v>#N/A</v>
      </c>
      <c r="K386" s="16"/>
      <c r="L386" s="98"/>
      <c r="M386" s="100" t="e">
        <f>IF(VLOOKUP(G386,'Bereketli Satış'!J:AK,30,0)="","",VLOOKUP(G386,'Bereketli Satış'!J:AK,30,0))</f>
        <v>#N/A</v>
      </c>
      <c r="N386" s="9"/>
      <c r="O386" s="9"/>
      <c r="P386" s="9" t="e">
        <f>IF(VLOOKUP(G386,'Bereketli Satış'!J:AK,32,0)="","",VLOOKUP(G386,'Bereketli Satış'!J:AK,32,0))</f>
        <v>#N/A</v>
      </c>
      <c r="Q386" s="9"/>
      <c r="R386" s="9"/>
    </row>
    <row r="387" spans="1:18">
      <c r="A387" s="8" t="s">
        <v>30</v>
      </c>
      <c r="B387" s="8" t="s">
        <v>31</v>
      </c>
      <c r="C387" s="8" t="s">
        <v>32</v>
      </c>
      <c r="D387" s="8">
        <v>257.24</v>
      </c>
      <c r="E387" s="8">
        <v>314</v>
      </c>
      <c r="F387" s="1">
        <v>13</v>
      </c>
      <c r="G387" s="1" t="str">
        <f t="shared" ref="G387:G450" si="6">C387&amp;E387&amp;F387</f>
        <v>CAMİKEBİR31413</v>
      </c>
      <c r="H387" s="1"/>
      <c r="I387" s="9" t="e">
        <f>IF(VLOOKUP(G387,'Bereketli Satış'!J:AK,5,0)="","",VLOOKUP(G387,'Bereketli Satış'!J:AK,5,0))</f>
        <v>#N/A</v>
      </c>
      <c r="J387" s="9" t="e">
        <f>IF(VLOOKUP(G387,'Bereketli Satış'!J:AK,28,0)="","",VLOOKUP(G387,'Bereketli Satış'!J:AK,28,0))</f>
        <v>#N/A</v>
      </c>
      <c r="K387" s="9"/>
      <c r="L387" s="128"/>
      <c r="M387" s="100" t="e">
        <f>IF(VLOOKUP(G387,'Bereketli Satış'!J:AK,30,0)="","",VLOOKUP(G387,'Bereketli Satış'!J:AK,30,0))</f>
        <v>#N/A</v>
      </c>
      <c r="N387" s="9"/>
      <c r="O387" s="9"/>
      <c r="P387" s="9" t="e">
        <f>IF(VLOOKUP(G387,'Bereketli Satış'!J:AK,32,0)="","",VLOOKUP(G387,'Bereketli Satış'!J:AK,32,0))</f>
        <v>#N/A</v>
      </c>
      <c r="Q387" s="9"/>
      <c r="R387" s="9"/>
    </row>
    <row r="388" spans="1:18">
      <c r="A388" s="8" t="s">
        <v>14</v>
      </c>
      <c r="B388" s="8" t="s">
        <v>28</v>
      </c>
      <c r="C388" s="8" t="s">
        <v>45</v>
      </c>
      <c r="D388" s="8">
        <v>302.61</v>
      </c>
      <c r="E388" s="8">
        <v>251</v>
      </c>
      <c r="F388" s="1">
        <v>21</v>
      </c>
      <c r="G388" s="1" t="str">
        <f t="shared" si="6"/>
        <v>DELİCE25121</v>
      </c>
      <c r="H388" s="1"/>
      <c r="I388" s="9" t="e">
        <f>IF(VLOOKUP(G388,'Bereketli Satış'!J:AK,5,0)="","",VLOOKUP(G388,'Bereketli Satış'!J:AK,5,0))</f>
        <v>#N/A</v>
      </c>
      <c r="J388" s="9" t="e">
        <f>IF(VLOOKUP(G388,'Bereketli Satış'!J:AK,28,0)="","",VLOOKUP(G388,'Bereketli Satış'!J:AK,28,0))</f>
        <v>#N/A</v>
      </c>
      <c r="K388" s="9"/>
      <c r="L388" s="128"/>
      <c r="M388" s="100" t="e">
        <f>IF(VLOOKUP(G388,'Bereketli Satış'!J:AK,30,0)="","",VLOOKUP(G388,'Bereketli Satış'!J:AK,30,0))</f>
        <v>#N/A</v>
      </c>
      <c r="N388" s="9"/>
      <c r="O388" s="9"/>
      <c r="P388" s="9" t="e">
        <f>IF(VLOOKUP(G388,'Bereketli Satış'!J:AK,32,0)="","",VLOOKUP(G388,'Bereketli Satış'!J:AK,32,0))</f>
        <v>#N/A</v>
      </c>
      <c r="Q388" s="9"/>
      <c r="R388" s="9"/>
    </row>
    <row r="389" spans="1:18">
      <c r="A389" s="8" t="s">
        <v>14</v>
      </c>
      <c r="B389" s="8" t="s">
        <v>66</v>
      </c>
      <c r="C389" s="8" t="s">
        <v>67</v>
      </c>
      <c r="D389" s="8">
        <v>461.58</v>
      </c>
      <c r="E389" s="8">
        <v>266</v>
      </c>
      <c r="F389" s="8">
        <v>9</v>
      </c>
      <c r="G389" s="1" t="str">
        <f t="shared" si="6"/>
        <v>ERDEL2669</v>
      </c>
      <c r="H389" s="8">
        <v>127961575</v>
      </c>
      <c r="I389" s="9" t="e">
        <f>IF(VLOOKUP(G389,'Bereketli Satış'!J:AK,5,0)="","",VLOOKUP(G389,'Bereketli Satış'!J:AK,5,0))</f>
        <v>#N/A</v>
      </c>
      <c r="J389" s="9" t="e">
        <f>IF(VLOOKUP(G389,'Bereketli Satış'!J:AK,28,0)="","",VLOOKUP(G389,'Bereketli Satış'!J:AK,28,0))</f>
        <v>#N/A</v>
      </c>
      <c r="K389" s="9"/>
      <c r="L389" s="128">
        <v>46022</v>
      </c>
      <c r="M389" s="100" t="e">
        <f>IF(VLOOKUP(G389,'Bereketli Satış'!J:AK,30,0)="","",VLOOKUP(G389,'Bereketli Satış'!J:AK,30,0))</f>
        <v>#N/A</v>
      </c>
      <c r="N389" s="9"/>
      <c r="O389" s="9"/>
      <c r="P389" s="9" t="e">
        <f>IF(VLOOKUP(G389,'Bereketli Satış'!J:AK,32,0)="","",VLOOKUP(G389,'Bereketli Satış'!J:AK,32,0))</f>
        <v>#N/A</v>
      </c>
      <c r="Q389" s="9"/>
      <c r="R389" s="9"/>
    </row>
    <row r="390" spans="1:18">
      <c r="A390" s="8" t="s">
        <v>36</v>
      </c>
      <c r="B390" s="8" t="s">
        <v>37</v>
      </c>
      <c r="C390" s="8" t="s">
        <v>38</v>
      </c>
      <c r="D390" s="8">
        <v>400</v>
      </c>
      <c r="E390" s="8">
        <v>911</v>
      </c>
      <c r="F390" s="3">
        <v>26</v>
      </c>
      <c r="G390" s="1" t="str">
        <f t="shared" si="6"/>
        <v>GÜNEYCE91126</v>
      </c>
      <c r="H390" s="3"/>
      <c r="I390" s="9" t="e">
        <f>IF(VLOOKUP(G390,'Bereketli Satış'!J:AK,5,0)="","",VLOOKUP(G390,'Bereketli Satış'!J:AK,5,0))</f>
        <v>#N/A</v>
      </c>
      <c r="J390" s="9" t="e">
        <f>IF(VLOOKUP(G390,'Bereketli Satış'!J:AK,28,0)="","",VLOOKUP(G390,'Bereketli Satış'!J:AK,28,0))</f>
        <v>#N/A</v>
      </c>
      <c r="K390" s="9"/>
      <c r="L390" s="128"/>
      <c r="M390" s="100" t="e">
        <f>IF(VLOOKUP(G390,'Bereketli Satış'!J:AK,30,0)="","",VLOOKUP(G390,'Bereketli Satış'!J:AK,30,0))</f>
        <v>#N/A</v>
      </c>
      <c r="N390" s="100"/>
      <c r="O390" s="100"/>
      <c r="P390" s="9" t="e">
        <f>IF(VLOOKUP(G390,'Bereketli Satış'!J:AK,32,0)="","",VLOOKUP(G390,'Bereketli Satış'!J:AK,32,0))</f>
        <v>#N/A</v>
      </c>
      <c r="Q390" s="100"/>
      <c r="R390" s="100"/>
    </row>
    <row r="391" spans="1:18">
      <c r="A391" s="8" t="s">
        <v>14</v>
      </c>
      <c r="B391" s="8" t="s">
        <v>23</v>
      </c>
      <c r="C391" s="8" t="s">
        <v>56</v>
      </c>
      <c r="D391" s="8">
        <v>244.22</v>
      </c>
      <c r="E391" s="18">
        <v>12477</v>
      </c>
      <c r="F391" s="8">
        <v>54</v>
      </c>
      <c r="G391" s="1" t="str">
        <f t="shared" si="6"/>
        <v>KUVAYİ MİLLİYE1247754</v>
      </c>
      <c r="H391" s="8"/>
      <c r="I391" s="9" t="e">
        <f>IF(VLOOKUP(G391,'Bereketli Satış'!J:AK,5,0)="","",VLOOKUP(G391,'Bereketli Satış'!J:AK,5,0))</f>
        <v>#N/A</v>
      </c>
      <c r="J391" s="9" t="e">
        <f>IF(VLOOKUP(G391,'Bereketli Satış'!J:AK,28,0)="","",VLOOKUP(G391,'Bereketli Satış'!J:AK,28,0))</f>
        <v>#N/A</v>
      </c>
      <c r="K391" s="100"/>
      <c r="L391" s="128"/>
      <c r="M391" s="100" t="e">
        <f>IF(VLOOKUP(G391,'Bereketli Satış'!J:AK,30,0)="","",VLOOKUP(G391,'Bereketli Satış'!J:AK,30,0))</f>
        <v>#N/A</v>
      </c>
      <c r="N391" s="9"/>
      <c r="O391" s="9"/>
      <c r="P391" s="9" t="e">
        <f>IF(VLOOKUP(G391,'Bereketli Satış'!J:AK,32,0)="","",VLOOKUP(G391,'Bereketli Satış'!J:AK,32,0))</f>
        <v>#N/A</v>
      </c>
      <c r="Q391" s="9"/>
      <c r="R391" s="9"/>
    </row>
    <row r="392" spans="1:18">
      <c r="A392" s="8" t="s">
        <v>14</v>
      </c>
      <c r="B392" s="8" t="s">
        <v>23</v>
      </c>
      <c r="C392" s="8" t="s">
        <v>56</v>
      </c>
      <c r="D392" s="8">
        <v>241.93</v>
      </c>
      <c r="E392" s="8">
        <v>12477</v>
      </c>
      <c r="F392" s="3">
        <v>51</v>
      </c>
      <c r="G392" s="1" t="str">
        <f t="shared" si="6"/>
        <v>KUVAYİ MİLLİYE1247751</v>
      </c>
      <c r="H392" s="3"/>
      <c r="I392" s="9" t="e">
        <f>IF(VLOOKUP(G392,'Bereketli Satış'!J:AK,5,0)="","",VLOOKUP(G392,'Bereketli Satış'!J:AK,5,0))</f>
        <v>#N/A</v>
      </c>
      <c r="J392" s="9" t="e">
        <f>IF(VLOOKUP(G392,'Bereketli Satış'!J:AK,28,0)="","",VLOOKUP(G392,'Bereketli Satış'!J:AK,28,0))</f>
        <v>#N/A</v>
      </c>
      <c r="K392" s="9"/>
      <c r="L392" s="128"/>
      <c r="M392" s="100" t="e">
        <f>IF(VLOOKUP(G392,'Bereketli Satış'!J:AK,30,0)="","",VLOOKUP(G392,'Bereketli Satış'!J:AK,30,0))</f>
        <v>#N/A</v>
      </c>
      <c r="N392" s="100"/>
      <c r="O392" s="100"/>
      <c r="P392" s="9" t="e">
        <f>IF(VLOOKUP(G392,'Bereketli Satış'!J:AK,32,0)="","",VLOOKUP(G392,'Bereketli Satış'!J:AK,32,0))</f>
        <v>#N/A</v>
      </c>
      <c r="Q392" s="100"/>
      <c r="R392" s="100"/>
    </row>
    <row r="393" spans="1:18">
      <c r="A393" s="8" t="s">
        <v>14</v>
      </c>
      <c r="B393" s="8" t="s">
        <v>23</v>
      </c>
      <c r="C393" s="8" t="s">
        <v>74</v>
      </c>
      <c r="D393" s="8">
        <v>244.43</v>
      </c>
      <c r="E393" s="18">
        <v>11633</v>
      </c>
      <c r="F393" s="8">
        <v>11</v>
      </c>
      <c r="G393" s="1" t="str">
        <f t="shared" si="6"/>
        <v>MALTEPE1163311</v>
      </c>
      <c r="H393" s="8"/>
      <c r="I393" s="9" t="e">
        <f>IF(VLOOKUP(G393,'Bereketli Satış'!J:AK,5,0)="","",VLOOKUP(G393,'Bereketli Satış'!J:AK,5,0))</f>
        <v>#N/A</v>
      </c>
      <c r="J393" s="9" t="e">
        <f>IF(VLOOKUP(G393,'Bereketli Satış'!J:AK,28,0)="","",VLOOKUP(G393,'Bereketli Satış'!J:AK,28,0))</f>
        <v>#N/A</v>
      </c>
      <c r="K393" s="100"/>
      <c r="L393" s="128"/>
      <c r="M393" s="100" t="e">
        <f>IF(VLOOKUP(G393,'Bereketli Satış'!J:AK,30,0)="","",VLOOKUP(G393,'Bereketli Satış'!J:AK,30,0))</f>
        <v>#N/A</v>
      </c>
      <c r="N393" s="9"/>
      <c r="O393" s="9"/>
      <c r="P393" s="9" t="e">
        <f>IF(VLOOKUP(G393,'Bereketli Satış'!J:AK,32,0)="","",VLOOKUP(G393,'Bereketli Satış'!J:AK,32,0))</f>
        <v>#N/A</v>
      </c>
      <c r="Q393" s="9"/>
      <c r="R393" s="9"/>
    </row>
    <row r="394" spans="1:18">
      <c r="A394" s="8" t="s">
        <v>14</v>
      </c>
      <c r="B394" s="8" t="s">
        <v>23</v>
      </c>
      <c r="C394" s="8" t="s">
        <v>56</v>
      </c>
      <c r="D394" s="8">
        <v>252.96</v>
      </c>
      <c r="E394" s="8">
        <v>12628</v>
      </c>
      <c r="F394" s="3">
        <v>13</v>
      </c>
      <c r="G394" s="1" t="str">
        <f t="shared" si="6"/>
        <v>KUVAYİ MİLLİYE1262813</v>
      </c>
      <c r="H394" s="3"/>
      <c r="I394" s="9" t="e">
        <f>IF(VLOOKUP(G394,'Bereketli Satış'!J:AK,5,0)="","",VLOOKUP(G394,'Bereketli Satış'!J:AK,5,0))</f>
        <v>#N/A</v>
      </c>
      <c r="J394" s="9" t="e">
        <f>IF(VLOOKUP(G394,'Bereketli Satış'!J:AK,28,0)="","",VLOOKUP(G394,'Bereketli Satış'!J:AK,28,0))</f>
        <v>#N/A</v>
      </c>
      <c r="K394" s="9"/>
      <c r="L394" s="128"/>
      <c r="M394" s="100" t="e">
        <f>IF(VLOOKUP(G394,'Bereketli Satış'!J:AK,30,0)="","",VLOOKUP(G394,'Bereketli Satış'!J:AK,30,0))</f>
        <v>#N/A</v>
      </c>
      <c r="N394" s="100"/>
      <c r="O394" s="100"/>
      <c r="P394" s="9" t="e">
        <f>IF(VLOOKUP(G394,'Bereketli Satış'!J:AK,32,0)="","",VLOOKUP(G394,'Bereketli Satış'!J:AK,32,0))</f>
        <v>#N/A</v>
      </c>
      <c r="Q394" s="100"/>
      <c r="R394" s="100"/>
    </row>
    <row r="395" spans="1:18">
      <c r="A395" s="8" t="s">
        <v>14</v>
      </c>
      <c r="B395" s="8" t="s">
        <v>15</v>
      </c>
      <c r="C395" s="8" t="s">
        <v>75</v>
      </c>
      <c r="D395" s="8">
        <v>622</v>
      </c>
      <c r="E395" s="18">
        <v>0</v>
      </c>
      <c r="F395" s="8">
        <v>976</v>
      </c>
      <c r="G395" s="1" t="str">
        <f t="shared" si="6"/>
        <v>Sultançayır0976</v>
      </c>
      <c r="H395" s="8"/>
      <c r="I395" s="9" t="e">
        <f>IF(VLOOKUP(G395,'Bereketli Satış'!J:AK,5,0)="","",VLOOKUP(G395,'Bereketli Satış'!J:AK,5,0))</f>
        <v>#N/A</v>
      </c>
      <c r="J395" s="9" t="e">
        <f>IF(VLOOKUP(G395,'Bereketli Satış'!J:AK,28,0)="","",VLOOKUP(G395,'Bereketli Satış'!J:AK,28,0))</f>
        <v>#N/A</v>
      </c>
      <c r="K395" s="100"/>
      <c r="L395" s="128"/>
      <c r="M395" s="100" t="e">
        <f>IF(VLOOKUP(G395,'Bereketli Satış'!J:AK,30,0)="","",VLOOKUP(G395,'Bereketli Satış'!J:AK,30,0))</f>
        <v>#N/A</v>
      </c>
      <c r="N395" s="9"/>
      <c r="O395" s="9"/>
      <c r="P395" s="9" t="e">
        <f>IF(VLOOKUP(G395,'Bereketli Satış'!J:AK,32,0)="","",VLOOKUP(G395,'Bereketli Satış'!J:AK,32,0))</f>
        <v>#N/A</v>
      </c>
      <c r="Q395" s="9"/>
      <c r="R395" s="9"/>
    </row>
    <row r="396" spans="1:18">
      <c r="A396" s="8" t="s">
        <v>14</v>
      </c>
      <c r="B396" s="8" t="s">
        <v>23</v>
      </c>
      <c r="C396" s="8" t="s">
        <v>56</v>
      </c>
      <c r="D396" s="8">
        <v>266.52999999999997</v>
      </c>
      <c r="E396" s="8">
        <v>12628</v>
      </c>
      <c r="F396" s="3">
        <v>9</v>
      </c>
      <c r="G396" s="1" t="str">
        <f t="shared" si="6"/>
        <v>KUVAYİ MİLLİYE126289</v>
      </c>
      <c r="H396" s="3"/>
      <c r="I396" s="9" t="e">
        <f>IF(VLOOKUP(G396,'Bereketli Satış'!J:AK,5,0)="","",VLOOKUP(G396,'Bereketli Satış'!J:AK,5,0))</f>
        <v>#N/A</v>
      </c>
      <c r="J396" s="9" t="e">
        <f>IF(VLOOKUP(G396,'Bereketli Satış'!J:AK,28,0)="","",VLOOKUP(G396,'Bereketli Satış'!J:AK,28,0))</f>
        <v>#N/A</v>
      </c>
      <c r="K396" s="9"/>
      <c r="L396" s="128"/>
      <c r="M396" s="100" t="e">
        <f>IF(VLOOKUP(G396,'Bereketli Satış'!J:AK,30,0)="","",VLOOKUP(G396,'Bereketli Satış'!J:AK,30,0))</f>
        <v>#N/A</v>
      </c>
      <c r="N396" s="9"/>
      <c r="O396" s="9"/>
      <c r="P396" s="9" t="e">
        <f>IF(VLOOKUP(G396,'Bereketli Satış'!J:AK,32,0)="","",VLOOKUP(G396,'Bereketli Satış'!J:AK,32,0))</f>
        <v>#N/A</v>
      </c>
      <c r="Q396" s="9"/>
      <c r="R396" s="9"/>
    </row>
    <row r="397" spans="1:18">
      <c r="A397" s="8" t="s">
        <v>14</v>
      </c>
      <c r="B397" s="8" t="s">
        <v>23</v>
      </c>
      <c r="C397" s="8" t="s">
        <v>74</v>
      </c>
      <c r="D397" s="8">
        <v>244.43</v>
      </c>
      <c r="E397" s="8">
        <v>11633</v>
      </c>
      <c r="F397" s="3">
        <v>5</v>
      </c>
      <c r="G397" s="1" t="str">
        <f t="shared" si="6"/>
        <v>MALTEPE116335</v>
      </c>
      <c r="H397" s="3"/>
      <c r="I397" s="9" t="e">
        <f>IF(VLOOKUP(G397,'Bereketli Satış'!J:AK,5,0)="","",VLOOKUP(G397,'Bereketli Satış'!J:AK,5,0))</f>
        <v>#N/A</v>
      </c>
      <c r="J397" s="9" t="e">
        <f>IF(VLOOKUP(G397,'Bereketli Satış'!J:AK,28,0)="","",VLOOKUP(G397,'Bereketli Satış'!J:AK,28,0))</f>
        <v>#N/A</v>
      </c>
      <c r="K397" s="9"/>
      <c r="L397" s="128"/>
      <c r="M397" s="100" t="e">
        <f>IF(VLOOKUP(G397,'Bereketli Satış'!J:AK,30,0)="","",VLOOKUP(G397,'Bereketli Satış'!J:AK,30,0))</f>
        <v>#N/A</v>
      </c>
      <c r="N397" s="100"/>
      <c r="O397" s="100"/>
      <c r="P397" s="9" t="e">
        <f>IF(VLOOKUP(G397,'Bereketli Satış'!J:AK,32,0)="","",VLOOKUP(G397,'Bereketli Satış'!J:AK,32,0))</f>
        <v>#N/A</v>
      </c>
      <c r="Q397" s="100"/>
      <c r="R397" s="100"/>
    </row>
    <row r="398" spans="1:18">
      <c r="A398" s="8" t="s">
        <v>17</v>
      </c>
      <c r="B398" s="8" t="s">
        <v>76</v>
      </c>
      <c r="C398" s="8" t="s">
        <v>77</v>
      </c>
      <c r="D398" s="8">
        <v>600.22</v>
      </c>
      <c r="E398" s="18">
        <v>106</v>
      </c>
      <c r="F398" s="8">
        <v>3</v>
      </c>
      <c r="G398" s="1" t="str">
        <f t="shared" si="6"/>
        <v>TEPECİK1063</v>
      </c>
      <c r="H398" s="8"/>
      <c r="I398" s="9" t="e">
        <f>IF(VLOOKUP(G398,'Bereketli Satış'!J:AK,5,0)="","",VLOOKUP(G398,'Bereketli Satış'!J:AK,5,0))</f>
        <v>#N/A</v>
      </c>
      <c r="J398" s="9" t="e">
        <f>IF(VLOOKUP(G398,'Bereketli Satış'!J:AK,28,0)="","",VLOOKUP(G398,'Bereketli Satış'!J:AK,28,0))</f>
        <v>#N/A</v>
      </c>
      <c r="K398" s="100"/>
      <c r="L398" s="128"/>
      <c r="M398" s="100" t="e">
        <f>IF(VLOOKUP(G398,'Bereketli Satış'!J:AK,30,0)="","",VLOOKUP(G398,'Bereketli Satış'!J:AK,30,0))</f>
        <v>#N/A</v>
      </c>
      <c r="N398" s="9"/>
      <c r="O398" s="9"/>
      <c r="P398" s="9" t="e">
        <f>IF(VLOOKUP(G398,'Bereketli Satış'!J:AK,32,0)="","",VLOOKUP(G398,'Bereketli Satış'!J:AK,32,0))</f>
        <v>#N/A</v>
      </c>
      <c r="Q398" s="9"/>
      <c r="R398" s="9"/>
    </row>
    <row r="399" spans="1:18">
      <c r="A399" s="8" t="s">
        <v>14</v>
      </c>
      <c r="B399" s="8" t="s">
        <v>23</v>
      </c>
      <c r="C399" s="8" t="s">
        <v>56</v>
      </c>
      <c r="D399" s="8">
        <v>313.25</v>
      </c>
      <c r="E399" s="109">
        <v>12480</v>
      </c>
      <c r="F399" s="3">
        <v>5</v>
      </c>
      <c r="G399" s="1" t="str">
        <f t="shared" si="6"/>
        <v>KUVAYİ MİLLİYE124805</v>
      </c>
      <c r="H399" s="3"/>
      <c r="I399" s="9" t="e">
        <f>IF(VLOOKUP(G399,'Bereketli Satış'!J:AK,5,0)="","",VLOOKUP(G399,'Bereketli Satış'!J:AK,5,0))</f>
        <v>#N/A</v>
      </c>
      <c r="J399" s="9" t="e">
        <f>IF(VLOOKUP(G399,'Bereketli Satış'!J:AK,28,0)="","",VLOOKUP(G399,'Bereketli Satış'!J:AK,28,0))</f>
        <v>#N/A</v>
      </c>
      <c r="K399" s="9"/>
      <c r="L399" s="128"/>
      <c r="M399" s="100" t="e">
        <f>IF(VLOOKUP(G399,'Bereketli Satış'!J:AK,30,0)="","",VLOOKUP(G399,'Bereketli Satış'!J:AK,30,0))</f>
        <v>#N/A</v>
      </c>
      <c r="N399" s="9"/>
      <c r="O399" s="9"/>
      <c r="P399" s="9" t="e">
        <f>IF(VLOOKUP(G399,'Bereketli Satış'!J:AK,32,0)="","",VLOOKUP(G399,'Bereketli Satış'!J:AK,32,0))</f>
        <v>#N/A</v>
      </c>
      <c r="Q399" s="9"/>
      <c r="R399" s="9"/>
    </row>
    <row r="400" spans="1:18">
      <c r="A400" s="8" t="s">
        <v>14</v>
      </c>
      <c r="B400" s="8" t="s">
        <v>23</v>
      </c>
      <c r="C400" s="8" t="s">
        <v>56</v>
      </c>
      <c r="D400" s="8">
        <v>313.17</v>
      </c>
      <c r="E400" s="109">
        <v>12480</v>
      </c>
      <c r="F400" s="3">
        <v>6</v>
      </c>
      <c r="G400" s="1" t="str">
        <f t="shared" si="6"/>
        <v>KUVAYİ MİLLİYE124806</v>
      </c>
      <c r="H400" s="3"/>
      <c r="I400" s="9" t="e">
        <f>IF(VLOOKUP(G400,'Bereketli Satış'!J:AK,5,0)="","",VLOOKUP(G400,'Bereketli Satış'!J:AK,5,0))</f>
        <v>#N/A</v>
      </c>
      <c r="J400" s="9" t="e">
        <f>IF(VLOOKUP(G400,'Bereketli Satış'!J:AK,28,0)="","",VLOOKUP(G400,'Bereketli Satış'!J:AK,28,0))</f>
        <v>#N/A</v>
      </c>
      <c r="K400" s="9"/>
      <c r="L400" s="128"/>
      <c r="M400" s="100" t="e">
        <f>IF(VLOOKUP(G400,'Bereketli Satış'!J:AK,30,0)="","",VLOOKUP(G400,'Bereketli Satış'!J:AK,30,0))</f>
        <v>#N/A</v>
      </c>
      <c r="N400" s="9"/>
      <c r="O400" s="9"/>
      <c r="P400" s="9" t="e">
        <f>IF(VLOOKUP(G400,'Bereketli Satış'!J:AK,32,0)="","",VLOOKUP(G400,'Bereketli Satış'!J:AK,32,0))</f>
        <v>#N/A</v>
      </c>
      <c r="Q400" s="9"/>
      <c r="R400" s="9"/>
    </row>
    <row r="401" spans="1:18">
      <c r="A401" s="8" t="s">
        <v>14</v>
      </c>
      <c r="B401" s="8" t="s">
        <v>23</v>
      </c>
      <c r="C401" s="8" t="s">
        <v>56</v>
      </c>
      <c r="D401" s="8">
        <v>313.11</v>
      </c>
      <c r="E401" s="109">
        <v>12480</v>
      </c>
      <c r="F401" s="3">
        <v>4</v>
      </c>
      <c r="G401" s="1" t="str">
        <f t="shared" si="6"/>
        <v>KUVAYİ MİLLİYE124804</v>
      </c>
      <c r="H401" s="3"/>
      <c r="I401" s="9" t="e">
        <f>IF(VLOOKUP(G401,'Bereketli Satış'!J:AK,5,0)="","",VLOOKUP(G401,'Bereketli Satış'!J:AK,5,0))</f>
        <v>#N/A</v>
      </c>
      <c r="J401" s="9" t="e">
        <f>IF(VLOOKUP(G401,'Bereketli Satış'!J:AK,28,0)="","",VLOOKUP(G401,'Bereketli Satış'!J:AK,28,0))</f>
        <v>#N/A</v>
      </c>
      <c r="K401" s="9"/>
      <c r="L401" s="128"/>
      <c r="M401" s="100" t="e">
        <f>IF(VLOOKUP(G401,'Bereketli Satış'!J:AK,30,0)="","",VLOOKUP(G401,'Bereketli Satış'!J:AK,30,0))</f>
        <v>#N/A</v>
      </c>
      <c r="N401" s="100"/>
      <c r="O401" s="100"/>
      <c r="P401" s="9" t="e">
        <f>IF(VLOOKUP(G401,'Bereketli Satış'!J:AK,32,0)="","",VLOOKUP(G401,'Bereketli Satış'!J:AK,32,0))</f>
        <v>#N/A</v>
      </c>
      <c r="Q401" s="100"/>
      <c r="R401" s="100"/>
    </row>
    <row r="402" spans="1:18">
      <c r="A402" s="8" t="s">
        <v>14</v>
      </c>
      <c r="B402" s="8" t="s">
        <v>23</v>
      </c>
      <c r="C402" s="8" t="s">
        <v>56</v>
      </c>
      <c r="D402" s="8">
        <v>320</v>
      </c>
      <c r="E402" s="18">
        <v>14236</v>
      </c>
      <c r="F402" s="8">
        <v>22</v>
      </c>
      <c r="G402" s="1" t="str">
        <f t="shared" si="6"/>
        <v>KUVAYİ MİLLİYE1423622</v>
      </c>
      <c r="H402" s="8"/>
      <c r="I402" s="9" t="e">
        <f>IF(VLOOKUP(G402,'Bereketli Satış'!J:AK,5,0)="","",VLOOKUP(G402,'Bereketli Satış'!J:AK,5,0))</f>
        <v>#N/A</v>
      </c>
      <c r="J402" s="9" t="e">
        <f>IF(VLOOKUP(G402,'Bereketli Satış'!J:AK,28,0)="","",VLOOKUP(G402,'Bereketli Satış'!J:AK,28,0))</f>
        <v>#N/A</v>
      </c>
      <c r="K402" s="100"/>
      <c r="L402" s="128"/>
      <c r="M402" s="100" t="e">
        <f>IF(VLOOKUP(G402,'Bereketli Satış'!J:AK,30,0)="","",VLOOKUP(G402,'Bereketli Satış'!J:AK,30,0))</f>
        <v>#N/A</v>
      </c>
      <c r="N402" s="9"/>
      <c r="O402" s="9"/>
      <c r="P402" s="9" t="e">
        <f>IF(VLOOKUP(G402,'Bereketli Satış'!J:AK,32,0)="","",VLOOKUP(G402,'Bereketli Satış'!J:AK,32,0))</f>
        <v>#N/A</v>
      </c>
      <c r="Q402" s="9"/>
      <c r="R402" s="9"/>
    </row>
    <row r="403" spans="1:18">
      <c r="A403" s="8" t="s">
        <v>14</v>
      </c>
      <c r="B403" s="8" t="s">
        <v>23</v>
      </c>
      <c r="C403" s="8" t="s">
        <v>56</v>
      </c>
      <c r="D403" s="8">
        <v>330</v>
      </c>
      <c r="E403" s="109">
        <v>12490</v>
      </c>
      <c r="F403" s="3">
        <v>13</v>
      </c>
      <c r="G403" s="1" t="str">
        <f t="shared" si="6"/>
        <v>KUVAYİ MİLLİYE1249013</v>
      </c>
      <c r="H403" s="3"/>
      <c r="I403" s="9" t="e">
        <f>IF(VLOOKUP(G403,'Bereketli Satış'!J:AK,5,0)="","",VLOOKUP(G403,'Bereketli Satış'!J:AK,5,0))</f>
        <v>#N/A</v>
      </c>
      <c r="J403" s="9" t="e">
        <f>IF(VLOOKUP(G403,'Bereketli Satış'!J:AK,28,0)="","",VLOOKUP(G403,'Bereketli Satış'!J:AK,28,0))</f>
        <v>#N/A</v>
      </c>
      <c r="K403" s="9"/>
      <c r="L403" s="128"/>
      <c r="M403" s="100" t="e">
        <f>IF(VLOOKUP(G403,'Bereketli Satış'!J:AK,30,0)="","",VLOOKUP(G403,'Bereketli Satış'!J:AK,30,0))</f>
        <v>#N/A</v>
      </c>
      <c r="N403" s="9"/>
      <c r="O403" s="9"/>
      <c r="P403" s="9" t="e">
        <f>IF(VLOOKUP(G403,'Bereketli Satış'!J:AK,32,0)="","",VLOOKUP(G403,'Bereketli Satış'!J:AK,32,0))</f>
        <v>#N/A</v>
      </c>
      <c r="Q403" s="9"/>
      <c r="R403" s="9"/>
    </row>
    <row r="404" spans="1:18">
      <c r="A404" s="8" t="s">
        <v>14</v>
      </c>
      <c r="B404" s="8" t="s">
        <v>23</v>
      </c>
      <c r="C404" s="8" t="s">
        <v>56</v>
      </c>
      <c r="D404" s="8">
        <v>330</v>
      </c>
      <c r="E404" s="8">
        <v>12492</v>
      </c>
      <c r="F404" s="3">
        <v>8</v>
      </c>
      <c r="G404" s="1" t="str">
        <f t="shared" si="6"/>
        <v>KUVAYİ MİLLİYE124928</v>
      </c>
      <c r="H404" s="3"/>
      <c r="I404" s="9" t="e">
        <f>IF(VLOOKUP(G404,'Bereketli Satış'!J:AK,5,0)="","",VLOOKUP(G404,'Bereketli Satış'!J:AK,5,0))</f>
        <v>#N/A</v>
      </c>
      <c r="J404" s="9" t="e">
        <f>IF(VLOOKUP(G404,'Bereketli Satış'!J:AK,28,0)="","",VLOOKUP(G404,'Bereketli Satış'!J:AK,28,0))</f>
        <v>#N/A</v>
      </c>
      <c r="K404" s="9"/>
      <c r="L404" s="128"/>
      <c r="M404" s="100" t="e">
        <f>IF(VLOOKUP(G404,'Bereketli Satış'!J:AK,30,0)="","",VLOOKUP(G404,'Bereketli Satış'!J:AK,30,0))</f>
        <v>#N/A</v>
      </c>
      <c r="N404" s="9"/>
      <c r="O404" s="9"/>
      <c r="P404" s="9" t="e">
        <f>IF(VLOOKUP(G404,'Bereketli Satış'!J:AK,32,0)="","",VLOOKUP(G404,'Bereketli Satış'!J:AK,32,0))</f>
        <v>#N/A</v>
      </c>
      <c r="Q404" s="9"/>
      <c r="R404" s="9"/>
    </row>
    <row r="405" spans="1:18">
      <c r="A405" s="8" t="s">
        <v>14</v>
      </c>
      <c r="B405" s="8" t="s">
        <v>23</v>
      </c>
      <c r="C405" s="8" t="s">
        <v>56</v>
      </c>
      <c r="D405" s="8">
        <v>353.11</v>
      </c>
      <c r="E405" s="109">
        <v>12480</v>
      </c>
      <c r="F405" s="3">
        <v>7</v>
      </c>
      <c r="G405" s="1" t="str">
        <f t="shared" si="6"/>
        <v>KUVAYİ MİLLİYE124807</v>
      </c>
      <c r="H405" s="3"/>
      <c r="I405" s="9" t="e">
        <f>IF(VLOOKUP(G405,'Bereketli Satış'!J:AK,5,0)="","",VLOOKUP(G405,'Bereketli Satış'!J:AK,5,0))</f>
        <v>#N/A</v>
      </c>
      <c r="J405" s="9" t="e">
        <f>IF(VLOOKUP(G405,'Bereketli Satış'!J:AK,28,0)="","",VLOOKUP(G405,'Bereketli Satış'!J:AK,28,0))</f>
        <v>#N/A</v>
      </c>
      <c r="K405" s="9"/>
      <c r="L405" s="128"/>
      <c r="M405" s="100" t="e">
        <f>IF(VLOOKUP(G405,'Bereketli Satış'!J:AK,30,0)="","",VLOOKUP(G405,'Bereketli Satış'!J:AK,30,0))</f>
        <v>#N/A</v>
      </c>
      <c r="N405" s="100"/>
      <c r="O405" s="100"/>
      <c r="P405" s="9" t="e">
        <f>IF(VLOOKUP(G405,'Bereketli Satış'!J:AK,32,0)="","",VLOOKUP(G405,'Bereketli Satış'!J:AK,32,0))</f>
        <v>#N/A</v>
      </c>
      <c r="Q405" s="100"/>
      <c r="R405" s="100"/>
    </row>
    <row r="406" spans="1:18">
      <c r="A406" s="8" t="s">
        <v>46</v>
      </c>
      <c r="B406" s="8" t="s">
        <v>47</v>
      </c>
      <c r="C406" s="8" t="s">
        <v>70</v>
      </c>
      <c r="D406" s="8">
        <v>429.23</v>
      </c>
      <c r="E406" s="18">
        <v>149</v>
      </c>
      <c r="F406" s="8">
        <v>9</v>
      </c>
      <c r="G406" s="1" t="str">
        <f t="shared" si="6"/>
        <v>KATIRALANI1499</v>
      </c>
      <c r="H406" s="8"/>
      <c r="I406" s="9" t="e">
        <f>IF(VLOOKUP(G406,'Bereketli Satış'!J:AK,5,0)="","",VLOOKUP(G406,'Bereketli Satış'!J:AK,5,0))</f>
        <v>#N/A</v>
      </c>
      <c r="J406" s="9" t="e">
        <f>IF(VLOOKUP(G406,'Bereketli Satış'!J:AK,28,0)="","",VLOOKUP(G406,'Bereketli Satış'!J:AK,28,0))</f>
        <v>#N/A</v>
      </c>
      <c r="K406" s="100"/>
      <c r="L406" s="128"/>
      <c r="M406" s="100" t="e">
        <f>IF(VLOOKUP(G406,'Bereketli Satış'!J:AK,30,0)="","",VLOOKUP(G406,'Bereketli Satış'!J:AK,30,0))</f>
        <v>#N/A</v>
      </c>
      <c r="N406" s="100"/>
      <c r="O406" s="100"/>
      <c r="P406" s="9" t="e">
        <f>IF(VLOOKUP(G406,'Bereketli Satış'!J:AK,32,0)="","",VLOOKUP(G406,'Bereketli Satış'!J:AK,32,0))</f>
        <v>#N/A</v>
      </c>
      <c r="Q406" s="100"/>
      <c r="R406" s="100"/>
    </row>
    <row r="407" spans="1:18">
      <c r="A407" s="8" t="s">
        <v>17</v>
      </c>
      <c r="B407" s="8" t="s">
        <v>21</v>
      </c>
      <c r="C407" s="8" t="s">
        <v>52</v>
      </c>
      <c r="D407" s="8">
        <v>453</v>
      </c>
      <c r="E407" s="18">
        <v>102</v>
      </c>
      <c r="F407" s="8">
        <v>2</v>
      </c>
      <c r="G407" s="1" t="str">
        <f t="shared" si="6"/>
        <v>KEMALİYE1022</v>
      </c>
      <c r="H407" s="8"/>
      <c r="I407" s="9" t="e">
        <f>IF(VLOOKUP(G407,'Bereketli Satış'!J:AK,5,0)="","",VLOOKUP(G407,'Bereketli Satış'!J:AK,5,0))</f>
        <v>#N/A</v>
      </c>
      <c r="J407" s="9" t="e">
        <f>IF(VLOOKUP(G407,'Bereketli Satış'!J:AK,28,0)="","",VLOOKUP(G407,'Bereketli Satış'!J:AK,28,0))</f>
        <v>#N/A</v>
      </c>
      <c r="K407" s="100"/>
      <c r="L407" s="128"/>
      <c r="M407" s="100" t="e">
        <f>IF(VLOOKUP(G407,'Bereketli Satış'!J:AK,30,0)="","",VLOOKUP(G407,'Bereketli Satış'!J:AK,30,0))</f>
        <v>#N/A</v>
      </c>
      <c r="N407" s="9"/>
      <c r="O407" s="9"/>
      <c r="P407" s="9" t="e">
        <f>IF(VLOOKUP(G407,'Bereketli Satış'!J:AK,32,0)="","",VLOOKUP(G407,'Bereketli Satış'!J:AK,32,0))</f>
        <v>#N/A</v>
      </c>
      <c r="Q407" s="9"/>
      <c r="R407" s="9"/>
    </row>
    <row r="408" spans="1:18">
      <c r="A408" s="8" t="s">
        <v>14</v>
      </c>
      <c r="B408" s="8" t="s">
        <v>33</v>
      </c>
      <c r="C408" s="8" t="s">
        <v>42</v>
      </c>
      <c r="D408" s="8">
        <v>372.72</v>
      </c>
      <c r="E408" s="8">
        <v>120</v>
      </c>
      <c r="F408" s="1">
        <v>13</v>
      </c>
      <c r="G408" s="1" t="str">
        <f t="shared" si="6"/>
        <v>İBİLLER12013</v>
      </c>
      <c r="H408" s="1">
        <v>134240964</v>
      </c>
      <c r="I408" s="9" t="e">
        <f>IF(VLOOKUP(G408,'Bereketli Satış'!J:AK,5,0)="","",VLOOKUP(G408,'Bereketli Satış'!J:AK,5,0))</f>
        <v>#N/A</v>
      </c>
      <c r="J408" s="9" t="e">
        <f>IF(VLOOKUP(G408,'Bereketli Satış'!J:AK,28,0)="","",VLOOKUP(G408,'Bereketli Satış'!J:AK,28,0))</f>
        <v>#N/A</v>
      </c>
      <c r="K408" s="9"/>
      <c r="L408" s="128">
        <v>46022</v>
      </c>
      <c r="M408" s="100" t="e">
        <f>IF(VLOOKUP(G408,'Bereketli Satış'!J:AK,30,0)="","",VLOOKUP(G408,'Bereketli Satış'!J:AK,30,0))</f>
        <v>#N/A</v>
      </c>
      <c r="N408" s="9"/>
      <c r="O408" s="9"/>
      <c r="P408" s="9" t="e">
        <f>IF(VLOOKUP(G408,'Bereketli Satış'!J:AK,32,0)="","",VLOOKUP(G408,'Bereketli Satış'!J:AK,32,0))</f>
        <v>#N/A</v>
      </c>
      <c r="Q408" s="9"/>
      <c r="R408" s="9"/>
    </row>
    <row r="409" spans="1:18">
      <c r="A409" s="8" t="s">
        <v>14</v>
      </c>
      <c r="B409" s="8" t="s">
        <v>23</v>
      </c>
      <c r="C409" s="8" t="s">
        <v>56</v>
      </c>
      <c r="D409" s="8">
        <v>462.45</v>
      </c>
      <c r="E409" s="18">
        <v>12481</v>
      </c>
      <c r="F409" s="8">
        <v>9</v>
      </c>
      <c r="G409" s="1" t="str">
        <f t="shared" si="6"/>
        <v>KUVAYİ MİLLİYE124819</v>
      </c>
      <c r="H409" s="8"/>
      <c r="I409" s="9" t="e">
        <f>IF(VLOOKUP(G409,'Bereketli Satış'!J:AK,5,0)="","",VLOOKUP(G409,'Bereketli Satış'!J:AK,5,0))</f>
        <v>#N/A</v>
      </c>
      <c r="J409" s="9" t="e">
        <f>IF(VLOOKUP(G409,'Bereketli Satış'!J:AK,28,0)="","",VLOOKUP(G409,'Bereketli Satış'!J:AK,28,0))</f>
        <v>#N/A</v>
      </c>
      <c r="K409" s="9"/>
      <c r="L409" s="128"/>
      <c r="M409" s="100" t="e">
        <f>IF(VLOOKUP(G409,'Bereketli Satış'!J:AK,30,0)="","",VLOOKUP(G409,'Bereketli Satış'!J:AK,30,0))</f>
        <v>#N/A</v>
      </c>
      <c r="N409" s="9"/>
      <c r="O409" s="9"/>
      <c r="P409" s="9" t="e">
        <f>IF(VLOOKUP(G409,'Bereketli Satış'!J:AK,32,0)="","",VLOOKUP(G409,'Bereketli Satış'!J:AK,32,0))</f>
        <v>#N/A</v>
      </c>
      <c r="Q409" s="9"/>
      <c r="R409" s="9"/>
    </row>
    <row r="410" spans="1:18">
      <c r="A410" s="8" t="s">
        <v>14</v>
      </c>
      <c r="B410" s="8" t="s">
        <v>23</v>
      </c>
      <c r="C410" s="8" t="s">
        <v>56</v>
      </c>
      <c r="D410" s="8">
        <v>447</v>
      </c>
      <c r="E410" s="8">
        <v>12492</v>
      </c>
      <c r="F410" s="3">
        <v>12</v>
      </c>
      <c r="G410" s="1" t="str">
        <f t="shared" si="6"/>
        <v>KUVAYİ MİLLİYE1249212</v>
      </c>
      <c r="H410" s="3"/>
      <c r="I410" s="9" t="e">
        <f>IF(VLOOKUP(G410,'Bereketli Satış'!J:AK,5,0)="","",VLOOKUP(G410,'Bereketli Satış'!J:AK,5,0))</f>
        <v>#N/A</v>
      </c>
      <c r="J410" s="9" t="e">
        <f>IF(VLOOKUP(G410,'Bereketli Satış'!J:AK,28,0)="","",VLOOKUP(G410,'Bereketli Satış'!J:AK,28,0))</f>
        <v>#N/A</v>
      </c>
      <c r="K410" s="9"/>
      <c r="L410" s="128"/>
      <c r="M410" s="100" t="e">
        <f>IF(VLOOKUP(G410,'Bereketli Satış'!J:AK,30,0)="","",VLOOKUP(G410,'Bereketli Satış'!J:AK,30,0))</f>
        <v>#N/A</v>
      </c>
      <c r="N410" s="9"/>
      <c r="O410" s="9"/>
      <c r="P410" s="9" t="e">
        <f>IF(VLOOKUP(G410,'Bereketli Satış'!J:AK,32,0)="","",VLOOKUP(G410,'Bereketli Satış'!J:AK,32,0))</f>
        <v>#N/A</v>
      </c>
      <c r="Q410" s="9"/>
      <c r="R410" s="9"/>
    </row>
    <row r="411" spans="1:18">
      <c r="A411" s="8" t="s">
        <v>14</v>
      </c>
      <c r="B411" s="8" t="s">
        <v>23</v>
      </c>
      <c r="C411" s="8" t="s">
        <v>27</v>
      </c>
      <c r="D411" s="8">
        <v>988.24</v>
      </c>
      <c r="E411" s="8">
        <v>113</v>
      </c>
      <c r="F411" s="3">
        <v>3</v>
      </c>
      <c r="G411" s="1" t="str">
        <f t="shared" si="6"/>
        <v>NAİPLİ1133</v>
      </c>
      <c r="H411" s="3"/>
      <c r="I411" s="9" t="e">
        <f>IF(VLOOKUP(G411,'Bereketli Satış'!J:AK,5,0)="","",VLOOKUP(G411,'Bereketli Satış'!J:AK,5,0))</f>
        <v>#N/A</v>
      </c>
      <c r="J411" s="9" t="e">
        <f>IF(VLOOKUP(G411,'Bereketli Satış'!J:AK,28,0)="","",VLOOKUP(G411,'Bereketli Satış'!J:AK,28,0))</f>
        <v>#N/A</v>
      </c>
      <c r="K411" s="9"/>
      <c r="L411" s="128"/>
      <c r="M411" s="100" t="e">
        <f>IF(VLOOKUP(G411,'Bereketli Satış'!J:AK,30,0)="","",VLOOKUP(G411,'Bereketli Satış'!J:AK,30,0))</f>
        <v>#N/A</v>
      </c>
      <c r="N411" s="9"/>
      <c r="O411" s="9"/>
      <c r="P411" s="9" t="e">
        <f>IF(VLOOKUP(G411,'Bereketli Satış'!J:AK,32,0)="","",VLOOKUP(G411,'Bereketli Satış'!J:AK,32,0))</f>
        <v>#N/A</v>
      </c>
      <c r="Q411" s="9"/>
      <c r="R411" s="9"/>
    </row>
    <row r="412" spans="1:18">
      <c r="A412" s="8" t="s">
        <v>49</v>
      </c>
      <c r="B412" s="8" t="s">
        <v>50</v>
      </c>
      <c r="C412" s="8" t="s">
        <v>51</v>
      </c>
      <c r="D412" s="8">
        <v>490</v>
      </c>
      <c r="E412" s="8">
        <v>0</v>
      </c>
      <c r="F412" s="8">
        <v>838</v>
      </c>
      <c r="G412" s="1" t="str">
        <f t="shared" si="6"/>
        <v>KAHVETEPE0838</v>
      </c>
      <c r="H412" s="8"/>
      <c r="I412" s="9" t="e">
        <f>IF(VLOOKUP(G412,'Bereketli Satış'!J:AK,5,0)="","",VLOOKUP(G412,'Bereketli Satış'!J:AK,5,0))</f>
        <v>#N/A</v>
      </c>
      <c r="J412" s="9" t="e">
        <f>IF(VLOOKUP(G412,'Bereketli Satış'!J:AK,28,0)="","",VLOOKUP(G412,'Bereketli Satış'!J:AK,28,0))</f>
        <v>#N/A</v>
      </c>
      <c r="K412" s="9"/>
      <c r="L412" s="128"/>
      <c r="M412" s="100" t="e">
        <f>IF(VLOOKUP(G412,'Bereketli Satış'!J:AK,30,0)="","",VLOOKUP(G412,'Bereketli Satış'!J:AK,30,0))</f>
        <v>#N/A</v>
      </c>
      <c r="N412" s="100"/>
      <c r="O412" s="100"/>
      <c r="P412" s="9" t="e">
        <f>IF(VLOOKUP(G412,'Bereketli Satış'!J:AK,32,0)="","",VLOOKUP(G412,'Bereketli Satış'!J:AK,32,0))</f>
        <v>#N/A</v>
      </c>
      <c r="Q412" s="100"/>
      <c r="R412" s="100"/>
    </row>
    <row r="413" spans="1:18">
      <c r="A413" s="8" t="s">
        <v>46</v>
      </c>
      <c r="B413" s="8" t="s">
        <v>47</v>
      </c>
      <c r="C413" s="8" t="s">
        <v>48</v>
      </c>
      <c r="D413" s="8">
        <v>437.28</v>
      </c>
      <c r="E413" s="18">
        <v>103</v>
      </c>
      <c r="F413" s="8">
        <v>2</v>
      </c>
      <c r="G413" s="1" t="str">
        <f t="shared" si="6"/>
        <v>İSLAMLAR1032</v>
      </c>
      <c r="H413" s="8"/>
      <c r="I413" s="9" t="e">
        <f>IF(VLOOKUP(G413,'Bereketli Satış'!J:AK,5,0)="","",VLOOKUP(G413,'Bereketli Satış'!J:AK,5,0))</f>
        <v>#N/A</v>
      </c>
      <c r="J413" s="9" t="e">
        <f>IF(VLOOKUP(G413,'Bereketli Satış'!J:AK,28,0)="","",VLOOKUP(G413,'Bereketli Satış'!J:AK,28,0))</f>
        <v>#N/A</v>
      </c>
      <c r="K413" s="100"/>
      <c r="L413" s="128"/>
      <c r="M413" s="100" t="e">
        <f>IF(VLOOKUP(G413,'Bereketli Satış'!J:AK,30,0)="","",VLOOKUP(G413,'Bereketli Satış'!J:AK,30,0))</f>
        <v>#N/A</v>
      </c>
      <c r="N413" s="9"/>
      <c r="O413" s="9"/>
      <c r="P413" s="9" t="e">
        <f>IF(VLOOKUP(G413,'Bereketli Satış'!J:AK,32,0)="","",VLOOKUP(G413,'Bereketli Satış'!J:AK,32,0))</f>
        <v>#N/A</v>
      </c>
      <c r="Q413" s="9"/>
      <c r="R413" s="9"/>
    </row>
    <row r="414" spans="1:18">
      <c r="A414" s="8" t="s">
        <v>49</v>
      </c>
      <c r="B414" s="8" t="s">
        <v>68</v>
      </c>
      <c r="C414" s="8" t="s">
        <v>78</v>
      </c>
      <c r="D414" s="8">
        <v>331.32</v>
      </c>
      <c r="E414" s="8">
        <v>0</v>
      </c>
      <c r="F414" s="8">
        <v>1711</v>
      </c>
      <c r="G414" s="1" t="str">
        <f t="shared" si="6"/>
        <v>Karaköy01711</v>
      </c>
      <c r="H414" s="8"/>
      <c r="I414" s="9" t="e">
        <f>IF(VLOOKUP(G414,'Bereketli Satış'!J:AK,5,0)="","",VLOOKUP(G414,'Bereketli Satış'!J:AK,5,0))</f>
        <v>#N/A</v>
      </c>
      <c r="J414" s="9" t="e">
        <f>IF(VLOOKUP(G414,'Bereketli Satış'!J:AK,28,0)="","",VLOOKUP(G414,'Bereketli Satış'!J:AK,28,0))</f>
        <v>#N/A</v>
      </c>
      <c r="K414" s="9"/>
      <c r="L414" s="128"/>
      <c r="M414" s="100" t="e">
        <f>IF(VLOOKUP(G414,'Bereketli Satış'!J:AK,30,0)="","",VLOOKUP(G414,'Bereketli Satış'!J:AK,30,0))</f>
        <v>#N/A</v>
      </c>
      <c r="N414" s="100"/>
      <c r="O414" s="100"/>
      <c r="P414" s="9" t="e">
        <f>IF(VLOOKUP(G414,'Bereketli Satış'!J:AK,32,0)="","",VLOOKUP(G414,'Bereketli Satış'!J:AK,32,0))</f>
        <v>#N/A</v>
      </c>
      <c r="Q414" s="100"/>
      <c r="R414" s="100"/>
    </row>
    <row r="415" spans="1:18">
      <c r="A415" s="8" t="s">
        <v>46</v>
      </c>
      <c r="B415" s="8" t="s">
        <v>47</v>
      </c>
      <c r="C415" s="8" t="s">
        <v>70</v>
      </c>
      <c r="D415" s="8">
        <v>477.95</v>
      </c>
      <c r="E415" s="18">
        <v>149</v>
      </c>
      <c r="F415" s="8">
        <v>10</v>
      </c>
      <c r="G415" s="1" t="str">
        <f t="shared" si="6"/>
        <v>KATIRALANI14910</v>
      </c>
      <c r="H415" s="8"/>
      <c r="I415" s="9" t="e">
        <f>IF(VLOOKUP(G415,'Bereketli Satış'!J:AK,5,0)="","",VLOOKUP(G415,'Bereketli Satış'!J:AK,5,0))</f>
        <v>#N/A</v>
      </c>
      <c r="J415" s="9" t="e">
        <f>IF(VLOOKUP(G415,'Bereketli Satış'!J:AK,28,0)="","",VLOOKUP(G415,'Bereketli Satış'!J:AK,28,0))</f>
        <v>#N/A</v>
      </c>
      <c r="K415" s="100"/>
      <c r="L415" s="128"/>
      <c r="M415" s="100" t="e">
        <f>IF(VLOOKUP(G415,'Bereketli Satış'!J:AK,30,0)="","",VLOOKUP(G415,'Bereketli Satış'!J:AK,30,0))</f>
        <v>#N/A</v>
      </c>
      <c r="N415" s="100"/>
      <c r="O415" s="100"/>
      <c r="P415" s="9" t="e">
        <f>IF(VLOOKUP(G415,'Bereketli Satış'!J:AK,32,0)="","",VLOOKUP(G415,'Bereketli Satış'!J:AK,32,0))</f>
        <v>#N/A</v>
      </c>
      <c r="Q415" s="100"/>
      <c r="R415" s="100"/>
    </row>
    <row r="416" spans="1:18">
      <c r="A416" s="8" t="s">
        <v>17</v>
      </c>
      <c r="B416" s="8" t="s">
        <v>21</v>
      </c>
      <c r="C416" s="8" t="s">
        <v>52</v>
      </c>
      <c r="D416" s="8">
        <v>370</v>
      </c>
      <c r="E416" s="18">
        <v>132</v>
      </c>
      <c r="F416" s="8">
        <v>1</v>
      </c>
      <c r="G416" s="1" t="str">
        <f t="shared" si="6"/>
        <v>KEMALİYE1321</v>
      </c>
      <c r="H416" s="8"/>
      <c r="I416" s="9" t="e">
        <f>IF(VLOOKUP(G416,'Bereketli Satış'!J:AK,5,0)="","",VLOOKUP(G416,'Bereketli Satış'!J:AK,5,0))</f>
        <v>#N/A</v>
      </c>
      <c r="J416" s="9" t="e">
        <f>IF(VLOOKUP(G416,'Bereketli Satış'!J:AK,28,0)="","",VLOOKUP(G416,'Bereketli Satış'!J:AK,28,0))</f>
        <v>#N/A</v>
      </c>
      <c r="K416" s="100"/>
      <c r="L416" s="128"/>
      <c r="M416" s="100" t="e">
        <f>IF(VLOOKUP(G416,'Bereketli Satış'!J:AK,30,0)="","",VLOOKUP(G416,'Bereketli Satış'!J:AK,30,0))</f>
        <v>#N/A</v>
      </c>
      <c r="N416" s="9"/>
      <c r="O416" s="9"/>
      <c r="P416" s="9" t="e">
        <f>IF(VLOOKUP(G416,'Bereketli Satış'!J:AK,32,0)="","",VLOOKUP(G416,'Bereketli Satış'!J:AK,32,0))</f>
        <v>#N/A</v>
      </c>
      <c r="Q416" s="9"/>
      <c r="R416" s="9"/>
    </row>
    <row r="417" spans="1:18">
      <c r="A417" s="8" t="s">
        <v>14</v>
      </c>
      <c r="B417" s="8" t="s">
        <v>79</v>
      </c>
      <c r="C417" s="8" t="s">
        <v>80</v>
      </c>
      <c r="D417" s="8">
        <v>307.69</v>
      </c>
      <c r="E417" s="8">
        <v>13131</v>
      </c>
      <c r="F417" s="3">
        <v>6</v>
      </c>
      <c r="G417" s="1" t="str">
        <f t="shared" si="6"/>
        <v>DİNKÇİLER131316</v>
      </c>
      <c r="H417" s="3"/>
      <c r="I417" s="9" t="e">
        <f>IF(VLOOKUP(G417,'Bereketli Satış'!J:AK,5,0)="","",VLOOKUP(G417,'Bereketli Satış'!J:AK,5,0))</f>
        <v>#N/A</v>
      </c>
      <c r="J417" s="9" t="e">
        <f>IF(VLOOKUP(G417,'Bereketli Satış'!J:AK,28,0)="","",VLOOKUP(G417,'Bereketli Satış'!J:AK,28,0))</f>
        <v>#N/A</v>
      </c>
      <c r="K417" s="9"/>
      <c r="L417" s="128"/>
      <c r="M417" s="100" t="e">
        <f>IF(VLOOKUP(G417,'Bereketli Satış'!J:AK,30,0)="","",VLOOKUP(G417,'Bereketli Satış'!J:AK,30,0))</f>
        <v>#N/A</v>
      </c>
      <c r="N417" s="100"/>
      <c r="O417" s="100"/>
      <c r="P417" s="9" t="e">
        <f>IF(VLOOKUP(G417,'Bereketli Satış'!J:AK,32,0)="","",VLOOKUP(G417,'Bereketli Satış'!J:AK,32,0))</f>
        <v>#N/A</v>
      </c>
      <c r="Q417" s="100"/>
      <c r="R417" s="100"/>
    </row>
    <row r="418" spans="1:18">
      <c r="A418" s="8" t="s">
        <v>17</v>
      </c>
      <c r="B418" s="8" t="s">
        <v>21</v>
      </c>
      <c r="C418" s="8" t="s">
        <v>22</v>
      </c>
      <c r="D418" s="8">
        <v>78</v>
      </c>
      <c r="E418" s="18">
        <v>240</v>
      </c>
      <c r="F418" s="8">
        <v>14</v>
      </c>
      <c r="G418" s="1" t="str">
        <f t="shared" si="6"/>
        <v>KİLLİK24014</v>
      </c>
      <c r="H418" s="8"/>
      <c r="I418" s="9" t="e">
        <f>IF(VLOOKUP(G418,'Bereketli Satış'!J:AK,5,0)="","",VLOOKUP(G418,'Bereketli Satış'!J:AK,5,0))</f>
        <v>#N/A</v>
      </c>
      <c r="J418" s="9" t="e">
        <f>IF(VLOOKUP(G418,'Bereketli Satış'!J:AK,28,0)="","",VLOOKUP(G418,'Bereketli Satış'!J:AK,28,0))</f>
        <v>#N/A</v>
      </c>
      <c r="K418" s="100"/>
      <c r="L418" s="128"/>
      <c r="M418" s="100" t="e">
        <f>IF(VLOOKUP(G418,'Bereketli Satış'!J:AK,30,0)="","",VLOOKUP(G418,'Bereketli Satış'!J:AK,30,0))</f>
        <v>#N/A</v>
      </c>
      <c r="N418" s="9"/>
      <c r="O418" s="9"/>
      <c r="P418" s="9" t="e">
        <f>IF(VLOOKUP(G418,'Bereketli Satış'!J:AK,32,0)="","",VLOOKUP(G418,'Bereketli Satış'!J:AK,32,0))</f>
        <v>#N/A</v>
      </c>
      <c r="Q418" s="9"/>
      <c r="R418" s="9"/>
    </row>
    <row r="419" spans="1:18">
      <c r="A419" s="8" t="s">
        <v>14</v>
      </c>
      <c r="B419" s="8" t="s">
        <v>23</v>
      </c>
      <c r="C419" s="8" t="s">
        <v>56</v>
      </c>
      <c r="D419" s="8">
        <v>299.33999999999997</v>
      </c>
      <c r="E419" s="8">
        <v>12450</v>
      </c>
      <c r="F419" s="3">
        <v>2</v>
      </c>
      <c r="G419" s="1" t="str">
        <f t="shared" si="6"/>
        <v>KUVAYİ MİLLİYE124502</v>
      </c>
      <c r="H419" s="3"/>
      <c r="I419" s="9" t="e">
        <f>IF(VLOOKUP(G419,'Bereketli Satış'!J:AK,5,0)="","",VLOOKUP(G419,'Bereketli Satış'!J:AK,5,0))</f>
        <v>#N/A</v>
      </c>
      <c r="J419" s="9" t="e">
        <f>IF(VLOOKUP(G419,'Bereketli Satış'!J:AK,28,0)="","",VLOOKUP(G419,'Bereketli Satış'!J:AK,28,0))</f>
        <v>#N/A</v>
      </c>
      <c r="K419" s="9"/>
      <c r="L419" s="128"/>
      <c r="M419" s="100" t="e">
        <f>IF(VLOOKUP(G419,'Bereketli Satış'!J:AK,30,0)="","",VLOOKUP(G419,'Bereketli Satış'!J:AK,30,0))</f>
        <v>#N/A</v>
      </c>
      <c r="N419" s="9"/>
      <c r="O419" s="9"/>
      <c r="P419" s="9" t="e">
        <f>IF(VLOOKUP(G419,'Bereketli Satış'!J:AK,32,0)="","",VLOOKUP(G419,'Bereketli Satış'!J:AK,32,0))</f>
        <v>#N/A</v>
      </c>
      <c r="Q419" s="9"/>
      <c r="R419" s="9"/>
    </row>
    <row r="420" spans="1:18">
      <c r="A420" s="8" t="s">
        <v>14</v>
      </c>
      <c r="B420" s="8" t="s">
        <v>23</v>
      </c>
      <c r="C420" s="8" t="s">
        <v>56</v>
      </c>
      <c r="D420" s="8">
        <v>306.77</v>
      </c>
      <c r="E420" s="8">
        <v>12450</v>
      </c>
      <c r="F420" s="3">
        <v>4</v>
      </c>
      <c r="G420" s="1" t="str">
        <f t="shared" si="6"/>
        <v>KUVAYİ MİLLİYE124504</v>
      </c>
      <c r="H420" s="3"/>
      <c r="I420" s="9" t="e">
        <f>IF(VLOOKUP(G420,'Bereketli Satış'!J:AK,5,0)="","",VLOOKUP(G420,'Bereketli Satış'!J:AK,5,0))</f>
        <v>#N/A</v>
      </c>
      <c r="J420" s="9" t="e">
        <f>IF(VLOOKUP(G420,'Bereketli Satış'!J:AK,28,0)="","",VLOOKUP(G420,'Bereketli Satış'!J:AK,28,0))</f>
        <v>#N/A</v>
      </c>
      <c r="K420" s="9"/>
      <c r="L420" s="128"/>
      <c r="M420" s="100" t="e">
        <f>IF(VLOOKUP(G420,'Bereketli Satış'!J:AK,30,0)="","",VLOOKUP(G420,'Bereketli Satış'!J:AK,30,0))</f>
        <v>#N/A</v>
      </c>
      <c r="N420" s="100"/>
      <c r="O420" s="100"/>
      <c r="P420" s="9" t="e">
        <f>IF(VLOOKUP(G420,'Bereketli Satış'!J:AK,32,0)="","",VLOOKUP(G420,'Bereketli Satış'!J:AK,32,0))</f>
        <v>#N/A</v>
      </c>
      <c r="Q420" s="100"/>
      <c r="R420" s="100"/>
    </row>
    <row r="421" spans="1:18">
      <c r="A421" s="8" t="s">
        <v>14</v>
      </c>
      <c r="B421" s="8" t="s">
        <v>23</v>
      </c>
      <c r="C421" s="18" t="s">
        <v>56</v>
      </c>
      <c r="D421" s="8">
        <v>304.64999999999998</v>
      </c>
      <c r="E421" s="18">
        <v>12450</v>
      </c>
      <c r="F421" s="8">
        <v>8</v>
      </c>
      <c r="G421" s="1" t="str">
        <f t="shared" si="6"/>
        <v>KUVAYİ MİLLİYE124508</v>
      </c>
      <c r="H421" s="8"/>
      <c r="I421" s="9" t="e">
        <f>IF(VLOOKUP(G421,'Bereketli Satış'!J:AK,5,0)="","",VLOOKUP(G421,'Bereketli Satış'!J:AK,5,0))</f>
        <v>#N/A</v>
      </c>
      <c r="J421" s="9" t="e">
        <f>IF(VLOOKUP(G421,'Bereketli Satış'!J:AK,28,0)="","",VLOOKUP(G421,'Bereketli Satış'!J:AK,28,0))</f>
        <v>#N/A</v>
      </c>
      <c r="K421" s="100"/>
      <c r="L421" s="128"/>
      <c r="M421" s="100" t="e">
        <f>IF(VLOOKUP(G421,'Bereketli Satış'!J:AK,30,0)="","",VLOOKUP(G421,'Bereketli Satış'!J:AK,30,0))</f>
        <v>#N/A</v>
      </c>
      <c r="N421" s="100"/>
      <c r="O421" s="100"/>
      <c r="P421" s="9" t="e">
        <f>IF(VLOOKUP(G421,'Bereketli Satış'!J:AK,32,0)="","",VLOOKUP(G421,'Bereketli Satış'!J:AK,32,0))</f>
        <v>#N/A</v>
      </c>
      <c r="Q421" s="100"/>
      <c r="R421" s="100"/>
    </row>
    <row r="422" spans="1:18">
      <c r="A422" s="8" t="s">
        <v>14</v>
      </c>
      <c r="B422" s="8" t="s">
        <v>23</v>
      </c>
      <c r="C422" s="18" t="s">
        <v>56</v>
      </c>
      <c r="D422" s="8">
        <v>304.60000000000002</v>
      </c>
      <c r="E422" s="18">
        <v>12450</v>
      </c>
      <c r="F422" s="8">
        <v>11</v>
      </c>
      <c r="G422" s="1" t="str">
        <f t="shared" si="6"/>
        <v>KUVAYİ MİLLİYE1245011</v>
      </c>
      <c r="H422" s="8"/>
      <c r="I422" s="9" t="e">
        <f>IF(VLOOKUP(G422,'Bereketli Satış'!J:AK,5,0)="","",VLOOKUP(G422,'Bereketli Satış'!J:AK,5,0))</f>
        <v>#N/A</v>
      </c>
      <c r="J422" s="9" t="e">
        <f>IF(VLOOKUP(G422,'Bereketli Satış'!J:AK,28,0)="","",VLOOKUP(G422,'Bereketli Satış'!J:AK,28,0))</f>
        <v>#N/A</v>
      </c>
      <c r="K422" s="100"/>
      <c r="L422" s="128"/>
      <c r="M422" s="100" t="e">
        <f>IF(VLOOKUP(G422,'Bereketli Satış'!J:AK,30,0)="","",VLOOKUP(G422,'Bereketli Satış'!J:AK,30,0))</f>
        <v>#N/A</v>
      </c>
      <c r="N422" s="100"/>
      <c r="O422" s="100"/>
      <c r="P422" s="9" t="e">
        <f>IF(VLOOKUP(G422,'Bereketli Satış'!J:AK,32,0)="","",VLOOKUP(G422,'Bereketli Satış'!J:AK,32,0))</f>
        <v>#N/A</v>
      </c>
      <c r="Q422" s="100"/>
      <c r="R422" s="100"/>
    </row>
    <row r="423" spans="1:18">
      <c r="A423" s="8" t="s">
        <v>14</v>
      </c>
      <c r="B423" s="8" t="s">
        <v>23</v>
      </c>
      <c r="C423" s="18" t="s">
        <v>56</v>
      </c>
      <c r="D423" s="8">
        <v>304.52</v>
      </c>
      <c r="E423" s="18">
        <v>12450</v>
      </c>
      <c r="F423" s="8">
        <v>9</v>
      </c>
      <c r="G423" s="1" t="str">
        <f t="shared" si="6"/>
        <v>KUVAYİ MİLLİYE124509</v>
      </c>
      <c r="H423" s="8"/>
      <c r="I423" s="9" t="e">
        <f>IF(VLOOKUP(G423,'Bereketli Satış'!J:AK,5,0)="","",VLOOKUP(G423,'Bereketli Satış'!J:AK,5,0))</f>
        <v>#N/A</v>
      </c>
      <c r="J423" s="9" t="e">
        <f>IF(VLOOKUP(G423,'Bereketli Satış'!J:AK,28,0)="","",VLOOKUP(G423,'Bereketli Satış'!J:AK,28,0))</f>
        <v>#N/A</v>
      </c>
      <c r="K423" s="100"/>
      <c r="L423" s="128"/>
      <c r="M423" s="100" t="e">
        <f>IF(VLOOKUP(G423,'Bereketli Satış'!J:AK,30,0)="","",VLOOKUP(G423,'Bereketli Satış'!J:AK,30,0))</f>
        <v>#N/A</v>
      </c>
      <c r="N423" s="9"/>
      <c r="O423" s="9"/>
      <c r="P423" s="9" t="e">
        <f>IF(VLOOKUP(G423,'Bereketli Satış'!J:AK,32,0)="","",VLOOKUP(G423,'Bereketli Satış'!J:AK,32,0))</f>
        <v>#N/A</v>
      </c>
      <c r="Q423" s="9"/>
      <c r="R423" s="9"/>
    </row>
    <row r="424" spans="1:18">
      <c r="A424" s="8" t="s">
        <v>14</v>
      </c>
      <c r="B424" s="8" t="s">
        <v>23</v>
      </c>
      <c r="C424" s="8" t="s">
        <v>56</v>
      </c>
      <c r="D424" s="8">
        <v>304.48</v>
      </c>
      <c r="E424" s="8">
        <v>12450</v>
      </c>
      <c r="F424" s="3">
        <v>10</v>
      </c>
      <c r="G424" s="1" t="str">
        <f t="shared" si="6"/>
        <v>KUVAYİ MİLLİYE1245010</v>
      </c>
      <c r="H424" s="3"/>
      <c r="I424" s="9" t="e">
        <f>IF(VLOOKUP(G424,'Bereketli Satış'!J:AK,5,0)="","",VLOOKUP(G424,'Bereketli Satış'!J:AK,5,0))</f>
        <v>#N/A</v>
      </c>
      <c r="J424" s="9" t="e">
        <f>IF(VLOOKUP(G424,'Bereketli Satış'!J:AK,28,0)="","",VLOOKUP(G424,'Bereketli Satış'!J:AK,28,0))</f>
        <v>#N/A</v>
      </c>
      <c r="K424" s="9"/>
      <c r="L424" s="128"/>
      <c r="M424" s="100" t="e">
        <f>IF(VLOOKUP(G424,'Bereketli Satış'!J:AK,30,0)="","",VLOOKUP(G424,'Bereketli Satış'!J:AK,30,0))</f>
        <v>#N/A</v>
      </c>
      <c r="N424" s="9"/>
      <c r="O424" s="9"/>
      <c r="P424" s="9" t="e">
        <f>IF(VLOOKUP(G424,'Bereketli Satış'!J:AK,32,0)="","",VLOOKUP(G424,'Bereketli Satış'!J:AK,32,0))</f>
        <v>#N/A</v>
      </c>
      <c r="Q424" s="9"/>
      <c r="R424" s="9"/>
    </row>
    <row r="425" spans="1:18">
      <c r="A425" s="8" t="s">
        <v>14</v>
      </c>
      <c r="B425" s="8" t="s">
        <v>23</v>
      </c>
      <c r="C425" s="8" t="s">
        <v>56</v>
      </c>
      <c r="D425" s="8">
        <v>303.02999999999997</v>
      </c>
      <c r="E425" s="8">
        <v>12450</v>
      </c>
      <c r="F425" s="3">
        <v>3</v>
      </c>
      <c r="G425" s="1" t="str">
        <f t="shared" si="6"/>
        <v>KUVAYİ MİLLİYE124503</v>
      </c>
      <c r="H425" s="3"/>
      <c r="I425" s="9" t="e">
        <f>IF(VLOOKUP(G425,'Bereketli Satış'!J:AK,5,0)="","",VLOOKUP(G425,'Bereketli Satış'!J:AK,5,0))</f>
        <v>#N/A</v>
      </c>
      <c r="J425" s="9" t="e">
        <f>IF(VLOOKUP(G425,'Bereketli Satış'!J:AK,28,0)="","",VLOOKUP(G425,'Bereketli Satış'!J:AK,28,0))</f>
        <v>#N/A</v>
      </c>
      <c r="K425" s="9"/>
      <c r="L425" s="128"/>
      <c r="M425" s="100" t="e">
        <f>IF(VLOOKUP(G425,'Bereketli Satış'!J:AK,30,0)="","",VLOOKUP(G425,'Bereketli Satış'!J:AK,30,0))</f>
        <v>#N/A</v>
      </c>
      <c r="N425" s="9"/>
      <c r="O425" s="9"/>
      <c r="P425" s="9" t="e">
        <f>IF(VLOOKUP(G425,'Bereketli Satış'!J:AK,32,0)="","",VLOOKUP(G425,'Bereketli Satış'!J:AK,32,0))</f>
        <v>#N/A</v>
      </c>
      <c r="Q425" s="9"/>
      <c r="R425" s="9"/>
    </row>
    <row r="426" spans="1:18">
      <c r="A426" s="8" t="s">
        <v>14</v>
      </c>
      <c r="B426" s="8" t="s">
        <v>23</v>
      </c>
      <c r="C426" s="8" t="s">
        <v>56</v>
      </c>
      <c r="D426" s="8">
        <v>310.77</v>
      </c>
      <c r="E426" s="8">
        <v>12450</v>
      </c>
      <c r="F426" s="3">
        <v>5</v>
      </c>
      <c r="G426" s="1" t="str">
        <f t="shared" si="6"/>
        <v>KUVAYİ MİLLİYE124505</v>
      </c>
      <c r="H426" s="3"/>
      <c r="I426" s="9" t="e">
        <f>IF(VLOOKUP(G426,'Bereketli Satış'!J:AK,5,0)="","",VLOOKUP(G426,'Bereketli Satış'!J:AK,5,0))</f>
        <v>#N/A</v>
      </c>
      <c r="J426" s="9" t="e">
        <f>IF(VLOOKUP(G426,'Bereketli Satış'!J:AK,28,0)="","",VLOOKUP(G426,'Bereketli Satış'!J:AK,28,0))</f>
        <v>#N/A</v>
      </c>
      <c r="K426" s="9"/>
      <c r="L426" s="128"/>
      <c r="M426" s="100" t="e">
        <f>IF(VLOOKUP(G426,'Bereketli Satış'!J:AK,30,0)="","",VLOOKUP(G426,'Bereketli Satış'!J:AK,30,0))</f>
        <v>#N/A</v>
      </c>
      <c r="N426" s="9"/>
      <c r="O426" s="9"/>
      <c r="P426" s="9" t="e">
        <f>IF(VLOOKUP(G426,'Bereketli Satış'!J:AK,32,0)="","",VLOOKUP(G426,'Bereketli Satış'!J:AK,32,0))</f>
        <v>#N/A</v>
      </c>
      <c r="Q426" s="9"/>
      <c r="R426" s="9"/>
    </row>
    <row r="427" spans="1:18">
      <c r="A427" s="8" t="s">
        <v>14</v>
      </c>
      <c r="B427" s="8" t="s">
        <v>23</v>
      </c>
      <c r="C427" s="8" t="s">
        <v>56</v>
      </c>
      <c r="D427" s="8">
        <v>375.52</v>
      </c>
      <c r="E427" s="8">
        <v>12450</v>
      </c>
      <c r="F427" s="3">
        <v>6</v>
      </c>
      <c r="G427" s="1" t="str">
        <f t="shared" si="6"/>
        <v>KUVAYİ MİLLİYE124506</v>
      </c>
      <c r="H427" s="3"/>
      <c r="I427" s="9" t="e">
        <f>IF(VLOOKUP(G427,'Bereketli Satış'!J:AK,5,0)="","",VLOOKUP(G427,'Bereketli Satış'!J:AK,5,0))</f>
        <v>#N/A</v>
      </c>
      <c r="J427" s="9" t="e">
        <f>IF(VLOOKUP(G427,'Bereketli Satış'!J:AK,28,0)="","",VLOOKUP(G427,'Bereketli Satış'!J:AK,28,0))</f>
        <v>#N/A</v>
      </c>
      <c r="K427" s="9"/>
      <c r="L427" s="128"/>
      <c r="M427" s="100" t="e">
        <f>IF(VLOOKUP(G427,'Bereketli Satış'!J:AK,30,0)="","",VLOOKUP(G427,'Bereketli Satış'!J:AK,30,0))</f>
        <v>#N/A</v>
      </c>
      <c r="N427" s="9"/>
      <c r="O427" s="9"/>
      <c r="P427" s="9" t="e">
        <f>IF(VLOOKUP(G427,'Bereketli Satış'!J:AK,32,0)="","",VLOOKUP(G427,'Bereketli Satış'!J:AK,32,0))</f>
        <v>#N/A</v>
      </c>
      <c r="Q427" s="9"/>
      <c r="R427" s="9"/>
    </row>
    <row r="428" spans="1:18">
      <c r="A428" s="8" t="s">
        <v>14</v>
      </c>
      <c r="B428" s="8" t="s">
        <v>23</v>
      </c>
      <c r="C428" s="8" t="s">
        <v>56</v>
      </c>
      <c r="D428" s="8">
        <v>379.04</v>
      </c>
      <c r="E428" s="8">
        <v>12450</v>
      </c>
      <c r="F428" s="3">
        <v>7</v>
      </c>
      <c r="G428" s="1" t="str">
        <f t="shared" si="6"/>
        <v>KUVAYİ MİLLİYE124507</v>
      </c>
      <c r="H428" s="3"/>
      <c r="I428" s="9" t="e">
        <f>IF(VLOOKUP(G428,'Bereketli Satış'!J:AK,5,0)="","",VLOOKUP(G428,'Bereketli Satış'!J:AK,5,0))</f>
        <v>#N/A</v>
      </c>
      <c r="J428" s="9" t="e">
        <f>IF(VLOOKUP(G428,'Bereketli Satış'!J:AK,28,0)="","",VLOOKUP(G428,'Bereketli Satış'!J:AK,28,0))</f>
        <v>#N/A</v>
      </c>
      <c r="K428" s="9"/>
      <c r="L428" s="128"/>
      <c r="M428" s="100" t="e">
        <f>IF(VLOOKUP(G428,'Bereketli Satış'!J:AK,30,0)="","",VLOOKUP(G428,'Bereketli Satış'!J:AK,30,0))</f>
        <v>#N/A</v>
      </c>
      <c r="N428" s="9"/>
      <c r="O428" s="9"/>
      <c r="P428" s="9" t="e">
        <f>IF(VLOOKUP(G428,'Bereketli Satış'!J:AK,32,0)="","",VLOOKUP(G428,'Bereketli Satış'!J:AK,32,0))</f>
        <v>#N/A</v>
      </c>
      <c r="Q428" s="9"/>
      <c r="R428" s="9"/>
    </row>
    <row r="429" spans="1:18">
      <c r="A429" s="8" t="s">
        <v>81</v>
      </c>
      <c r="B429" s="8" t="s">
        <v>82</v>
      </c>
      <c r="C429" s="8" t="s">
        <v>83</v>
      </c>
      <c r="D429" s="8">
        <v>3204.35</v>
      </c>
      <c r="E429" s="8">
        <v>765</v>
      </c>
      <c r="F429" s="1">
        <v>368</v>
      </c>
      <c r="G429" s="1" t="str">
        <f t="shared" si="6"/>
        <v>GEDELEK765368</v>
      </c>
      <c r="H429" s="1"/>
      <c r="I429" s="9" t="e">
        <f>IF(VLOOKUP(G429,'Bereketli Satış'!J:AK,5,0)="","",VLOOKUP(G429,'Bereketli Satış'!J:AK,5,0))</f>
        <v>#N/A</v>
      </c>
      <c r="J429" s="9" t="e">
        <f>IF(VLOOKUP(G429,'Bereketli Satış'!J:AK,28,0)="","",VLOOKUP(G429,'Bereketli Satış'!J:AK,28,0))</f>
        <v>#N/A</v>
      </c>
      <c r="K429" s="9"/>
      <c r="L429" s="128"/>
      <c r="M429" s="100" t="e">
        <f>IF(VLOOKUP(G429,'Bereketli Satış'!J:AK,30,0)="","",VLOOKUP(G429,'Bereketli Satış'!J:AK,30,0))</f>
        <v>#N/A</v>
      </c>
      <c r="N429" s="9"/>
      <c r="O429" s="9"/>
      <c r="P429" s="9" t="e">
        <f>IF(VLOOKUP(G429,'Bereketli Satış'!J:AK,32,0)="","",VLOOKUP(G429,'Bereketli Satış'!J:AK,32,0))</f>
        <v>#N/A</v>
      </c>
      <c r="Q429" s="9"/>
      <c r="R429" s="9"/>
    </row>
    <row r="430" spans="1:18">
      <c r="A430" s="8" t="s">
        <v>84</v>
      </c>
      <c r="B430" s="8" t="s">
        <v>85</v>
      </c>
      <c r="C430" s="8" t="s">
        <v>86</v>
      </c>
      <c r="D430" s="8">
        <v>358</v>
      </c>
      <c r="E430" s="18">
        <v>446</v>
      </c>
      <c r="F430" s="8">
        <v>11</v>
      </c>
      <c r="G430" s="1" t="str">
        <f t="shared" si="6"/>
        <v>KARŞIYAKA44611</v>
      </c>
      <c r="H430" s="8"/>
      <c r="I430" s="9" t="e">
        <f>IF(VLOOKUP(G430,'Bereketli Satış'!J:AK,5,0)="","",VLOOKUP(G430,'Bereketli Satış'!J:AK,5,0))</f>
        <v>#N/A</v>
      </c>
      <c r="J430" s="9" t="e">
        <f>IF(VLOOKUP(G430,'Bereketli Satış'!J:AK,28,0)="","",VLOOKUP(G430,'Bereketli Satış'!J:AK,28,0))</f>
        <v>#N/A</v>
      </c>
      <c r="K430" s="9"/>
      <c r="L430" s="128"/>
      <c r="M430" s="100" t="e">
        <f>IF(VLOOKUP(G430,'Bereketli Satış'!J:AK,30,0)="","",VLOOKUP(G430,'Bereketli Satış'!J:AK,30,0))</f>
        <v>#N/A</v>
      </c>
      <c r="N430" s="9"/>
      <c r="O430" s="9"/>
      <c r="P430" s="9" t="e">
        <f>IF(VLOOKUP(G430,'Bereketli Satış'!J:AK,32,0)="","",VLOOKUP(G430,'Bereketli Satış'!J:AK,32,0))</f>
        <v>#N/A</v>
      </c>
      <c r="Q430" s="9"/>
      <c r="R430" s="9"/>
    </row>
    <row r="431" spans="1:18">
      <c r="A431" s="8" t="s">
        <v>30</v>
      </c>
      <c r="B431" s="8" t="s">
        <v>31</v>
      </c>
      <c r="C431" s="8" t="s">
        <v>32</v>
      </c>
      <c r="D431" s="8">
        <v>235.28</v>
      </c>
      <c r="E431" s="8">
        <v>314</v>
      </c>
      <c r="F431" s="1">
        <v>7</v>
      </c>
      <c r="G431" s="1" t="str">
        <f t="shared" si="6"/>
        <v>CAMİKEBİR3147</v>
      </c>
      <c r="H431" s="1"/>
      <c r="I431" s="9" t="e">
        <f>IF(VLOOKUP(G431,'Bereketli Satış'!J:AK,5,0)="","",VLOOKUP(G431,'Bereketli Satış'!J:AK,5,0))</f>
        <v>#N/A</v>
      </c>
      <c r="J431" s="9" t="e">
        <f>IF(VLOOKUP(G431,'Bereketli Satış'!J:AK,28,0)="","",VLOOKUP(G431,'Bereketli Satış'!J:AK,28,0))</f>
        <v>#N/A</v>
      </c>
      <c r="K431" s="9"/>
      <c r="L431" s="128"/>
      <c r="M431" s="100" t="e">
        <f>IF(VLOOKUP(G431,'Bereketli Satış'!J:AK,30,0)="","",VLOOKUP(G431,'Bereketli Satış'!J:AK,30,0))</f>
        <v>#N/A</v>
      </c>
      <c r="N431" s="9"/>
      <c r="O431" s="9"/>
      <c r="P431" s="9" t="e">
        <f>IF(VLOOKUP(G431,'Bereketli Satış'!J:AK,32,0)="","",VLOOKUP(G431,'Bereketli Satış'!J:AK,32,0))</f>
        <v>#N/A</v>
      </c>
      <c r="Q431" s="9"/>
      <c r="R431" s="9"/>
    </row>
    <row r="432" spans="1:18">
      <c r="A432" s="8" t="s">
        <v>14</v>
      </c>
      <c r="B432" s="8" t="s">
        <v>33</v>
      </c>
      <c r="C432" s="8" t="s">
        <v>34</v>
      </c>
      <c r="D432" s="8">
        <v>564.29999999999995</v>
      </c>
      <c r="E432" s="8">
        <v>106</v>
      </c>
      <c r="F432" s="1">
        <v>5</v>
      </c>
      <c r="G432" s="1" t="str">
        <f t="shared" si="6"/>
        <v>ARMUTLU1065</v>
      </c>
      <c r="H432" s="1"/>
      <c r="I432" s="9" t="e">
        <f>IF(VLOOKUP(G432,'Bereketli Satış'!J:AK,5,0)="","",VLOOKUP(G432,'Bereketli Satış'!J:AK,5,0))</f>
        <v>#N/A</v>
      </c>
      <c r="J432" s="9" t="e">
        <f>IF(VLOOKUP(G432,'Bereketli Satış'!J:AK,28,0)="","",VLOOKUP(G432,'Bereketli Satış'!J:AK,28,0))</f>
        <v>#N/A</v>
      </c>
      <c r="K432" s="9"/>
      <c r="L432" s="128"/>
      <c r="M432" s="100" t="e">
        <f>IF(VLOOKUP(G432,'Bereketli Satış'!J:AK,30,0)="","",VLOOKUP(G432,'Bereketli Satış'!J:AK,30,0))</f>
        <v>#N/A</v>
      </c>
      <c r="N432" s="9"/>
      <c r="O432" s="9"/>
      <c r="P432" s="9" t="e">
        <f>IF(VLOOKUP(G432,'Bereketli Satış'!J:AK,32,0)="","",VLOOKUP(G432,'Bereketli Satış'!J:AK,32,0))</f>
        <v>#N/A</v>
      </c>
      <c r="Q432" s="9"/>
      <c r="R432" s="9"/>
    </row>
    <row r="433" spans="1:18">
      <c r="A433" s="8" t="s">
        <v>14</v>
      </c>
      <c r="B433" s="8" t="s">
        <v>33</v>
      </c>
      <c r="C433" s="8" t="s">
        <v>34</v>
      </c>
      <c r="D433" s="8">
        <v>596.08000000000004</v>
      </c>
      <c r="E433" s="8">
        <v>106</v>
      </c>
      <c r="F433" s="1">
        <v>3</v>
      </c>
      <c r="G433" s="1" t="str">
        <f t="shared" si="6"/>
        <v>ARMUTLU1063</v>
      </c>
      <c r="H433" s="1"/>
      <c r="I433" s="9" t="e">
        <f>IF(VLOOKUP(G433,'Bereketli Satış'!J:AK,5,0)="","",VLOOKUP(G433,'Bereketli Satış'!J:AK,5,0))</f>
        <v>#N/A</v>
      </c>
      <c r="J433" s="9" t="e">
        <f>IF(VLOOKUP(G433,'Bereketli Satış'!J:AK,28,0)="","",VLOOKUP(G433,'Bereketli Satış'!J:AK,28,0))</f>
        <v>#N/A</v>
      </c>
      <c r="K433" s="9"/>
      <c r="L433" s="128"/>
      <c r="M433" s="100" t="e">
        <f>IF(VLOOKUP(G433,'Bereketli Satış'!J:AK,30,0)="","",VLOOKUP(G433,'Bereketli Satış'!J:AK,30,0))</f>
        <v>#N/A</v>
      </c>
      <c r="N433" s="9"/>
      <c r="O433" s="9"/>
      <c r="P433" s="9" t="e">
        <f>IF(VLOOKUP(G433,'Bereketli Satış'!J:AK,32,0)="","",VLOOKUP(G433,'Bereketli Satış'!J:AK,32,0))</f>
        <v>#N/A</v>
      </c>
      <c r="Q433" s="9"/>
      <c r="R433" s="9"/>
    </row>
    <row r="434" spans="1:18">
      <c r="A434" s="8" t="s">
        <v>14</v>
      </c>
      <c r="B434" s="8" t="s">
        <v>33</v>
      </c>
      <c r="C434" s="8" t="s">
        <v>34</v>
      </c>
      <c r="D434" s="8">
        <v>755.91</v>
      </c>
      <c r="E434" s="8">
        <v>103</v>
      </c>
      <c r="F434" s="1">
        <v>1</v>
      </c>
      <c r="G434" s="1" t="str">
        <f t="shared" si="6"/>
        <v>ARMUTLU1031</v>
      </c>
      <c r="H434" s="1"/>
      <c r="I434" s="9" t="e">
        <f>IF(VLOOKUP(G434,'Bereketli Satış'!J:AK,5,0)="","",VLOOKUP(G434,'Bereketli Satış'!J:AK,5,0))</f>
        <v>#N/A</v>
      </c>
      <c r="J434" s="9" t="e">
        <f>IF(VLOOKUP(G434,'Bereketli Satış'!J:AK,28,0)="","",VLOOKUP(G434,'Bereketli Satış'!J:AK,28,0))</f>
        <v>#N/A</v>
      </c>
      <c r="K434" s="9"/>
      <c r="L434" s="128"/>
      <c r="M434" s="100" t="e">
        <f>IF(VLOOKUP(G434,'Bereketli Satış'!J:AK,30,0)="","",VLOOKUP(G434,'Bereketli Satış'!J:AK,30,0))</f>
        <v>#N/A</v>
      </c>
      <c r="N434" s="9"/>
      <c r="O434" s="9"/>
      <c r="P434" s="9" t="e">
        <f>IF(VLOOKUP(G434,'Bereketli Satış'!J:AK,32,0)="","",VLOOKUP(G434,'Bereketli Satış'!J:AK,32,0))</f>
        <v>#N/A</v>
      </c>
      <c r="Q434" s="9"/>
      <c r="R434" s="9"/>
    </row>
    <row r="435" spans="1:18">
      <c r="A435" s="8" t="s">
        <v>14</v>
      </c>
      <c r="B435" s="8" t="s">
        <v>23</v>
      </c>
      <c r="C435" s="8" t="s">
        <v>56</v>
      </c>
      <c r="D435" s="8">
        <v>439.86</v>
      </c>
      <c r="E435" s="18">
        <v>12481</v>
      </c>
      <c r="F435" s="8">
        <v>8</v>
      </c>
      <c r="G435" s="1" t="str">
        <f t="shared" si="6"/>
        <v>KUVAYİ MİLLİYE124818</v>
      </c>
      <c r="H435" s="8"/>
      <c r="I435" s="9" t="e">
        <f>IF(VLOOKUP(G435,'Bereketli Satış'!J:AK,5,0)="","",VLOOKUP(G435,'Bereketli Satış'!J:AK,5,0))</f>
        <v>#N/A</v>
      </c>
      <c r="J435" s="9" t="e">
        <f>IF(VLOOKUP(G435,'Bereketli Satış'!J:AK,28,0)="","",VLOOKUP(G435,'Bereketli Satış'!J:AK,28,0))</f>
        <v>#N/A</v>
      </c>
      <c r="K435" s="9"/>
      <c r="L435" s="128"/>
      <c r="M435" s="100" t="e">
        <f>IF(VLOOKUP(G435,'Bereketli Satış'!J:AK,30,0)="","",VLOOKUP(G435,'Bereketli Satış'!J:AK,30,0))</f>
        <v>#N/A</v>
      </c>
      <c r="N435" s="9"/>
      <c r="O435" s="9"/>
      <c r="P435" s="9" t="e">
        <f>IF(VLOOKUP(G435,'Bereketli Satış'!J:AK,32,0)="","",VLOOKUP(G435,'Bereketli Satış'!J:AK,32,0))</f>
        <v>#N/A</v>
      </c>
      <c r="Q435" s="9"/>
      <c r="R435" s="9"/>
    </row>
    <row r="436" spans="1:18">
      <c r="A436" s="8" t="s">
        <v>14</v>
      </c>
      <c r="B436" s="8" t="s">
        <v>33</v>
      </c>
      <c r="C436" s="8" t="s">
        <v>34</v>
      </c>
      <c r="D436" s="8">
        <v>841.63</v>
      </c>
      <c r="E436" s="8">
        <v>103</v>
      </c>
      <c r="F436" s="1">
        <v>2</v>
      </c>
      <c r="G436" s="1" t="str">
        <f t="shared" si="6"/>
        <v>ARMUTLU1032</v>
      </c>
      <c r="H436" s="1"/>
      <c r="I436" s="9" t="e">
        <f>IF(VLOOKUP(G436,'Bereketli Satış'!J:AK,5,0)="","",VLOOKUP(G436,'Bereketli Satış'!J:AK,5,0))</f>
        <v>#N/A</v>
      </c>
      <c r="J436" s="9" t="e">
        <f>IF(VLOOKUP(G436,'Bereketli Satış'!J:AK,28,0)="","",VLOOKUP(G436,'Bereketli Satış'!J:AK,28,0))</f>
        <v>#N/A</v>
      </c>
      <c r="K436" s="9"/>
      <c r="L436" s="128"/>
      <c r="M436" s="100" t="e">
        <f>IF(VLOOKUP(G436,'Bereketli Satış'!J:AK,30,0)="","",VLOOKUP(G436,'Bereketli Satış'!J:AK,30,0))</f>
        <v>#N/A</v>
      </c>
      <c r="N436" s="100"/>
      <c r="O436" s="100"/>
      <c r="P436" s="9" t="e">
        <f>IF(VLOOKUP(G436,'Bereketli Satış'!J:AK,32,0)="","",VLOOKUP(G436,'Bereketli Satış'!J:AK,32,0))</f>
        <v>#N/A</v>
      </c>
      <c r="Q436" s="100"/>
      <c r="R436" s="100"/>
    </row>
    <row r="437" spans="1:18">
      <c r="A437" s="8" t="s">
        <v>14</v>
      </c>
      <c r="B437" s="8" t="s">
        <v>23</v>
      </c>
      <c r="C437" s="8" t="s">
        <v>56</v>
      </c>
      <c r="D437" s="8">
        <v>320</v>
      </c>
      <c r="E437" s="18">
        <v>14236</v>
      </c>
      <c r="F437" s="8">
        <v>21</v>
      </c>
      <c r="G437" s="1" t="str">
        <f t="shared" si="6"/>
        <v>KUVAYİ MİLLİYE1423621</v>
      </c>
      <c r="H437" s="8"/>
      <c r="I437" s="9" t="e">
        <f>IF(VLOOKUP(G437,'Bereketli Satış'!J:AK,5,0)="","",VLOOKUP(G437,'Bereketli Satış'!J:AK,5,0))</f>
        <v>#N/A</v>
      </c>
      <c r="J437" s="9" t="e">
        <f>IF(VLOOKUP(G437,'Bereketli Satış'!J:AK,28,0)="","",VLOOKUP(G437,'Bereketli Satış'!J:AK,28,0))</f>
        <v>#N/A</v>
      </c>
      <c r="K437" s="100"/>
      <c r="L437" s="128"/>
      <c r="M437" s="100" t="e">
        <f>IF(VLOOKUP(G437,'Bereketli Satış'!J:AK,30,0)="","",VLOOKUP(G437,'Bereketli Satış'!J:AK,30,0))</f>
        <v>#N/A</v>
      </c>
      <c r="N437" s="100"/>
      <c r="O437" s="100"/>
      <c r="P437" s="9" t="e">
        <f>IF(VLOOKUP(G437,'Bereketli Satış'!J:AK,32,0)="","",VLOOKUP(G437,'Bereketli Satış'!J:AK,32,0))</f>
        <v>#N/A</v>
      </c>
      <c r="Q437" s="100"/>
      <c r="R437" s="100"/>
    </row>
    <row r="438" spans="1:18">
      <c r="A438" s="8" t="s">
        <v>14</v>
      </c>
      <c r="B438" s="8" t="s">
        <v>23</v>
      </c>
      <c r="C438" s="8" t="s">
        <v>56</v>
      </c>
      <c r="D438" s="8">
        <v>325</v>
      </c>
      <c r="E438" s="18">
        <v>14236</v>
      </c>
      <c r="F438" s="8">
        <v>16</v>
      </c>
      <c r="G438" s="1" t="str">
        <f t="shared" si="6"/>
        <v>KUVAYİ MİLLİYE1423616</v>
      </c>
      <c r="H438" s="8"/>
      <c r="I438" s="9" t="e">
        <f>IF(VLOOKUP(G438,'Bereketli Satış'!J:AK,5,0)="","",VLOOKUP(G438,'Bereketli Satış'!J:AK,5,0))</f>
        <v>#N/A</v>
      </c>
      <c r="J438" s="9" t="e">
        <f>IF(VLOOKUP(G438,'Bereketli Satış'!J:AK,28,0)="","",VLOOKUP(G438,'Bereketli Satış'!J:AK,28,0))</f>
        <v>#N/A</v>
      </c>
      <c r="K438" s="100"/>
      <c r="L438" s="128"/>
      <c r="M438" s="100" t="e">
        <f>IF(VLOOKUP(G438,'Bereketli Satış'!J:AK,30,0)="","",VLOOKUP(G438,'Bereketli Satış'!J:AK,30,0))</f>
        <v>#N/A</v>
      </c>
      <c r="N438" s="9"/>
      <c r="O438" s="9"/>
      <c r="P438" s="9" t="e">
        <f>IF(VLOOKUP(G438,'Bereketli Satış'!J:AK,32,0)="","",VLOOKUP(G438,'Bereketli Satış'!J:AK,32,0))</f>
        <v>#N/A</v>
      </c>
      <c r="Q438" s="9"/>
      <c r="R438" s="9"/>
    </row>
    <row r="439" spans="1:18">
      <c r="A439" s="8" t="s">
        <v>17</v>
      </c>
      <c r="B439" s="8" t="s">
        <v>57</v>
      </c>
      <c r="C439" s="8" t="s">
        <v>58</v>
      </c>
      <c r="D439" s="8">
        <v>448</v>
      </c>
      <c r="E439" s="8">
        <v>0</v>
      </c>
      <c r="F439" s="3">
        <v>972</v>
      </c>
      <c r="G439" s="1" t="str">
        <f t="shared" si="6"/>
        <v>MİLİNGE0972</v>
      </c>
      <c r="H439" s="3"/>
      <c r="I439" s="9" t="e">
        <f>IF(VLOOKUP(G439,'Bereketli Satış'!J:AK,5,0)="","",VLOOKUP(G439,'Bereketli Satış'!J:AK,5,0))</f>
        <v>#N/A</v>
      </c>
      <c r="J439" s="9" t="e">
        <f>IF(VLOOKUP(G439,'Bereketli Satış'!J:AK,28,0)="","",VLOOKUP(G439,'Bereketli Satış'!J:AK,28,0))</f>
        <v>#N/A</v>
      </c>
      <c r="K439" s="9"/>
      <c r="L439" s="128"/>
      <c r="M439" s="100" t="e">
        <f>IF(VLOOKUP(G439,'Bereketli Satış'!J:AK,30,0)="","",VLOOKUP(G439,'Bereketli Satış'!J:AK,30,0))</f>
        <v>#N/A</v>
      </c>
      <c r="N439" s="9"/>
      <c r="O439" s="9"/>
      <c r="P439" s="9" t="e">
        <f>IF(VLOOKUP(G439,'Bereketli Satış'!J:AK,32,0)="","",VLOOKUP(G439,'Bereketli Satış'!J:AK,32,0))</f>
        <v>#N/A</v>
      </c>
      <c r="Q439" s="9"/>
      <c r="R439" s="9"/>
    </row>
    <row r="440" spans="1:18">
      <c r="A440" s="8" t="s">
        <v>14</v>
      </c>
      <c r="B440" s="8" t="s">
        <v>23</v>
      </c>
      <c r="C440" s="8" t="s">
        <v>27</v>
      </c>
      <c r="D440" s="8">
        <v>988.24</v>
      </c>
      <c r="E440" s="8">
        <v>113</v>
      </c>
      <c r="F440" s="3">
        <v>4</v>
      </c>
      <c r="G440" s="1" t="str">
        <f t="shared" si="6"/>
        <v>NAİPLİ1134</v>
      </c>
      <c r="H440" s="3"/>
      <c r="I440" s="9" t="e">
        <f>IF(VLOOKUP(G440,'Bereketli Satış'!J:AK,5,0)="","",VLOOKUP(G440,'Bereketli Satış'!J:AK,5,0))</f>
        <v>#N/A</v>
      </c>
      <c r="J440" s="9" t="e">
        <f>IF(VLOOKUP(G440,'Bereketli Satış'!J:AK,28,0)="","",VLOOKUP(G440,'Bereketli Satış'!J:AK,28,0))</f>
        <v>#N/A</v>
      </c>
      <c r="K440" s="9"/>
      <c r="L440" s="128"/>
      <c r="M440" s="100" t="e">
        <f>IF(VLOOKUP(G440,'Bereketli Satış'!J:AK,30,0)="","",VLOOKUP(G440,'Bereketli Satış'!J:AK,30,0))</f>
        <v>#N/A</v>
      </c>
      <c r="N440" s="9"/>
      <c r="O440" s="9"/>
      <c r="P440" s="9" t="e">
        <f>IF(VLOOKUP(G440,'Bereketli Satış'!J:AK,32,0)="","",VLOOKUP(G440,'Bereketli Satış'!J:AK,32,0))</f>
        <v>#N/A</v>
      </c>
      <c r="Q440" s="9"/>
      <c r="R440" s="9"/>
    </row>
    <row r="441" spans="1:18">
      <c r="A441" s="8" t="s">
        <v>17</v>
      </c>
      <c r="B441" s="8" t="s">
        <v>39</v>
      </c>
      <c r="C441" s="8" t="s">
        <v>40</v>
      </c>
      <c r="D441" s="8">
        <v>374.32</v>
      </c>
      <c r="E441" s="8">
        <v>104</v>
      </c>
      <c r="F441" s="8">
        <v>3</v>
      </c>
      <c r="G441" s="1" t="str">
        <f t="shared" si="6"/>
        <v>BEĞEL1043</v>
      </c>
      <c r="H441" s="8"/>
      <c r="I441" s="9" t="e">
        <f>IF(VLOOKUP(G441,'Bereketli Satış'!J:AK,5,0)="","",VLOOKUP(G441,'Bereketli Satış'!J:AK,5,0))</f>
        <v>#N/A</v>
      </c>
      <c r="J441" s="9" t="e">
        <f>IF(VLOOKUP(G441,'Bereketli Satış'!J:AK,28,0)="","",VLOOKUP(G441,'Bereketli Satış'!J:AK,28,0))</f>
        <v>#N/A</v>
      </c>
      <c r="K441" s="9"/>
      <c r="L441" s="128"/>
      <c r="M441" s="100" t="e">
        <f>IF(VLOOKUP(G441,'Bereketli Satış'!J:AK,30,0)="","",VLOOKUP(G441,'Bereketli Satış'!J:AK,30,0))</f>
        <v>#N/A</v>
      </c>
      <c r="N441" s="9"/>
      <c r="O441" s="9"/>
      <c r="P441" s="9" t="e">
        <f>IF(VLOOKUP(G441,'Bereketli Satış'!J:AK,32,0)="","",VLOOKUP(G441,'Bereketli Satış'!J:AK,32,0))</f>
        <v>#N/A</v>
      </c>
      <c r="Q441" s="9"/>
      <c r="R441" s="9"/>
    </row>
    <row r="442" spans="1:18">
      <c r="A442" s="8" t="s">
        <v>30</v>
      </c>
      <c r="B442" s="8" t="s">
        <v>31</v>
      </c>
      <c r="C442" s="8" t="s">
        <v>32</v>
      </c>
      <c r="D442" s="8">
        <v>248.79</v>
      </c>
      <c r="E442" s="8">
        <v>314</v>
      </c>
      <c r="F442" s="1">
        <v>10</v>
      </c>
      <c r="G442" s="1" t="str">
        <f t="shared" si="6"/>
        <v>CAMİKEBİR31410</v>
      </c>
      <c r="H442" s="1"/>
      <c r="I442" s="9" t="e">
        <f>IF(VLOOKUP(G442,'Bereketli Satış'!J:AK,5,0)="","",VLOOKUP(G442,'Bereketli Satış'!J:AK,5,0))</f>
        <v>#N/A</v>
      </c>
      <c r="J442" s="9" t="e">
        <f>IF(VLOOKUP(G442,'Bereketli Satış'!J:AK,28,0)="","",VLOOKUP(G442,'Bereketli Satış'!J:AK,28,0))</f>
        <v>#N/A</v>
      </c>
      <c r="K442" s="9"/>
      <c r="L442" s="128"/>
      <c r="M442" s="100" t="e">
        <f>IF(VLOOKUP(G442,'Bereketli Satış'!J:AK,30,0)="","",VLOOKUP(G442,'Bereketli Satış'!J:AK,30,0))</f>
        <v>#N/A</v>
      </c>
      <c r="N442" s="9"/>
      <c r="O442" s="9"/>
      <c r="P442" s="9" t="e">
        <f>IF(VLOOKUP(G442,'Bereketli Satış'!J:AK,32,0)="","",VLOOKUP(G442,'Bereketli Satış'!J:AK,32,0))</f>
        <v>#N/A</v>
      </c>
      <c r="Q442" s="9"/>
      <c r="R442" s="9"/>
    </row>
    <row r="443" spans="1:18">
      <c r="A443" s="8" t="s">
        <v>14</v>
      </c>
      <c r="B443" s="8" t="s">
        <v>15</v>
      </c>
      <c r="C443" s="8" t="s">
        <v>16</v>
      </c>
      <c r="D443" s="8">
        <v>280.77999999999997</v>
      </c>
      <c r="E443" s="8">
        <v>161</v>
      </c>
      <c r="F443" s="1">
        <v>10</v>
      </c>
      <c r="G443" s="1" t="str">
        <f t="shared" si="6"/>
        <v>REŞADİYE16110</v>
      </c>
      <c r="H443" s="1"/>
      <c r="I443" s="9" t="e">
        <f>IF(VLOOKUP(G443,'Bereketli Satış'!J:AK,5,0)="","",VLOOKUP(G443,'Bereketli Satış'!J:AK,5,0))</f>
        <v>#N/A</v>
      </c>
      <c r="J443" s="9" t="e">
        <f>IF(VLOOKUP(G443,'Bereketli Satış'!J:AK,28,0)="","",VLOOKUP(G443,'Bereketli Satış'!J:AK,28,0))</f>
        <v>#N/A</v>
      </c>
      <c r="K443" s="9"/>
      <c r="L443" s="128"/>
      <c r="M443" s="100" t="e">
        <f>IF(VLOOKUP(G443,'Bereketli Satış'!J:AK,30,0)="","",VLOOKUP(G443,'Bereketli Satış'!J:AK,30,0))</f>
        <v>#N/A</v>
      </c>
      <c r="N443" s="9"/>
      <c r="O443" s="9"/>
      <c r="P443" s="9" t="e">
        <f>IF(VLOOKUP(G443,'Bereketli Satış'!J:AK,32,0)="","",VLOOKUP(G443,'Bereketli Satış'!J:AK,32,0))</f>
        <v>#N/A</v>
      </c>
      <c r="Q443" s="9"/>
      <c r="R443" s="9"/>
    </row>
    <row r="444" spans="1:18">
      <c r="A444" s="8" t="s">
        <v>30</v>
      </c>
      <c r="B444" s="8" t="s">
        <v>31</v>
      </c>
      <c r="C444" s="8" t="s">
        <v>32</v>
      </c>
      <c r="D444" s="8">
        <v>256.36</v>
      </c>
      <c r="E444" s="8">
        <v>314</v>
      </c>
      <c r="F444" s="1">
        <v>12</v>
      </c>
      <c r="G444" s="1" t="str">
        <f t="shared" si="6"/>
        <v>CAMİKEBİR31412</v>
      </c>
      <c r="H444" s="1"/>
      <c r="I444" s="9" t="e">
        <f>IF(VLOOKUP(G444,'Bereketli Satış'!J:AK,5,0)="","",VLOOKUP(G444,'Bereketli Satış'!J:AK,5,0))</f>
        <v>#N/A</v>
      </c>
      <c r="J444" s="9" t="e">
        <f>IF(VLOOKUP(G444,'Bereketli Satış'!J:AK,28,0)="","",VLOOKUP(G444,'Bereketli Satış'!J:AK,28,0))</f>
        <v>#N/A</v>
      </c>
      <c r="K444" s="9"/>
      <c r="L444" s="128"/>
      <c r="M444" s="100" t="e">
        <f>IF(VLOOKUP(G444,'Bereketli Satış'!J:AK,30,0)="","",VLOOKUP(G444,'Bereketli Satış'!J:AK,30,0))</f>
        <v>#N/A</v>
      </c>
      <c r="N444" s="100"/>
      <c r="O444" s="100"/>
      <c r="P444" s="9" t="e">
        <f>IF(VLOOKUP(G444,'Bereketli Satış'!J:AK,32,0)="","",VLOOKUP(G444,'Bereketli Satış'!J:AK,32,0))</f>
        <v>#N/A</v>
      </c>
      <c r="Q444" s="100"/>
      <c r="R444" s="100"/>
    </row>
    <row r="445" spans="1:18">
      <c r="A445" s="8" t="s">
        <v>14</v>
      </c>
      <c r="B445" s="8" t="s">
        <v>23</v>
      </c>
      <c r="C445" s="8" t="s">
        <v>59</v>
      </c>
      <c r="D445" s="8">
        <v>1001.98</v>
      </c>
      <c r="E445" s="8">
        <v>120</v>
      </c>
      <c r="F445" s="8">
        <v>19</v>
      </c>
      <c r="G445" s="1" t="str">
        <f t="shared" si="6"/>
        <v>TOYBELEN12019</v>
      </c>
      <c r="H445" s="8"/>
      <c r="I445" s="9" t="e">
        <f>IF(VLOOKUP(G445,'Bereketli Satış'!J:AK,5,0)="","",VLOOKUP(G445,'Bereketli Satış'!J:AK,5,0))</f>
        <v>#N/A</v>
      </c>
      <c r="J445" s="9" t="e">
        <f>IF(VLOOKUP(G445,'Bereketli Satış'!J:AK,28,0)="","",VLOOKUP(G445,'Bereketli Satış'!J:AK,28,0))</f>
        <v>#N/A</v>
      </c>
      <c r="K445" s="100"/>
      <c r="L445" s="128"/>
      <c r="M445" s="100" t="e">
        <f>IF(VLOOKUP(G445,'Bereketli Satış'!J:AK,30,0)="","",VLOOKUP(G445,'Bereketli Satış'!J:AK,30,0))</f>
        <v>#N/A</v>
      </c>
      <c r="N445" s="9"/>
      <c r="O445" s="9"/>
      <c r="P445" s="9" t="e">
        <f>IF(VLOOKUP(G445,'Bereketli Satış'!J:AK,32,0)="","",VLOOKUP(G445,'Bereketli Satış'!J:AK,32,0))</f>
        <v>#N/A</v>
      </c>
      <c r="Q445" s="9"/>
      <c r="R445" s="9"/>
    </row>
    <row r="446" spans="1:18">
      <c r="A446" s="8" t="s">
        <v>30</v>
      </c>
      <c r="B446" s="8" t="s">
        <v>31</v>
      </c>
      <c r="C446" s="8" t="s">
        <v>32</v>
      </c>
      <c r="D446" s="8">
        <v>266.89999999999998</v>
      </c>
      <c r="E446" s="8">
        <v>316</v>
      </c>
      <c r="F446" s="1">
        <v>35</v>
      </c>
      <c r="G446" s="1" t="str">
        <f t="shared" si="6"/>
        <v>CAMİKEBİR31635</v>
      </c>
      <c r="H446" s="1"/>
      <c r="I446" s="9" t="e">
        <f>IF(VLOOKUP(G446,'Bereketli Satış'!J:AK,5,0)="","",VLOOKUP(G446,'Bereketli Satış'!J:AK,5,0))</f>
        <v>#N/A</v>
      </c>
      <c r="J446" s="9" t="e">
        <f>IF(VLOOKUP(G446,'Bereketli Satış'!J:AK,28,0)="","",VLOOKUP(G446,'Bereketli Satış'!J:AK,28,0))</f>
        <v>#N/A</v>
      </c>
      <c r="K446" s="9"/>
      <c r="L446" s="128"/>
      <c r="M446" s="100" t="e">
        <f>IF(VLOOKUP(G446,'Bereketli Satış'!J:AK,30,0)="","",VLOOKUP(G446,'Bereketli Satış'!J:AK,30,0))</f>
        <v>#N/A</v>
      </c>
      <c r="N446" s="110"/>
      <c r="O446" s="110"/>
      <c r="P446" s="9" t="e">
        <f>IF(VLOOKUP(G446,'Bereketli Satış'!J:AK,32,0)="","",VLOOKUP(G446,'Bereketli Satış'!J:AK,32,0))</f>
        <v>#N/A</v>
      </c>
      <c r="Q446" s="110"/>
      <c r="R446" s="110"/>
    </row>
    <row r="447" spans="1:18">
      <c r="A447" s="8" t="s">
        <v>30</v>
      </c>
      <c r="B447" s="8" t="s">
        <v>31</v>
      </c>
      <c r="C447" s="8" t="s">
        <v>32</v>
      </c>
      <c r="D447" s="8">
        <v>338.96</v>
      </c>
      <c r="E447" s="8">
        <v>314</v>
      </c>
      <c r="F447" s="1">
        <v>8</v>
      </c>
      <c r="G447" s="1" t="str">
        <f t="shared" si="6"/>
        <v>CAMİKEBİR3148</v>
      </c>
      <c r="H447" s="1"/>
      <c r="I447" s="9" t="e">
        <f>IF(VLOOKUP(G447,'Bereketli Satış'!J:AK,5,0)="","",VLOOKUP(G447,'Bereketli Satış'!J:AK,5,0))</f>
        <v>#N/A</v>
      </c>
      <c r="J447" s="9" t="e">
        <f>IF(VLOOKUP(G447,'Bereketli Satış'!J:AK,28,0)="","",VLOOKUP(G447,'Bereketli Satış'!J:AK,28,0))</f>
        <v>#N/A</v>
      </c>
      <c r="K447" s="110"/>
      <c r="L447" s="130"/>
      <c r="M447" s="100" t="e">
        <f>IF(VLOOKUP(G447,'Bereketli Satış'!J:AK,30,0)="","",VLOOKUP(G447,'Bereketli Satış'!J:AK,30,0))</f>
        <v>#N/A</v>
      </c>
      <c r="N447" s="9"/>
      <c r="O447" s="9"/>
      <c r="P447" s="9" t="e">
        <f>IF(VLOOKUP(G447,'Bereketli Satış'!J:AK,32,0)="","",VLOOKUP(G447,'Bereketli Satış'!J:AK,32,0))</f>
        <v>#N/A</v>
      </c>
      <c r="Q447" s="9"/>
      <c r="R447" s="9"/>
    </row>
    <row r="448" spans="1:18">
      <c r="A448" s="8" t="s">
        <v>30</v>
      </c>
      <c r="B448" s="8" t="s">
        <v>31</v>
      </c>
      <c r="C448" s="8" t="s">
        <v>32</v>
      </c>
      <c r="D448" s="8">
        <v>271.23</v>
      </c>
      <c r="E448" s="8">
        <v>316</v>
      </c>
      <c r="F448" s="1">
        <v>12</v>
      </c>
      <c r="G448" s="1" t="str">
        <f t="shared" si="6"/>
        <v>CAMİKEBİR31612</v>
      </c>
      <c r="H448" s="1"/>
      <c r="I448" s="9" t="e">
        <f>IF(VLOOKUP(G448,'Bereketli Satış'!J:AK,5,0)="","",VLOOKUP(G448,'Bereketli Satış'!J:AK,5,0))</f>
        <v>#N/A</v>
      </c>
      <c r="J448" s="9" t="e">
        <f>IF(VLOOKUP(G448,'Bereketli Satış'!J:AK,28,0)="","",VLOOKUP(G448,'Bereketli Satış'!J:AK,28,0))</f>
        <v>#N/A</v>
      </c>
      <c r="K448" s="9"/>
      <c r="L448" s="128"/>
      <c r="M448" s="100" t="e">
        <f>IF(VLOOKUP(G448,'Bereketli Satış'!J:AK,30,0)="","",VLOOKUP(G448,'Bereketli Satış'!J:AK,30,0))</f>
        <v>#N/A</v>
      </c>
      <c r="N448" s="9"/>
      <c r="O448" s="9"/>
      <c r="P448" s="9" t="e">
        <f>IF(VLOOKUP(G448,'Bereketli Satış'!J:AK,32,0)="","",VLOOKUP(G448,'Bereketli Satış'!J:AK,32,0))</f>
        <v>#N/A</v>
      </c>
      <c r="Q448" s="9"/>
      <c r="R448" s="9"/>
    </row>
    <row r="449" spans="1:18">
      <c r="A449" s="8" t="s">
        <v>30</v>
      </c>
      <c r="B449" s="8" t="s">
        <v>31</v>
      </c>
      <c r="C449" s="8" t="s">
        <v>32</v>
      </c>
      <c r="D449" s="8">
        <v>272.64999999999998</v>
      </c>
      <c r="E449" s="8">
        <v>316</v>
      </c>
      <c r="F449" s="1">
        <v>21</v>
      </c>
      <c r="G449" s="1" t="str">
        <f t="shared" si="6"/>
        <v>CAMİKEBİR31621</v>
      </c>
      <c r="H449" s="1"/>
      <c r="I449" s="9" t="e">
        <f>IF(VLOOKUP(G449,'Bereketli Satış'!J:AK,5,0)="","",VLOOKUP(G449,'Bereketli Satış'!J:AK,5,0))</f>
        <v>#N/A</v>
      </c>
      <c r="J449" s="9" t="e">
        <f>IF(VLOOKUP(G449,'Bereketli Satış'!J:AK,28,0)="","",VLOOKUP(G449,'Bereketli Satış'!J:AK,28,0))</f>
        <v>#N/A</v>
      </c>
      <c r="K449" s="9"/>
      <c r="L449" s="128"/>
      <c r="M449" s="100" t="e">
        <f>IF(VLOOKUP(G449,'Bereketli Satış'!J:AK,30,0)="","",VLOOKUP(G449,'Bereketli Satış'!J:AK,30,0))</f>
        <v>#N/A</v>
      </c>
      <c r="N449" s="9"/>
      <c r="O449" s="9"/>
      <c r="P449" s="9" t="e">
        <f>IF(VLOOKUP(G449,'Bereketli Satış'!J:AK,32,0)="","",VLOOKUP(G449,'Bereketli Satış'!J:AK,32,0))</f>
        <v>#N/A</v>
      </c>
      <c r="Q449" s="9"/>
      <c r="R449" s="9"/>
    </row>
    <row r="450" spans="1:18">
      <c r="A450" s="8" t="s">
        <v>30</v>
      </c>
      <c r="B450" s="8" t="s">
        <v>31</v>
      </c>
      <c r="C450" s="8" t="s">
        <v>32</v>
      </c>
      <c r="D450" s="8">
        <v>272.17</v>
      </c>
      <c r="E450" s="8">
        <v>316</v>
      </c>
      <c r="F450" s="1">
        <v>22</v>
      </c>
      <c r="G450" s="1" t="str">
        <f t="shared" si="6"/>
        <v>CAMİKEBİR31622</v>
      </c>
      <c r="H450" s="1"/>
      <c r="I450" s="9" t="e">
        <f>IF(VLOOKUP(G450,'Bereketli Satış'!J:AK,5,0)="","",VLOOKUP(G450,'Bereketli Satış'!J:AK,5,0))</f>
        <v>#N/A</v>
      </c>
      <c r="J450" s="9" t="e">
        <f>IF(VLOOKUP(G450,'Bereketli Satış'!J:AK,28,0)="","",VLOOKUP(G450,'Bereketli Satış'!J:AK,28,0))</f>
        <v>#N/A</v>
      </c>
      <c r="K450" s="9"/>
      <c r="L450" s="128"/>
      <c r="M450" s="100" t="e">
        <f>IF(VLOOKUP(G450,'Bereketli Satış'!J:AK,30,0)="","",VLOOKUP(G450,'Bereketli Satış'!J:AK,30,0))</f>
        <v>#N/A</v>
      </c>
      <c r="N450" s="9"/>
      <c r="O450" s="9"/>
      <c r="P450" s="9" t="e">
        <f>IF(VLOOKUP(G450,'Bereketli Satış'!J:AK,32,0)="","",VLOOKUP(G450,'Bereketli Satış'!J:AK,32,0))</f>
        <v>#N/A</v>
      </c>
      <c r="Q450" s="9"/>
      <c r="R450" s="9"/>
    </row>
    <row r="451" spans="1:18">
      <c r="A451" s="8" t="s">
        <v>30</v>
      </c>
      <c r="B451" s="8" t="s">
        <v>31</v>
      </c>
      <c r="C451" s="8" t="s">
        <v>32</v>
      </c>
      <c r="D451" s="8">
        <v>271.76</v>
      </c>
      <c r="E451" s="8">
        <v>316</v>
      </c>
      <c r="F451" s="1">
        <v>23</v>
      </c>
      <c r="G451" s="1" t="str">
        <f t="shared" ref="G451:G514" si="7">C451&amp;E451&amp;F451</f>
        <v>CAMİKEBİR31623</v>
      </c>
      <c r="H451" s="1"/>
      <c r="I451" s="9" t="e">
        <f>IF(VLOOKUP(G451,'Bereketli Satış'!J:AK,5,0)="","",VLOOKUP(G451,'Bereketli Satış'!J:AK,5,0))</f>
        <v>#N/A</v>
      </c>
      <c r="J451" s="9" t="e">
        <f>IF(VLOOKUP(G451,'Bereketli Satış'!J:AK,28,0)="","",VLOOKUP(G451,'Bereketli Satış'!J:AK,28,0))</f>
        <v>#N/A</v>
      </c>
      <c r="K451" s="9"/>
      <c r="L451" s="128"/>
      <c r="M451" s="100" t="e">
        <f>IF(VLOOKUP(G451,'Bereketli Satış'!J:AK,30,0)="","",VLOOKUP(G451,'Bereketli Satış'!J:AK,30,0))</f>
        <v>#N/A</v>
      </c>
      <c r="N451" s="9"/>
      <c r="O451" s="9"/>
      <c r="P451" s="9" t="e">
        <f>IF(VLOOKUP(G451,'Bereketli Satış'!J:AK,32,0)="","",VLOOKUP(G451,'Bereketli Satış'!J:AK,32,0))</f>
        <v>#N/A</v>
      </c>
      <c r="Q451" s="9"/>
      <c r="R451" s="9"/>
    </row>
    <row r="452" spans="1:18">
      <c r="A452" s="8" t="s">
        <v>30</v>
      </c>
      <c r="B452" s="8" t="s">
        <v>31</v>
      </c>
      <c r="C452" s="8" t="s">
        <v>32</v>
      </c>
      <c r="D452" s="8">
        <v>271.36</v>
      </c>
      <c r="E452" s="8">
        <v>316</v>
      </c>
      <c r="F452" s="1">
        <v>24</v>
      </c>
      <c r="G452" s="1" t="str">
        <f t="shared" si="7"/>
        <v>CAMİKEBİR31624</v>
      </c>
      <c r="H452" s="1"/>
      <c r="I452" s="9" t="e">
        <f>IF(VLOOKUP(G452,'Bereketli Satış'!J:AK,5,0)="","",VLOOKUP(G452,'Bereketli Satış'!J:AK,5,0))</f>
        <v>#N/A</v>
      </c>
      <c r="J452" s="9" t="e">
        <f>IF(VLOOKUP(G452,'Bereketli Satış'!J:AK,28,0)="","",VLOOKUP(G452,'Bereketli Satış'!J:AK,28,0))</f>
        <v>#N/A</v>
      </c>
      <c r="K452" s="9"/>
      <c r="L452" s="128"/>
      <c r="M452" s="100" t="e">
        <f>IF(VLOOKUP(G452,'Bereketli Satış'!J:AK,30,0)="","",VLOOKUP(G452,'Bereketli Satış'!J:AK,30,0))</f>
        <v>#N/A</v>
      </c>
      <c r="N452" s="9"/>
      <c r="O452" s="9"/>
      <c r="P452" s="9" t="e">
        <f>IF(VLOOKUP(G452,'Bereketli Satış'!J:AK,32,0)="","",VLOOKUP(G452,'Bereketli Satış'!J:AK,32,0))</f>
        <v>#N/A</v>
      </c>
      <c r="Q452" s="9"/>
      <c r="R452" s="9"/>
    </row>
    <row r="453" spans="1:18">
      <c r="A453" s="8" t="s">
        <v>30</v>
      </c>
      <c r="B453" s="8" t="s">
        <v>31</v>
      </c>
      <c r="C453" s="8" t="s">
        <v>32</v>
      </c>
      <c r="D453" s="8">
        <v>270.95</v>
      </c>
      <c r="E453" s="8">
        <v>316</v>
      </c>
      <c r="F453" s="1">
        <v>25</v>
      </c>
      <c r="G453" s="1" t="str">
        <f t="shared" si="7"/>
        <v>CAMİKEBİR31625</v>
      </c>
      <c r="H453" s="1"/>
      <c r="I453" s="9" t="e">
        <f>IF(VLOOKUP(G453,'Bereketli Satış'!J:AK,5,0)="","",VLOOKUP(G453,'Bereketli Satış'!J:AK,5,0))</f>
        <v>#N/A</v>
      </c>
      <c r="J453" s="9" t="e">
        <f>IF(VLOOKUP(G453,'Bereketli Satış'!J:AK,28,0)="","",VLOOKUP(G453,'Bereketli Satış'!J:AK,28,0))</f>
        <v>#N/A</v>
      </c>
      <c r="K453" s="9"/>
      <c r="L453" s="128"/>
      <c r="M453" s="100" t="e">
        <f>IF(VLOOKUP(G453,'Bereketli Satış'!J:AK,30,0)="","",VLOOKUP(G453,'Bereketli Satış'!J:AK,30,0))</f>
        <v>#N/A</v>
      </c>
      <c r="N453" s="9"/>
      <c r="O453" s="9"/>
      <c r="P453" s="9" t="e">
        <f>IF(VLOOKUP(G453,'Bereketli Satış'!J:AK,32,0)="","",VLOOKUP(G453,'Bereketli Satış'!J:AK,32,0))</f>
        <v>#N/A</v>
      </c>
      <c r="Q453" s="9"/>
      <c r="R453" s="9"/>
    </row>
    <row r="454" spans="1:18">
      <c r="A454" s="8" t="s">
        <v>30</v>
      </c>
      <c r="B454" s="8" t="s">
        <v>31</v>
      </c>
      <c r="C454" s="8" t="s">
        <v>32</v>
      </c>
      <c r="D454" s="8">
        <v>271.5</v>
      </c>
      <c r="E454" s="8">
        <v>316</v>
      </c>
      <c r="F454" s="1">
        <v>13</v>
      </c>
      <c r="G454" s="1" t="str">
        <f t="shared" si="7"/>
        <v>CAMİKEBİR31613</v>
      </c>
      <c r="H454" s="1"/>
      <c r="I454" s="9" t="e">
        <f>IF(VLOOKUP(G454,'Bereketli Satış'!J:AK,5,0)="","",VLOOKUP(G454,'Bereketli Satış'!J:AK,5,0))</f>
        <v>#N/A</v>
      </c>
      <c r="J454" s="9" t="e">
        <f>IF(VLOOKUP(G454,'Bereketli Satış'!J:AK,28,0)="","",VLOOKUP(G454,'Bereketli Satış'!J:AK,28,0))</f>
        <v>#N/A</v>
      </c>
      <c r="K454" s="9"/>
      <c r="L454" s="128"/>
      <c r="M454" s="100" t="e">
        <f>IF(VLOOKUP(G454,'Bereketli Satış'!J:AK,30,0)="","",VLOOKUP(G454,'Bereketli Satış'!J:AK,30,0))</f>
        <v>#N/A</v>
      </c>
      <c r="N454" s="9"/>
      <c r="O454" s="9"/>
      <c r="P454" s="9" t="e">
        <f>IF(VLOOKUP(G454,'Bereketli Satış'!J:AK,32,0)="","",VLOOKUP(G454,'Bereketli Satış'!J:AK,32,0))</f>
        <v>#N/A</v>
      </c>
      <c r="Q454" s="9"/>
      <c r="R454" s="9"/>
    </row>
    <row r="455" spans="1:18">
      <c r="A455" s="8" t="s">
        <v>30</v>
      </c>
      <c r="B455" s="8" t="s">
        <v>31</v>
      </c>
      <c r="C455" s="8" t="s">
        <v>32</v>
      </c>
      <c r="D455" s="8">
        <v>271.76</v>
      </c>
      <c r="E455" s="8">
        <v>316</v>
      </c>
      <c r="F455" s="1">
        <v>14</v>
      </c>
      <c r="G455" s="1" t="str">
        <f t="shared" si="7"/>
        <v>CAMİKEBİR31614</v>
      </c>
      <c r="H455" s="1"/>
      <c r="I455" s="9" t="e">
        <f>IF(VLOOKUP(G455,'Bereketli Satış'!J:AK,5,0)="","",VLOOKUP(G455,'Bereketli Satış'!J:AK,5,0))</f>
        <v>#N/A</v>
      </c>
      <c r="J455" s="9" t="e">
        <f>IF(VLOOKUP(G455,'Bereketli Satış'!J:AK,28,0)="","",VLOOKUP(G455,'Bereketli Satış'!J:AK,28,0))</f>
        <v>#N/A</v>
      </c>
      <c r="K455" s="9"/>
      <c r="L455" s="128"/>
      <c r="M455" s="100" t="e">
        <f>IF(VLOOKUP(G455,'Bereketli Satış'!J:AK,30,0)="","",VLOOKUP(G455,'Bereketli Satış'!J:AK,30,0))</f>
        <v>#N/A</v>
      </c>
      <c r="N455" s="9"/>
      <c r="O455" s="9"/>
      <c r="P455" s="9" t="e">
        <f>IF(VLOOKUP(G455,'Bereketli Satış'!J:AK,32,0)="","",VLOOKUP(G455,'Bereketli Satış'!J:AK,32,0))</f>
        <v>#N/A</v>
      </c>
      <c r="Q455" s="9"/>
      <c r="R455" s="9"/>
    </row>
    <row r="456" spans="1:18">
      <c r="A456" s="8" t="s">
        <v>30</v>
      </c>
      <c r="B456" s="8" t="s">
        <v>31</v>
      </c>
      <c r="C456" s="8" t="s">
        <v>32</v>
      </c>
      <c r="D456" s="8">
        <v>272.35000000000002</v>
      </c>
      <c r="E456" s="8">
        <v>316</v>
      </c>
      <c r="F456" s="1">
        <v>16</v>
      </c>
      <c r="G456" s="1" t="str">
        <f t="shared" si="7"/>
        <v>CAMİKEBİR31616</v>
      </c>
      <c r="H456" s="1"/>
      <c r="I456" s="9" t="e">
        <f>IF(VLOOKUP(G456,'Bereketli Satış'!J:AK,5,0)="","",VLOOKUP(G456,'Bereketli Satış'!J:AK,5,0))</f>
        <v>#N/A</v>
      </c>
      <c r="J456" s="9" t="e">
        <f>IF(VLOOKUP(G456,'Bereketli Satış'!J:AK,28,0)="","",VLOOKUP(G456,'Bereketli Satış'!J:AK,28,0))</f>
        <v>#N/A</v>
      </c>
      <c r="K456" s="9"/>
      <c r="L456" s="128"/>
      <c r="M456" s="100" t="e">
        <f>IF(VLOOKUP(G456,'Bereketli Satış'!J:AK,30,0)="","",VLOOKUP(G456,'Bereketli Satış'!J:AK,30,0))</f>
        <v>#N/A</v>
      </c>
      <c r="N456" s="9"/>
      <c r="O456" s="9"/>
      <c r="P456" s="9" t="e">
        <f>IF(VLOOKUP(G456,'Bereketli Satış'!J:AK,32,0)="","",VLOOKUP(G456,'Bereketli Satış'!J:AK,32,0))</f>
        <v>#N/A</v>
      </c>
      <c r="Q456" s="9"/>
      <c r="R456" s="9"/>
    </row>
    <row r="457" spans="1:18">
      <c r="A457" s="8" t="s">
        <v>30</v>
      </c>
      <c r="B457" s="8" t="s">
        <v>31</v>
      </c>
      <c r="C457" s="8" t="s">
        <v>32</v>
      </c>
      <c r="D457" s="8">
        <v>258.87</v>
      </c>
      <c r="E457" s="8">
        <v>316</v>
      </c>
      <c r="F457" s="1">
        <v>17</v>
      </c>
      <c r="G457" s="1" t="str">
        <f t="shared" si="7"/>
        <v>CAMİKEBİR31617</v>
      </c>
      <c r="H457" s="1"/>
      <c r="I457" s="9" t="e">
        <f>IF(VLOOKUP(G457,'Bereketli Satış'!J:AK,5,0)="","",VLOOKUP(G457,'Bereketli Satış'!J:AK,5,0))</f>
        <v>#N/A</v>
      </c>
      <c r="J457" s="9" t="e">
        <f>IF(VLOOKUP(G457,'Bereketli Satış'!J:AK,28,0)="","",VLOOKUP(G457,'Bereketli Satış'!J:AK,28,0))</f>
        <v>#N/A</v>
      </c>
      <c r="K457" s="9"/>
      <c r="L457" s="128"/>
      <c r="M457" s="100" t="e">
        <f>IF(VLOOKUP(G457,'Bereketli Satış'!J:AK,30,0)="","",VLOOKUP(G457,'Bereketli Satış'!J:AK,30,0))</f>
        <v>#N/A</v>
      </c>
      <c r="N457" s="9"/>
      <c r="O457" s="9"/>
      <c r="P457" s="9" t="e">
        <f>IF(VLOOKUP(G457,'Bereketli Satış'!J:AK,32,0)="","",VLOOKUP(G457,'Bereketli Satış'!J:AK,32,0))</f>
        <v>#N/A</v>
      </c>
      <c r="Q457" s="9"/>
      <c r="R457" s="9"/>
    </row>
    <row r="458" spans="1:18">
      <c r="A458" s="8" t="s">
        <v>30</v>
      </c>
      <c r="B458" s="8" t="s">
        <v>31</v>
      </c>
      <c r="C458" s="8" t="s">
        <v>32</v>
      </c>
      <c r="D458" s="8">
        <v>270.54000000000002</v>
      </c>
      <c r="E458" s="8">
        <v>316</v>
      </c>
      <c r="F458" s="1">
        <v>26</v>
      </c>
      <c r="G458" s="1" t="str">
        <f t="shared" si="7"/>
        <v>CAMİKEBİR31626</v>
      </c>
      <c r="H458" s="1"/>
      <c r="I458" s="9" t="e">
        <f>IF(VLOOKUP(G458,'Bereketli Satış'!J:AK,5,0)="","",VLOOKUP(G458,'Bereketli Satış'!J:AK,5,0))</f>
        <v>#N/A</v>
      </c>
      <c r="J458" s="9" t="e">
        <f>IF(VLOOKUP(G458,'Bereketli Satış'!J:AK,28,0)="","",VLOOKUP(G458,'Bereketli Satış'!J:AK,28,0))</f>
        <v>#N/A</v>
      </c>
      <c r="K458" s="9"/>
      <c r="L458" s="128"/>
      <c r="M458" s="100" t="e">
        <f>IF(VLOOKUP(G458,'Bereketli Satış'!J:AK,30,0)="","",VLOOKUP(G458,'Bereketli Satış'!J:AK,30,0))</f>
        <v>#N/A</v>
      </c>
      <c r="N458" s="9"/>
      <c r="O458" s="9"/>
      <c r="P458" s="9" t="e">
        <f>IF(VLOOKUP(G458,'Bereketli Satış'!J:AK,32,0)="","",VLOOKUP(G458,'Bereketli Satış'!J:AK,32,0))</f>
        <v>#N/A</v>
      </c>
      <c r="Q458" s="9"/>
      <c r="R458" s="9"/>
    </row>
    <row r="459" spans="1:18">
      <c r="A459" s="8" t="s">
        <v>87</v>
      </c>
      <c r="B459" s="8" t="s">
        <v>88</v>
      </c>
      <c r="C459" s="8" t="s">
        <v>89</v>
      </c>
      <c r="D459" s="8">
        <v>267</v>
      </c>
      <c r="E459" s="8">
        <v>176</v>
      </c>
      <c r="F459" s="1">
        <v>121</v>
      </c>
      <c r="G459" s="1" t="str">
        <f t="shared" si="7"/>
        <v>Camikebir176121</v>
      </c>
      <c r="H459" s="1"/>
      <c r="I459" s="9" t="e">
        <f>IF(VLOOKUP(G459,'Bereketli Satış'!J:AK,5,0)="","",VLOOKUP(G459,'Bereketli Satış'!J:AK,5,0))</f>
        <v>#N/A</v>
      </c>
      <c r="J459" s="9" t="e">
        <f>IF(VLOOKUP(G459,'Bereketli Satış'!J:AK,28,0)="","",VLOOKUP(G459,'Bereketli Satış'!J:AK,28,0))</f>
        <v>#N/A</v>
      </c>
      <c r="K459" s="9"/>
      <c r="L459" s="128"/>
      <c r="M459" s="100" t="e">
        <f>IF(VLOOKUP(G459,'Bereketli Satış'!J:AK,30,0)="","",VLOOKUP(G459,'Bereketli Satış'!J:AK,30,0))</f>
        <v>#N/A</v>
      </c>
      <c r="N459" s="100"/>
      <c r="O459" s="100"/>
      <c r="P459" s="9" t="e">
        <f>IF(VLOOKUP(G459,'Bereketli Satış'!J:AK,32,0)="","",VLOOKUP(G459,'Bereketli Satış'!J:AK,32,0))</f>
        <v>#N/A</v>
      </c>
      <c r="Q459" s="100"/>
      <c r="R459" s="100"/>
    </row>
    <row r="460" spans="1:18">
      <c r="A460" s="8" t="s">
        <v>46</v>
      </c>
      <c r="B460" s="8" t="s">
        <v>47</v>
      </c>
      <c r="C460" s="8" t="s">
        <v>48</v>
      </c>
      <c r="D460" s="8">
        <v>437.58</v>
      </c>
      <c r="E460" s="18">
        <v>103</v>
      </c>
      <c r="F460" s="8">
        <v>1</v>
      </c>
      <c r="G460" s="1" t="str">
        <f t="shared" si="7"/>
        <v>İSLAMLAR1031</v>
      </c>
      <c r="H460" s="8"/>
      <c r="I460" s="9" t="e">
        <f>IF(VLOOKUP(G460,'Bereketli Satış'!J:AK,5,0)="","",VLOOKUP(G460,'Bereketli Satış'!J:AK,5,0))</f>
        <v>#N/A</v>
      </c>
      <c r="J460" s="9" t="e">
        <f>IF(VLOOKUP(G460,'Bereketli Satış'!J:AK,28,0)="","",VLOOKUP(G460,'Bereketli Satış'!J:AK,28,0))</f>
        <v>#N/A</v>
      </c>
      <c r="K460" s="100"/>
      <c r="L460" s="128"/>
      <c r="M460" s="100" t="e">
        <f>IF(VLOOKUP(G460,'Bereketli Satış'!J:AK,30,0)="","",VLOOKUP(G460,'Bereketli Satış'!J:AK,30,0))</f>
        <v>#N/A</v>
      </c>
      <c r="N460" s="9"/>
      <c r="O460" s="9"/>
      <c r="P460" s="9" t="e">
        <f>IF(VLOOKUP(G460,'Bereketli Satış'!J:AK,32,0)="","",VLOOKUP(G460,'Bereketli Satış'!J:AK,32,0))</f>
        <v>#N/A</v>
      </c>
      <c r="Q460" s="9"/>
      <c r="R460" s="9"/>
    </row>
    <row r="461" spans="1:18">
      <c r="A461" s="8" t="s">
        <v>14</v>
      </c>
      <c r="B461" s="8" t="s">
        <v>66</v>
      </c>
      <c r="C461" s="8" t="s">
        <v>71</v>
      </c>
      <c r="D461" s="8">
        <v>528.46</v>
      </c>
      <c r="E461" s="18">
        <v>165</v>
      </c>
      <c r="F461" s="8">
        <v>60</v>
      </c>
      <c r="G461" s="1" t="str">
        <f t="shared" si="7"/>
        <v>GÖZLÜÇAYIR16560</v>
      </c>
      <c r="H461" s="8"/>
      <c r="I461" s="9" t="e">
        <f>IF(VLOOKUP(G461,'Bereketli Satış'!J:AK,5,0)="","",VLOOKUP(G461,'Bereketli Satış'!J:AK,5,0))</f>
        <v>#N/A</v>
      </c>
      <c r="J461" s="9" t="e">
        <f>IF(VLOOKUP(G461,'Bereketli Satış'!J:AK,28,0)="","",VLOOKUP(G461,'Bereketli Satış'!J:AK,28,0))</f>
        <v>#N/A</v>
      </c>
      <c r="K461" s="9"/>
      <c r="L461" s="128"/>
      <c r="M461" s="100" t="e">
        <f>IF(VLOOKUP(G461,'Bereketli Satış'!J:AK,30,0)="","",VLOOKUP(G461,'Bereketli Satış'!J:AK,30,0))</f>
        <v>#N/A</v>
      </c>
      <c r="N461" s="9"/>
      <c r="O461" s="9"/>
      <c r="P461" s="9" t="e">
        <f>IF(VLOOKUP(G461,'Bereketli Satış'!J:AK,32,0)="","",VLOOKUP(G461,'Bereketli Satış'!J:AK,32,0))</f>
        <v>#N/A</v>
      </c>
      <c r="Q461" s="9"/>
      <c r="R461" s="9"/>
    </row>
    <row r="462" spans="1:18">
      <c r="A462" s="8" t="s">
        <v>17</v>
      </c>
      <c r="B462" s="8" t="s">
        <v>39</v>
      </c>
      <c r="C462" s="8" t="s">
        <v>40</v>
      </c>
      <c r="D462" s="8">
        <v>350</v>
      </c>
      <c r="E462" s="8">
        <v>103</v>
      </c>
      <c r="F462" s="109">
        <v>2</v>
      </c>
      <c r="G462" s="1" t="str">
        <f t="shared" si="7"/>
        <v>BEĞEL1032</v>
      </c>
      <c r="H462" s="109"/>
      <c r="I462" s="9" t="e">
        <f>IF(VLOOKUP(G462,'Bereketli Satış'!J:AK,5,0)="","",VLOOKUP(G462,'Bereketli Satış'!J:AK,5,0))</f>
        <v>#N/A</v>
      </c>
      <c r="J462" s="9" t="e">
        <f>IF(VLOOKUP(G462,'Bereketli Satış'!J:AK,28,0)="","",VLOOKUP(G462,'Bereketli Satış'!J:AK,28,0))</f>
        <v>#N/A</v>
      </c>
      <c r="K462" s="9"/>
      <c r="L462" s="128"/>
      <c r="M462" s="100" t="e">
        <f>IF(VLOOKUP(G462,'Bereketli Satış'!J:AK,30,0)="","",VLOOKUP(G462,'Bereketli Satış'!J:AK,30,0))</f>
        <v>#N/A</v>
      </c>
      <c r="N462" s="9"/>
      <c r="O462" s="9"/>
      <c r="P462" s="9" t="e">
        <f>IF(VLOOKUP(G462,'Bereketli Satış'!J:AK,32,0)="","",VLOOKUP(G462,'Bereketli Satış'!J:AK,32,0))</f>
        <v>#N/A</v>
      </c>
      <c r="Q462" s="9"/>
      <c r="R462" s="9"/>
    </row>
    <row r="463" spans="1:18">
      <c r="A463" s="8" t="s">
        <v>14</v>
      </c>
      <c r="B463" s="8" t="s">
        <v>33</v>
      </c>
      <c r="C463" s="8" t="s">
        <v>34</v>
      </c>
      <c r="D463" s="8">
        <v>851.74</v>
      </c>
      <c r="E463" s="8">
        <v>103</v>
      </c>
      <c r="F463" s="1">
        <v>3</v>
      </c>
      <c r="G463" s="1" t="str">
        <f t="shared" si="7"/>
        <v>ARMUTLU1033</v>
      </c>
      <c r="H463" s="1"/>
      <c r="I463" s="9" t="e">
        <f>IF(VLOOKUP(G463,'Bereketli Satış'!J:AK,5,0)="","",VLOOKUP(G463,'Bereketli Satış'!J:AK,5,0))</f>
        <v>#N/A</v>
      </c>
      <c r="J463" s="9" t="e">
        <f>IF(VLOOKUP(G463,'Bereketli Satış'!J:AK,28,0)="","",VLOOKUP(G463,'Bereketli Satış'!J:AK,28,0))</f>
        <v>#N/A</v>
      </c>
      <c r="K463" s="9"/>
      <c r="L463" s="128"/>
      <c r="M463" s="100" t="e">
        <f>IF(VLOOKUP(G463,'Bereketli Satış'!J:AK,30,0)="","",VLOOKUP(G463,'Bereketli Satış'!J:AK,30,0))</f>
        <v>#N/A</v>
      </c>
      <c r="N463" s="9"/>
      <c r="O463" s="9"/>
      <c r="P463" s="9" t="e">
        <f>IF(VLOOKUP(G463,'Bereketli Satış'!J:AK,32,0)="","",VLOOKUP(G463,'Bereketli Satış'!J:AK,32,0))</f>
        <v>#N/A</v>
      </c>
      <c r="Q463" s="9"/>
      <c r="R463" s="9"/>
    </row>
    <row r="464" spans="1:18">
      <c r="A464" s="8" t="s">
        <v>46</v>
      </c>
      <c r="B464" s="8" t="s">
        <v>47</v>
      </c>
      <c r="C464" s="8" t="s">
        <v>48</v>
      </c>
      <c r="D464" s="8">
        <v>438.52</v>
      </c>
      <c r="E464" s="18">
        <v>103</v>
      </c>
      <c r="F464" s="8">
        <v>7</v>
      </c>
      <c r="G464" s="1" t="str">
        <f t="shared" si="7"/>
        <v>İSLAMLAR1037</v>
      </c>
      <c r="H464" s="8"/>
      <c r="I464" s="9" t="e">
        <f>IF(VLOOKUP(G464,'Bereketli Satış'!J:AK,5,0)="","",VLOOKUP(G464,'Bereketli Satış'!J:AK,5,0))</f>
        <v>#N/A</v>
      </c>
      <c r="J464" s="9" t="e">
        <f>IF(VLOOKUP(G464,'Bereketli Satış'!J:AK,28,0)="","",VLOOKUP(G464,'Bereketli Satış'!J:AK,28,0))</f>
        <v>#N/A</v>
      </c>
      <c r="K464" s="9"/>
      <c r="L464" s="128"/>
      <c r="M464" s="100" t="e">
        <f>IF(VLOOKUP(G464,'Bereketli Satış'!J:AK,30,0)="","",VLOOKUP(G464,'Bereketli Satış'!J:AK,30,0))</f>
        <v>#N/A</v>
      </c>
      <c r="N464" s="9"/>
      <c r="O464" s="9"/>
      <c r="P464" s="9" t="e">
        <f>IF(VLOOKUP(G464,'Bereketli Satış'!J:AK,32,0)="","",VLOOKUP(G464,'Bereketli Satış'!J:AK,32,0))</f>
        <v>#N/A</v>
      </c>
      <c r="Q464" s="9"/>
      <c r="R464" s="9"/>
    </row>
    <row r="465" spans="1:18">
      <c r="A465" s="8" t="s">
        <v>14</v>
      </c>
      <c r="B465" s="8" t="s">
        <v>15</v>
      </c>
      <c r="C465" s="8" t="s">
        <v>63</v>
      </c>
      <c r="D465" s="8">
        <v>845.16</v>
      </c>
      <c r="E465" s="8">
        <v>103</v>
      </c>
      <c r="F465" s="1">
        <v>15</v>
      </c>
      <c r="G465" s="1" t="str">
        <f t="shared" si="7"/>
        <v>ILICABOĞAZI10315</v>
      </c>
      <c r="H465" s="1"/>
      <c r="I465" s="9" t="e">
        <f>IF(VLOOKUP(G465,'Bereketli Satış'!J:AK,5,0)="","",VLOOKUP(G465,'Bereketli Satış'!J:AK,5,0))</f>
        <v>#N/A</v>
      </c>
      <c r="J465" s="9" t="e">
        <f>IF(VLOOKUP(G465,'Bereketli Satış'!J:AK,28,0)="","",VLOOKUP(G465,'Bereketli Satış'!J:AK,28,0))</f>
        <v>#N/A</v>
      </c>
      <c r="K465" s="9"/>
      <c r="L465" s="128"/>
      <c r="M465" s="100" t="e">
        <f>IF(VLOOKUP(G465,'Bereketli Satış'!J:AK,30,0)="","",VLOOKUP(G465,'Bereketli Satış'!J:AK,30,0))</f>
        <v>#N/A</v>
      </c>
      <c r="N465" s="9"/>
      <c r="O465" s="9"/>
      <c r="P465" s="9" t="e">
        <f>IF(VLOOKUP(G465,'Bereketli Satış'!J:AK,32,0)="","",VLOOKUP(G465,'Bereketli Satış'!J:AK,32,0))</f>
        <v>#N/A</v>
      </c>
      <c r="Q465" s="9"/>
      <c r="R465" s="9"/>
    </row>
    <row r="466" spans="1:18">
      <c r="A466" s="8" t="s">
        <v>14</v>
      </c>
      <c r="B466" s="8" t="s">
        <v>15</v>
      </c>
      <c r="C466" s="8" t="s">
        <v>63</v>
      </c>
      <c r="D466" s="13">
        <v>479.2</v>
      </c>
      <c r="E466" s="8">
        <v>103</v>
      </c>
      <c r="F466" s="1">
        <v>39</v>
      </c>
      <c r="G466" s="1" t="str">
        <f t="shared" si="7"/>
        <v>ILICABOĞAZI10339</v>
      </c>
      <c r="H466" s="1"/>
      <c r="I466" s="9" t="e">
        <f>IF(VLOOKUP(G466,'Bereketli Satış'!J:AK,5,0)="","",VLOOKUP(G466,'Bereketli Satış'!J:AK,5,0))</f>
        <v>#N/A</v>
      </c>
      <c r="J466" s="9" t="e">
        <f>IF(VLOOKUP(G466,'Bereketli Satış'!J:AK,28,0)="","",VLOOKUP(G466,'Bereketli Satış'!J:AK,28,0))</f>
        <v>#N/A</v>
      </c>
      <c r="K466" s="9"/>
      <c r="L466" s="128"/>
      <c r="M466" s="100" t="e">
        <f>IF(VLOOKUP(G466,'Bereketli Satış'!J:AK,30,0)="","",VLOOKUP(G466,'Bereketli Satış'!J:AK,30,0))</f>
        <v>#N/A</v>
      </c>
      <c r="N466" s="9"/>
      <c r="O466" s="9"/>
      <c r="P466" s="9" t="e">
        <f>IF(VLOOKUP(G466,'Bereketli Satış'!J:AK,32,0)="","",VLOOKUP(G466,'Bereketli Satış'!J:AK,32,0))</f>
        <v>#N/A</v>
      </c>
      <c r="Q466" s="9"/>
      <c r="R466" s="9"/>
    </row>
    <row r="467" spans="1:18">
      <c r="A467" s="8" t="s">
        <v>14</v>
      </c>
      <c r="B467" s="8" t="s">
        <v>15</v>
      </c>
      <c r="C467" s="8" t="s">
        <v>63</v>
      </c>
      <c r="D467" s="13">
        <v>363.46</v>
      </c>
      <c r="E467" s="8">
        <v>103</v>
      </c>
      <c r="F467" s="1">
        <v>40</v>
      </c>
      <c r="G467" s="1" t="str">
        <f t="shared" si="7"/>
        <v>ILICABOĞAZI10340</v>
      </c>
      <c r="H467" s="1"/>
      <c r="I467" s="9" t="e">
        <f>IF(VLOOKUP(G467,'Bereketli Satış'!J:AK,5,0)="","",VLOOKUP(G467,'Bereketli Satış'!J:AK,5,0))</f>
        <v>#N/A</v>
      </c>
      <c r="J467" s="9" t="e">
        <f>IF(VLOOKUP(G467,'Bereketli Satış'!J:AK,28,0)="","",VLOOKUP(G467,'Bereketli Satış'!J:AK,28,0))</f>
        <v>#N/A</v>
      </c>
      <c r="K467" s="9"/>
      <c r="L467" s="128"/>
      <c r="M467" s="100" t="e">
        <f>IF(VLOOKUP(G467,'Bereketli Satış'!J:AK,30,0)="","",VLOOKUP(G467,'Bereketli Satış'!J:AK,30,0))</f>
        <v>#N/A</v>
      </c>
      <c r="N467" s="9"/>
      <c r="O467" s="9"/>
      <c r="P467" s="9" t="e">
        <f>IF(VLOOKUP(G467,'Bereketli Satış'!J:AK,32,0)="","",VLOOKUP(G467,'Bereketli Satış'!J:AK,32,0))</f>
        <v>#N/A</v>
      </c>
      <c r="Q467" s="9"/>
      <c r="R467" s="9"/>
    </row>
    <row r="468" spans="1:18">
      <c r="A468" s="8" t="s">
        <v>14</v>
      </c>
      <c r="B468" s="8" t="s">
        <v>15</v>
      </c>
      <c r="C468" s="8" t="s">
        <v>63</v>
      </c>
      <c r="D468" s="13">
        <v>364.12</v>
      </c>
      <c r="E468" s="8">
        <v>103</v>
      </c>
      <c r="F468" s="1">
        <v>47</v>
      </c>
      <c r="G468" s="1" t="str">
        <f t="shared" si="7"/>
        <v>ILICABOĞAZI10347</v>
      </c>
      <c r="H468" s="1"/>
      <c r="I468" s="9" t="e">
        <f>IF(VLOOKUP(G468,'Bereketli Satış'!J:AK,5,0)="","",VLOOKUP(G468,'Bereketli Satış'!J:AK,5,0))</f>
        <v>#N/A</v>
      </c>
      <c r="J468" s="9" t="e">
        <f>IF(VLOOKUP(G468,'Bereketli Satış'!J:AK,28,0)="","",VLOOKUP(G468,'Bereketli Satış'!J:AK,28,0))</f>
        <v>#N/A</v>
      </c>
      <c r="K468" s="9"/>
      <c r="L468" s="128"/>
      <c r="M468" s="100" t="e">
        <f>IF(VLOOKUP(G468,'Bereketli Satış'!J:AK,30,0)="","",VLOOKUP(G468,'Bereketli Satış'!J:AK,30,0))</f>
        <v>#N/A</v>
      </c>
      <c r="N468" s="9"/>
      <c r="O468" s="9"/>
      <c r="P468" s="9" t="e">
        <f>IF(VLOOKUP(G468,'Bereketli Satış'!J:AK,32,0)="","",VLOOKUP(G468,'Bereketli Satış'!J:AK,32,0))</f>
        <v>#N/A</v>
      </c>
      <c r="Q468" s="9"/>
      <c r="R468" s="9"/>
    </row>
    <row r="469" spans="1:18">
      <c r="A469" s="8" t="s">
        <v>14</v>
      </c>
      <c r="B469" s="8" t="s">
        <v>33</v>
      </c>
      <c r="C469" s="8" t="s">
        <v>42</v>
      </c>
      <c r="D469" s="8">
        <v>492.15</v>
      </c>
      <c r="E469" s="8">
        <v>117</v>
      </c>
      <c r="F469" s="1">
        <v>22</v>
      </c>
      <c r="G469" s="1" t="str">
        <f t="shared" si="7"/>
        <v>İBİLLER11722</v>
      </c>
      <c r="H469" s="1"/>
      <c r="I469" s="9" t="e">
        <f>IF(VLOOKUP(G469,'Bereketli Satış'!J:AK,5,0)="","",VLOOKUP(G469,'Bereketli Satış'!J:AK,5,0))</f>
        <v>#N/A</v>
      </c>
      <c r="J469" s="9" t="e">
        <f>IF(VLOOKUP(G469,'Bereketli Satış'!J:AK,28,0)="","",VLOOKUP(G469,'Bereketli Satış'!J:AK,28,0))</f>
        <v>#N/A</v>
      </c>
      <c r="K469" s="9"/>
      <c r="L469" s="128"/>
      <c r="M469" s="100" t="e">
        <f>IF(VLOOKUP(G469,'Bereketli Satış'!J:AK,30,0)="","",VLOOKUP(G469,'Bereketli Satış'!J:AK,30,0))</f>
        <v>#N/A</v>
      </c>
      <c r="N469" s="9"/>
      <c r="O469" s="9"/>
      <c r="P469" s="9" t="e">
        <f>IF(VLOOKUP(G469,'Bereketli Satış'!J:AK,32,0)="","",VLOOKUP(G469,'Bereketli Satış'!J:AK,32,0))</f>
        <v>#N/A</v>
      </c>
      <c r="Q469" s="9"/>
      <c r="R469" s="9"/>
    </row>
    <row r="470" spans="1:18">
      <c r="A470" s="8" t="s">
        <v>14</v>
      </c>
      <c r="B470" s="8" t="s">
        <v>23</v>
      </c>
      <c r="C470" s="8" t="s">
        <v>24</v>
      </c>
      <c r="D470" s="8">
        <v>615</v>
      </c>
      <c r="E470" s="8">
        <v>101</v>
      </c>
      <c r="F470" s="3">
        <v>10</v>
      </c>
      <c r="G470" s="1" t="str">
        <f t="shared" si="7"/>
        <v>İBİRLER10110</v>
      </c>
      <c r="H470" s="3"/>
      <c r="I470" s="9" t="e">
        <f>IF(VLOOKUP(G470,'Bereketli Satış'!J:AK,5,0)="","",VLOOKUP(G470,'Bereketli Satış'!J:AK,5,0))</f>
        <v>#N/A</v>
      </c>
      <c r="J470" s="9" t="e">
        <f>IF(VLOOKUP(G470,'Bereketli Satış'!J:AK,28,0)="","",VLOOKUP(G470,'Bereketli Satış'!J:AK,28,0))</f>
        <v>#N/A</v>
      </c>
      <c r="K470" s="9"/>
      <c r="L470" s="128"/>
      <c r="M470" s="100" t="e">
        <f>IF(VLOOKUP(G470,'Bereketli Satış'!J:AK,30,0)="","",VLOOKUP(G470,'Bereketli Satış'!J:AK,30,0))</f>
        <v>#N/A</v>
      </c>
      <c r="N470" s="9"/>
      <c r="O470" s="9"/>
      <c r="P470" s="9" t="e">
        <f>IF(VLOOKUP(G470,'Bereketli Satış'!J:AK,32,0)="","",VLOOKUP(G470,'Bereketli Satış'!J:AK,32,0))</f>
        <v>#N/A</v>
      </c>
      <c r="Q470" s="9"/>
      <c r="R470" s="9"/>
    </row>
    <row r="471" spans="1:18">
      <c r="A471" s="8" t="s">
        <v>49</v>
      </c>
      <c r="B471" s="8" t="s">
        <v>90</v>
      </c>
      <c r="C471" s="8" t="s">
        <v>91</v>
      </c>
      <c r="D471" s="8">
        <v>276.64</v>
      </c>
      <c r="E471" s="18">
        <v>229</v>
      </c>
      <c r="F471" s="8">
        <v>15</v>
      </c>
      <c r="G471" s="1" t="str">
        <f t="shared" si="7"/>
        <v>İSTİKLAL22915</v>
      </c>
      <c r="H471" s="8"/>
      <c r="I471" s="9" t="e">
        <f>IF(VLOOKUP(G471,'Bereketli Satış'!J:AK,5,0)="","",VLOOKUP(G471,'Bereketli Satış'!J:AK,5,0))</f>
        <v>#N/A</v>
      </c>
      <c r="J471" s="9" t="e">
        <f>IF(VLOOKUP(G471,'Bereketli Satış'!J:AK,28,0)="","",VLOOKUP(G471,'Bereketli Satış'!J:AK,28,0))</f>
        <v>#N/A</v>
      </c>
      <c r="K471" s="9"/>
      <c r="L471" s="128"/>
      <c r="M471" s="100" t="e">
        <f>IF(VLOOKUP(G471,'Bereketli Satış'!J:AK,30,0)="","",VLOOKUP(G471,'Bereketli Satış'!J:AK,30,0))</f>
        <v>#N/A</v>
      </c>
      <c r="N471" s="100"/>
      <c r="O471" s="100"/>
      <c r="P471" s="9" t="e">
        <f>IF(VLOOKUP(G471,'Bereketli Satış'!J:AK,32,0)="","",VLOOKUP(G471,'Bereketli Satış'!J:AK,32,0))</f>
        <v>#N/A</v>
      </c>
      <c r="Q471" s="100"/>
      <c r="R471" s="100"/>
    </row>
    <row r="472" spans="1:18">
      <c r="A472" s="8" t="s">
        <v>14</v>
      </c>
      <c r="B472" s="8" t="s">
        <v>23</v>
      </c>
      <c r="C472" s="8" t="s">
        <v>55</v>
      </c>
      <c r="D472" s="8">
        <v>461.08</v>
      </c>
      <c r="E472" s="18">
        <v>180</v>
      </c>
      <c r="F472" s="8">
        <v>14</v>
      </c>
      <c r="G472" s="1" t="str">
        <f t="shared" si="7"/>
        <v>KIRMIZILAR18014</v>
      </c>
      <c r="H472" s="8"/>
      <c r="I472" s="9" t="e">
        <f>IF(VLOOKUP(G472,'Bereketli Satış'!J:AK,5,0)="","",VLOOKUP(G472,'Bereketli Satış'!J:AK,5,0))</f>
        <v>#N/A</v>
      </c>
      <c r="J472" s="9" t="e">
        <f>IF(VLOOKUP(G472,'Bereketli Satış'!J:AK,28,0)="","",VLOOKUP(G472,'Bereketli Satış'!J:AK,28,0))</f>
        <v>#N/A</v>
      </c>
      <c r="K472" s="100"/>
      <c r="L472" s="128"/>
      <c r="M472" s="100" t="e">
        <f>IF(VLOOKUP(G472,'Bereketli Satış'!J:AK,30,0)="","",VLOOKUP(G472,'Bereketli Satış'!J:AK,30,0))</f>
        <v>#N/A</v>
      </c>
      <c r="N472" s="100"/>
      <c r="O472" s="100"/>
      <c r="P472" s="9" t="e">
        <f>IF(VLOOKUP(G472,'Bereketli Satış'!J:AK,32,0)="","",VLOOKUP(G472,'Bereketli Satış'!J:AK,32,0))</f>
        <v>#N/A</v>
      </c>
      <c r="Q472" s="100"/>
      <c r="R472" s="100"/>
    </row>
    <row r="473" spans="1:18">
      <c r="A473" s="8" t="s">
        <v>17</v>
      </c>
      <c r="B473" s="8" t="s">
        <v>21</v>
      </c>
      <c r="C473" s="8" t="s">
        <v>22</v>
      </c>
      <c r="D473" s="8">
        <v>413</v>
      </c>
      <c r="E473" s="18">
        <v>205</v>
      </c>
      <c r="F473" s="8">
        <v>8</v>
      </c>
      <c r="G473" s="1" t="str">
        <f t="shared" si="7"/>
        <v>KİLLİK2058</v>
      </c>
      <c r="H473" s="8"/>
      <c r="I473" s="9" t="e">
        <f>IF(VLOOKUP(G473,'Bereketli Satış'!J:AK,5,0)="","",VLOOKUP(G473,'Bereketli Satış'!J:AK,5,0))</f>
        <v>#N/A</v>
      </c>
      <c r="J473" s="9" t="e">
        <f>IF(VLOOKUP(G473,'Bereketli Satış'!J:AK,28,0)="","",VLOOKUP(G473,'Bereketli Satış'!J:AK,28,0))</f>
        <v>#N/A</v>
      </c>
      <c r="K473" s="100"/>
      <c r="L473" s="128"/>
      <c r="M473" s="100" t="e">
        <f>IF(VLOOKUP(G473,'Bereketli Satış'!J:AK,30,0)="","",VLOOKUP(G473,'Bereketli Satış'!J:AK,30,0))</f>
        <v>#N/A</v>
      </c>
      <c r="N473" s="100"/>
      <c r="O473" s="100"/>
      <c r="P473" s="9" t="e">
        <f>IF(VLOOKUP(G473,'Bereketli Satış'!J:AK,32,0)="","",VLOOKUP(G473,'Bereketli Satış'!J:AK,32,0))</f>
        <v>#N/A</v>
      </c>
      <c r="Q473" s="100"/>
      <c r="R473" s="100"/>
    </row>
    <row r="474" spans="1:18">
      <c r="A474" s="8" t="s">
        <v>14</v>
      </c>
      <c r="B474" s="8" t="s">
        <v>23</v>
      </c>
      <c r="C474" s="8" t="s">
        <v>56</v>
      </c>
      <c r="D474" s="8">
        <v>297.85000000000002</v>
      </c>
      <c r="E474" s="18">
        <v>12481</v>
      </c>
      <c r="F474" s="8">
        <v>11</v>
      </c>
      <c r="G474" s="1" t="str">
        <f t="shared" si="7"/>
        <v>KUVAYİ MİLLİYE1248111</v>
      </c>
      <c r="H474" s="8"/>
      <c r="I474" s="9" t="e">
        <f>IF(VLOOKUP(G474,'Bereketli Satış'!J:AK,5,0)="","",VLOOKUP(G474,'Bereketli Satış'!J:AK,5,0))</f>
        <v>#N/A</v>
      </c>
      <c r="J474" s="9" t="e">
        <f>IF(VLOOKUP(G474,'Bereketli Satış'!J:AK,28,0)="","",VLOOKUP(G474,'Bereketli Satış'!J:AK,28,0))</f>
        <v>#N/A</v>
      </c>
      <c r="K474" s="100"/>
      <c r="L474" s="128"/>
      <c r="M474" s="100" t="e">
        <f>IF(VLOOKUP(G474,'Bereketli Satış'!J:AK,30,0)="","",VLOOKUP(G474,'Bereketli Satış'!J:AK,30,0))</f>
        <v>#N/A</v>
      </c>
      <c r="N474" s="9"/>
      <c r="O474" s="9"/>
      <c r="P474" s="9" t="e">
        <f>IF(VLOOKUP(G474,'Bereketli Satış'!J:AK,32,0)="","",VLOOKUP(G474,'Bereketli Satış'!J:AK,32,0))</f>
        <v>#N/A</v>
      </c>
      <c r="Q474" s="9"/>
      <c r="R474" s="9"/>
    </row>
    <row r="475" spans="1:18">
      <c r="A475" s="8" t="s">
        <v>14</v>
      </c>
      <c r="B475" s="8" t="s">
        <v>23</v>
      </c>
      <c r="C475" s="8" t="s">
        <v>56</v>
      </c>
      <c r="D475" s="8">
        <v>388.1</v>
      </c>
      <c r="E475" s="109">
        <v>12486</v>
      </c>
      <c r="F475" s="3">
        <v>11</v>
      </c>
      <c r="G475" s="1" t="str">
        <f t="shared" si="7"/>
        <v>KUVAYİ MİLLİYE1248611</v>
      </c>
      <c r="H475" s="3"/>
      <c r="I475" s="9" t="e">
        <f>IF(VLOOKUP(G475,'Bereketli Satış'!J:AK,5,0)="","",VLOOKUP(G475,'Bereketli Satış'!J:AK,5,0))</f>
        <v>#N/A</v>
      </c>
      <c r="J475" s="9" t="e">
        <f>IF(VLOOKUP(G475,'Bereketli Satış'!J:AK,28,0)="","",VLOOKUP(G475,'Bereketli Satış'!J:AK,28,0))</f>
        <v>#N/A</v>
      </c>
      <c r="K475" s="9"/>
      <c r="L475" s="128"/>
      <c r="M475" s="100" t="e">
        <f>IF(VLOOKUP(G475,'Bereketli Satış'!J:AK,30,0)="","",VLOOKUP(G475,'Bereketli Satış'!J:AK,30,0))</f>
        <v>#N/A</v>
      </c>
      <c r="N475" s="9"/>
      <c r="O475" s="9"/>
      <c r="P475" s="9" t="e">
        <f>IF(VLOOKUP(G475,'Bereketli Satış'!J:AK,32,0)="","",VLOOKUP(G475,'Bereketli Satış'!J:AK,32,0))</f>
        <v>#N/A</v>
      </c>
      <c r="Q475" s="9"/>
      <c r="R475" s="9"/>
    </row>
    <row r="476" spans="1:18">
      <c r="A476" s="8" t="s">
        <v>14</v>
      </c>
      <c r="B476" s="8" t="s">
        <v>23</v>
      </c>
      <c r="C476" s="8" t="s">
        <v>56</v>
      </c>
      <c r="D476" s="8">
        <v>306</v>
      </c>
      <c r="E476" s="109">
        <v>12490</v>
      </c>
      <c r="F476" s="3">
        <v>10</v>
      </c>
      <c r="G476" s="1" t="str">
        <f t="shared" si="7"/>
        <v>KUVAYİ MİLLİYE1249010</v>
      </c>
      <c r="H476" s="3"/>
      <c r="I476" s="9" t="e">
        <f>IF(VLOOKUP(G476,'Bereketli Satış'!J:AK,5,0)="","",VLOOKUP(G476,'Bereketli Satış'!J:AK,5,0))</f>
        <v>#N/A</v>
      </c>
      <c r="J476" s="9" t="e">
        <f>IF(VLOOKUP(G476,'Bereketli Satış'!J:AK,28,0)="","",VLOOKUP(G476,'Bereketli Satış'!J:AK,28,0))</f>
        <v>#N/A</v>
      </c>
      <c r="K476" s="9"/>
      <c r="L476" s="128"/>
      <c r="M476" s="100" t="e">
        <f>IF(VLOOKUP(G476,'Bereketli Satış'!J:AK,30,0)="","",VLOOKUP(G476,'Bereketli Satış'!J:AK,30,0))</f>
        <v>#N/A</v>
      </c>
      <c r="N476" s="9"/>
      <c r="O476" s="9"/>
      <c r="P476" s="9" t="e">
        <f>IF(VLOOKUP(G476,'Bereketli Satış'!J:AK,32,0)="","",VLOOKUP(G476,'Bereketli Satış'!J:AK,32,0))</f>
        <v>#N/A</v>
      </c>
      <c r="Q476" s="9"/>
      <c r="R476" s="9"/>
    </row>
    <row r="477" spans="1:18">
      <c r="A477" s="8" t="s">
        <v>14</v>
      </c>
      <c r="B477" s="8" t="s">
        <v>23</v>
      </c>
      <c r="C477" s="8" t="s">
        <v>56</v>
      </c>
      <c r="D477" s="8">
        <v>296</v>
      </c>
      <c r="E477" s="109">
        <v>12490</v>
      </c>
      <c r="F477" s="3">
        <v>11</v>
      </c>
      <c r="G477" s="1" t="str">
        <f t="shared" si="7"/>
        <v>KUVAYİ MİLLİYE1249011</v>
      </c>
      <c r="H477" s="3"/>
      <c r="I477" s="9" t="e">
        <f>IF(VLOOKUP(G477,'Bereketli Satış'!J:AK,5,0)="","",VLOOKUP(G477,'Bereketli Satış'!J:AK,5,0))</f>
        <v>#N/A</v>
      </c>
      <c r="J477" s="9" t="e">
        <f>IF(VLOOKUP(G477,'Bereketli Satış'!J:AK,28,0)="","",VLOOKUP(G477,'Bereketli Satış'!J:AK,28,0))</f>
        <v>#N/A</v>
      </c>
      <c r="K477" s="9"/>
      <c r="L477" s="128"/>
      <c r="M477" s="100" t="e">
        <f>IF(VLOOKUP(G477,'Bereketli Satış'!J:AK,30,0)="","",VLOOKUP(G477,'Bereketli Satış'!J:AK,30,0))</f>
        <v>#N/A</v>
      </c>
      <c r="N477" s="9"/>
      <c r="O477" s="9"/>
      <c r="P477" s="9" t="e">
        <f>IF(VLOOKUP(G477,'Bereketli Satış'!J:AK,32,0)="","",VLOOKUP(G477,'Bereketli Satış'!J:AK,32,0))</f>
        <v>#N/A</v>
      </c>
      <c r="Q477" s="9"/>
      <c r="R477" s="9"/>
    </row>
    <row r="478" spans="1:18">
      <c r="A478" s="8" t="s">
        <v>14</v>
      </c>
      <c r="B478" s="8" t="s">
        <v>23</v>
      </c>
      <c r="C478" s="8" t="s">
        <v>56</v>
      </c>
      <c r="D478" s="8">
        <v>252.96</v>
      </c>
      <c r="E478" s="8">
        <v>12628</v>
      </c>
      <c r="F478" s="3">
        <v>18</v>
      </c>
      <c r="G478" s="1" t="str">
        <f t="shared" si="7"/>
        <v>KUVAYİ MİLLİYE1262818</v>
      </c>
      <c r="H478" s="3"/>
      <c r="I478" s="9" t="e">
        <f>IF(VLOOKUP(G478,'Bereketli Satış'!J:AK,5,0)="","",VLOOKUP(G478,'Bereketli Satış'!J:AK,5,0))</f>
        <v>#N/A</v>
      </c>
      <c r="J478" s="9" t="e">
        <f>IF(VLOOKUP(G478,'Bereketli Satış'!J:AK,28,0)="","",VLOOKUP(G478,'Bereketli Satış'!J:AK,28,0))</f>
        <v>#N/A</v>
      </c>
      <c r="K478" s="9"/>
      <c r="L478" s="128"/>
      <c r="M478" s="100" t="e">
        <f>IF(VLOOKUP(G478,'Bereketli Satış'!J:AK,30,0)="","",VLOOKUP(G478,'Bereketli Satış'!J:AK,30,0))</f>
        <v>#N/A</v>
      </c>
      <c r="N478" s="100"/>
      <c r="O478" s="100"/>
      <c r="P478" s="9" t="e">
        <f>IF(VLOOKUP(G478,'Bereketli Satış'!J:AK,32,0)="","",VLOOKUP(G478,'Bereketli Satış'!J:AK,32,0))</f>
        <v>#N/A</v>
      </c>
      <c r="Q478" s="100"/>
      <c r="R478" s="100"/>
    </row>
    <row r="479" spans="1:18">
      <c r="A479" s="8" t="s">
        <v>14</v>
      </c>
      <c r="B479" s="8" t="s">
        <v>23</v>
      </c>
      <c r="C479" s="8" t="s">
        <v>56</v>
      </c>
      <c r="D479" s="8">
        <v>290</v>
      </c>
      <c r="E479" s="18">
        <v>14236</v>
      </c>
      <c r="F479" s="8">
        <v>8</v>
      </c>
      <c r="G479" s="1" t="str">
        <f t="shared" si="7"/>
        <v>KUVAYİ MİLLİYE142368</v>
      </c>
      <c r="H479" s="8"/>
      <c r="I479" s="9" t="e">
        <f>IF(VLOOKUP(G479,'Bereketli Satış'!J:AK,5,0)="","",VLOOKUP(G479,'Bereketli Satış'!J:AK,5,0))</f>
        <v>#N/A</v>
      </c>
      <c r="J479" s="9" t="e">
        <f>IF(VLOOKUP(G479,'Bereketli Satış'!J:AK,28,0)="","",VLOOKUP(G479,'Bereketli Satış'!J:AK,28,0))</f>
        <v>#N/A</v>
      </c>
      <c r="K479" s="100"/>
      <c r="L479" s="128"/>
      <c r="M479" s="100" t="e">
        <f>IF(VLOOKUP(G479,'Bereketli Satış'!J:AK,30,0)="","",VLOOKUP(G479,'Bereketli Satış'!J:AK,30,0))</f>
        <v>#N/A</v>
      </c>
      <c r="N479" s="100"/>
      <c r="O479" s="100"/>
      <c r="P479" s="9" t="e">
        <f>IF(VLOOKUP(G479,'Bereketli Satış'!J:AK,32,0)="","",VLOOKUP(G479,'Bereketli Satış'!J:AK,32,0))</f>
        <v>#N/A</v>
      </c>
      <c r="Q479" s="100"/>
      <c r="R479" s="100"/>
    </row>
    <row r="480" spans="1:18">
      <c r="A480" s="8" t="s">
        <v>14</v>
      </c>
      <c r="B480" s="8" t="s">
        <v>15</v>
      </c>
      <c r="C480" s="8" t="s">
        <v>16</v>
      </c>
      <c r="D480" s="8">
        <v>339</v>
      </c>
      <c r="E480" s="8">
        <v>170</v>
      </c>
      <c r="F480" s="1">
        <v>13</v>
      </c>
      <c r="G480" s="1" t="str">
        <f t="shared" si="7"/>
        <v>REŞADİYE17013</v>
      </c>
      <c r="H480" s="1"/>
      <c r="I480" s="9" t="e">
        <f>IF(VLOOKUP(G480,'Bereketli Satış'!J:AK,5,0)="","",VLOOKUP(G480,'Bereketli Satış'!J:AK,5,0))</f>
        <v>#N/A</v>
      </c>
      <c r="J480" s="9" t="e">
        <f>IF(VLOOKUP(G480,'Bereketli Satış'!J:AK,28,0)="","",VLOOKUP(G480,'Bereketli Satış'!J:AK,28,0))</f>
        <v>#N/A</v>
      </c>
      <c r="K480" s="100"/>
      <c r="L480" s="128"/>
      <c r="M480" s="100" t="e">
        <f>IF(VLOOKUP(G480,'Bereketli Satış'!J:AK,30,0)="","",VLOOKUP(G480,'Bereketli Satış'!J:AK,30,0))</f>
        <v>#N/A</v>
      </c>
      <c r="N480" s="9"/>
      <c r="O480" s="9"/>
      <c r="P480" s="9" t="e">
        <f>IF(VLOOKUP(G480,'Bereketli Satış'!J:AK,32,0)="","",VLOOKUP(G480,'Bereketli Satış'!J:AK,32,0))</f>
        <v>#N/A</v>
      </c>
      <c r="Q480" s="9"/>
      <c r="R480" s="9"/>
    </row>
    <row r="481" spans="1:18">
      <c r="A481" s="8" t="s">
        <v>14</v>
      </c>
      <c r="B481" s="8" t="s">
        <v>15</v>
      </c>
      <c r="C481" s="8" t="s">
        <v>63</v>
      </c>
      <c r="D481" s="13">
        <v>498.78</v>
      </c>
      <c r="E481" s="8">
        <v>103</v>
      </c>
      <c r="F481" s="1">
        <v>59</v>
      </c>
      <c r="G481" s="1" t="str">
        <f t="shared" si="7"/>
        <v>ILICABOĞAZI10359</v>
      </c>
      <c r="H481" s="1"/>
      <c r="I481" s="9" t="e">
        <f>IF(VLOOKUP(G481,'Bereketli Satış'!J:AK,5,0)="","",VLOOKUP(G481,'Bereketli Satış'!J:AK,5,0))</f>
        <v>#N/A</v>
      </c>
      <c r="J481" s="9" t="e">
        <f>IF(VLOOKUP(G481,'Bereketli Satış'!J:AK,28,0)="","",VLOOKUP(G481,'Bereketli Satış'!J:AK,28,0))</f>
        <v>#N/A</v>
      </c>
      <c r="K481" s="9"/>
      <c r="L481" s="128"/>
      <c r="M481" s="100" t="e">
        <f>IF(VLOOKUP(G481,'Bereketli Satış'!J:AK,30,0)="","",VLOOKUP(G481,'Bereketli Satış'!J:AK,30,0))</f>
        <v>#N/A</v>
      </c>
      <c r="N481" s="9"/>
      <c r="O481" s="9"/>
      <c r="P481" s="9" t="e">
        <f>IF(VLOOKUP(G481,'Bereketli Satış'!J:AK,32,0)="","",VLOOKUP(G481,'Bereketli Satış'!J:AK,32,0))</f>
        <v>#N/A</v>
      </c>
      <c r="Q481" s="9"/>
      <c r="R481" s="9"/>
    </row>
    <row r="482" spans="1:18">
      <c r="A482" s="8" t="s">
        <v>14</v>
      </c>
      <c r="B482" s="8" t="s">
        <v>15</v>
      </c>
      <c r="C482" s="8" t="s">
        <v>63</v>
      </c>
      <c r="D482" s="13">
        <v>498</v>
      </c>
      <c r="E482" s="8">
        <v>103</v>
      </c>
      <c r="F482" s="1">
        <v>60</v>
      </c>
      <c r="G482" s="1" t="str">
        <f t="shared" si="7"/>
        <v>ILICABOĞAZI10360</v>
      </c>
      <c r="H482" s="1"/>
      <c r="I482" s="9" t="e">
        <f>IF(VLOOKUP(G482,'Bereketli Satış'!J:AK,5,0)="","",VLOOKUP(G482,'Bereketli Satış'!J:AK,5,0))</f>
        <v>#N/A</v>
      </c>
      <c r="J482" s="9" t="e">
        <f>IF(VLOOKUP(G482,'Bereketli Satış'!J:AK,28,0)="","",VLOOKUP(G482,'Bereketli Satış'!J:AK,28,0))</f>
        <v>#N/A</v>
      </c>
      <c r="K482" s="9"/>
      <c r="L482" s="128"/>
      <c r="M482" s="100" t="e">
        <f>IF(VLOOKUP(G482,'Bereketli Satış'!J:AK,30,0)="","",VLOOKUP(G482,'Bereketli Satış'!J:AK,30,0))</f>
        <v>#N/A</v>
      </c>
      <c r="N482" s="9"/>
      <c r="O482" s="9"/>
      <c r="P482" s="9" t="e">
        <f>IF(VLOOKUP(G482,'Bereketli Satış'!J:AK,32,0)="","",VLOOKUP(G482,'Bereketli Satış'!J:AK,32,0))</f>
        <v>#N/A</v>
      </c>
      <c r="Q482" s="9"/>
      <c r="R482" s="9"/>
    </row>
    <row r="483" spans="1:18">
      <c r="A483" s="8" t="s">
        <v>14</v>
      </c>
      <c r="B483" s="8" t="s">
        <v>15</v>
      </c>
      <c r="C483" s="8" t="s">
        <v>75</v>
      </c>
      <c r="D483" s="8">
        <v>643.07000000000005</v>
      </c>
      <c r="E483" s="8">
        <v>0</v>
      </c>
      <c r="F483" s="8">
        <v>977</v>
      </c>
      <c r="G483" s="1" t="str">
        <f t="shared" si="7"/>
        <v>Sultançayır0977</v>
      </c>
      <c r="H483" s="8"/>
      <c r="I483" s="9" t="e">
        <f>IF(VLOOKUP(G483,'Bereketli Satış'!J:AK,5,0)="","",VLOOKUP(G483,'Bereketli Satış'!J:AK,5,0))</f>
        <v>#N/A</v>
      </c>
      <c r="J483" s="9" t="e">
        <f>IF(VLOOKUP(G483,'Bereketli Satış'!J:AK,28,0)="","",VLOOKUP(G483,'Bereketli Satış'!J:AK,28,0))</f>
        <v>#N/A</v>
      </c>
      <c r="K483" s="9"/>
      <c r="L483" s="128"/>
      <c r="M483" s="100" t="e">
        <f>IF(VLOOKUP(G483,'Bereketli Satış'!J:AK,30,0)="","",VLOOKUP(G483,'Bereketli Satış'!J:AK,30,0))</f>
        <v>#N/A</v>
      </c>
      <c r="N483" s="100"/>
      <c r="O483" s="100"/>
      <c r="P483" s="9" t="e">
        <f>IF(VLOOKUP(G483,'Bereketli Satış'!J:AK,32,0)="","",VLOOKUP(G483,'Bereketli Satış'!J:AK,32,0))</f>
        <v>#N/A</v>
      </c>
      <c r="Q483" s="100"/>
      <c r="R483" s="100"/>
    </row>
    <row r="484" spans="1:18">
      <c r="A484" s="8" t="s">
        <v>17</v>
      </c>
      <c r="B484" s="8" t="s">
        <v>21</v>
      </c>
      <c r="C484" s="8" t="s">
        <v>22</v>
      </c>
      <c r="D484" s="8">
        <v>60</v>
      </c>
      <c r="E484" s="18">
        <v>241</v>
      </c>
      <c r="F484" s="8">
        <v>15</v>
      </c>
      <c r="G484" s="1" t="str">
        <f t="shared" si="7"/>
        <v>KİLLİK24115</v>
      </c>
      <c r="H484" s="8"/>
      <c r="I484" s="9" t="e">
        <f>IF(VLOOKUP(G484,'Bereketli Satış'!J:AK,5,0)="","",VLOOKUP(G484,'Bereketli Satış'!J:AK,5,0))</f>
        <v>#N/A</v>
      </c>
      <c r="J484" s="9" t="e">
        <f>IF(VLOOKUP(G484,'Bereketli Satış'!J:AK,28,0)="","",VLOOKUP(G484,'Bereketli Satış'!J:AK,28,0))</f>
        <v>#N/A</v>
      </c>
      <c r="K484" s="100"/>
      <c r="L484" s="128"/>
      <c r="M484" s="100" t="e">
        <f>IF(VLOOKUP(G484,'Bereketli Satış'!J:AK,30,0)="","",VLOOKUP(G484,'Bereketli Satış'!J:AK,30,0))</f>
        <v>#N/A</v>
      </c>
      <c r="N484" s="16"/>
      <c r="O484" s="16"/>
      <c r="P484" s="9" t="e">
        <f>IF(VLOOKUP(G484,'Bereketli Satış'!J:AK,32,0)="","",VLOOKUP(G484,'Bereketli Satış'!J:AK,32,0))</f>
        <v>#N/A</v>
      </c>
      <c r="Q484" s="16"/>
      <c r="R484" s="16"/>
    </row>
    <row r="485" spans="1:18">
      <c r="A485" s="16" t="s">
        <v>61</v>
      </c>
      <c r="B485" s="16" t="s">
        <v>15</v>
      </c>
      <c r="C485" s="16" t="s">
        <v>62</v>
      </c>
      <c r="D485" s="16">
        <v>1564.25</v>
      </c>
      <c r="E485" s="16"/>
      <c r="F485" s="16"/>
      <c r="G485" s="1" t="str">
        <f t="shared" si="7"/>
        <v>ÜMİTELİ</v>
      </c>
      <c r="H485" s="16"/>
      <c r="I485" s="9" t="e">
        <f>IF(VLOOKUP(G485,'Bereketli Satış'!J:AK,5,0)="","",VLOOKUP(G485,'Bereketli Satış'!J:AK,5,0))</f>
        <v>#N/A</v>
      </c>
      <c r="J485" s="9" t="e">
        <f>IF(VLOOKUP(G485,'Bereketli Satış'!J:AK,28,0)="","",VLOOKUP(G485,'Bereketli Satış'!J:AK,28,0))</f>
        <v>#N/A</v>
      </c>
      <c r="K485" s="16"/>
      <c r="L485" s="98"/>
      <c r="M485" s="100" t="e">
        <f>IF(VLOOKUP(G485,'Bereketli Satış'!J:AK,30,0)="","",VLOOKUP(G485,'Bereketli Satış'!J:AK,30,0))</f>
        <v>#N/A</v>
      </c>
      <c r="N485" s="9"/>
      <c r="O485" s="9"/>
      <c r="P485" s="9" t="e">
        <f>IF(VLOOKUP(G485,'Bereketli Satış'!J:AK,32,0)="","",VLOOKUP(G485,'Bereketli Satış'!J:AK,32,0))</f>
        <v>#N/A</v>
      </c>
      <c r="Q485" s="9"/>
      <c r="R485" s="9"/>
    </row>
    <row r="486" spans="1:18">
      <c r="A486" s="8" t="s">
        <v>14</v>
      </c>
      <c r="B486" s="8" t="s">
        <v>33</v>
      </c>
      <c r="C486" s="8" t="s">
        <v>34</v>
      </c>
      <c r="D486" s="8">
        <v>559.9</v>
      </c>
      <c r="E486" s="8">
        <v>104</v>
      </c>
      <c r="F486" s="1">
        <v>5</v>
      </c>
      <c r="G486" s="1" t="str">
        <f t="shared" si="7"/>
        <v>ARMUTLU1045</v>
      </c>
      <c r="H486" s="1"/>
      <c r="I486" s="9" t="e">
        <f>IF(VLOOKUP(G486,'Bereketli Satış'!J:AK,5,0)="","",VLOOKUP(G486,'Bereketli Satış'!J:AK,5,0))</f>
        <v>#N/A</v>
      </c>
      <c r="J486" s="9" t="e">
        <f>IF(VLOOKUP(G486,'Bereketli Satış'!J:AK,28,0)="","",VLOOKUP(G486,'Bereketli Satış'!J:AK,28,0))</f>
        <v>#N/A</v>
      </c>
      <c r="K486" s="9"/>
      <c r="L486" s="128"/>
      <c r="M486" s="100" t="e">
        <f>IF(VLOOKUP(G486,'Bereketli Satış'!J:AK,30,0)="","",VLOOKUP(G486,'Bereketli Satış'!J:AK,30,0))</f>
        <v>#N/A</v>
      </c>
      <c r="N486" s="9"/>
      <c r="O486" s="9"/>
      <c r="P486" s="9" t="e">
        <f>IF(VLOOKUP(G486,'Bereketli Satış'!J:AK,32,0)="","",VLOOKUP(G486,'Bereketli Satış'!J:AK,32,0))</f>
        <v>#N/A</v>
      </c>
      <c r="Q486" s="9"/>
      <c r="R486" s="9"/>
    </row>
    <row r="487" spans="1:18">
      <c r="A487" s="8" t="s">
        <v>14</v>
      </c>
      <c r="B487" s="8" t="s">
        <v>33</v>
      </c>
      <c r="C487" s="8" t="s">
        <v>34</v>
      </c>
      <c r="D487" s="8">
        <v>559.91999999999996</v>
      </c>
      <c r="E487" s="8">
        <v>104</v>
      </c>
      <c r="F487" s="1">
        <v>6</v>
      </c>
      <c r="G487" s="1" t="str">
        <f t="shared" si="7"/>
        <v>ARMUTLU1046</v>
      </c>
      <c r="H487" s="1"/>
      <c r="I487" s="9" t="e">
        <f>IF(VLOOKUP(G487,'Bereketli Satış'!J:AK,5,0)="","",VLOOKUP(G487,'Bereketli Satış'!J:AK,5,0))</f>
        <v>#N/A</v>
      </c>
      <c r="J487" s="9" t="e">
        <f>IF(VLOOKUP(G487,'Bereketli Satış'!J:AK,28,0)="","",VLOOKUP(G487,'Bereketli Satış'!J:AK,28,0))</f>
        <v>#N/A</v>
      </c>
      <c r="K487" s="9"/>
      <c r="L487" s="128"/>
      <c r="M487" s="100" t="e">
        <f>IF(VLOOKUP(G487,'Bereketli Satış'!J:AK,30,0)="","",VLOOKUP(G487,'Bereketli Satış'!J:AK,30,0))</f>
        <v>#N/A</v>
      </c>
      <c r="N487" s="9"/>
      <c r="O487" s="9"/>
      <c r="P487" s="9" t="e">
        <f>IF(VLOOKUP(G487,'Bereketli Satış'!J:AK,32,0)="","",VLOOKUP(G487,'Bereketli Satış'!J:AK,32,0))</f>
        <v>#N/A</v>
      </c>
      <c r="Q487" s="9"/>
      <c r="R487" s="9"/>
    </row>
    <row r="488" spans="1:18">
      <c r="A488" s="8" t="s">
        <v>14</v>
      </c>
      <c r="B488" s="8" t="s">
        <v>33</v>
      </c>
      <c r="C488" s="8" t="s">
        <v>34</v>
      </c>
      <c r="D488" s="8">
        <v>548.89</v>
      </c>
      <c r="E488" s="8">
        <v>104</v>
      </c>
      <c r="F488" s="1">
        <v>15</v>
      </c>
      <c r="G488" s="1" t="str">
        <f t="shared" si="7"/>
        <v>ARMUTLU10415</v>
      </c>
      <c r="H488" s="1"/>
      <c r="I488" s="9" t="e">
        <f>IF(VLOOKUP(G488,'Bereketli Satış'!J:AK,5,0)="","",VLOOKUP(G488,'Bereketli Satış'!J:AK,5,0))</f>
        <v>#N/A</v>
      </c>
      <c r="J488" s="9" t="e">
        <f>IF(VLOOKUP(G488,'Bereketli Satış'!J:AK,28,0)="","",VLOOKUP(G488,'Bereketli Satış'!J:AK,28,0))</f>
        <v>#N/A</v>
      </c>
      <c r="K488" s="9"/>
      <c r="L488" s="128"/>
      <c r="M488" s="100" t="e">
        <f>IF(VLOOKUP(G488,'Bereketli Satış'!J:AK,30,0)="","",VLOOKUP(G488,'Bereketli Satış'!J:AK,30,0))</f>
        <v>#N/A</v>
      </c>
      <c r="N488" s="9"/>
      <c r="O488" s="9"/>
      <c r="P488" s="9" t="e">
        <f>IF(VLOOKUP(G488,'Bereketli Satış'!J:AK,32,0)="","",VLOOKUP(G488,'Bereketli Satış'!J:AK,32,0))</f>
        <v>#N/A</v>
      </c>
      <c r="Q488" s="9"/>
      <c r="R488" s="9"/>
    </row>
    <row r="489" spans="1:18">
      <c r="A489" s="8" t="s">
        <v>14</v>
      </c>
      <c r="B489" s="8" t="s">
        <v>33</v>
      </c>
      <c r="C489" s="8" t="s">
        <v>34</v>
      </c>
      <c r="D489" s="8">
        <v>548.78</v>
      </c>
      <c r="E489" s="8">
        <v>104</v>
      </c>
      <c r="F489" s="1">
        <v>16</v>
      </c>
      <c r="G489" s="1" t="str">
        <f t="shared" si="7"/>
        <v>ARMUTLU10416</v>
      </c>
      <c r="H489" s="1"/>
      <c r="I489" s="9" t="e">
        <f>IF(VLOOKUP(G489,'Bereketli Satış'!J:AK,5,0)="","",VLOOKUP(G489,'Bereketli Satış'!J:AK,5,0))</f>
        <v>#N/A</v>
      </c>
      <c r="J489" s="9" t="e">
        <f>IF(VLOOKUP(G489,'Bereketli Satış'!J:AK,28,0)="","",VLOOKUP(G489,'Bereketli Satış'!J:AK,28,0))</f>
        <v>#N/A</v>
      </c>
      <c r="K489" s="9"/>
      <c r="L489" s="128"/>
      <c r="M489" s="100" t="e">
        <f>IF(VLOOKUP(G489,'Bereketli Satış'!J:AK,30,0)="","",VLOOKUP(G489,'Bereketli Satış'!J:AK,30,0))</f>
        <v>#N/A</v>
      </c>
      <c r="N489" s="9"/>
      <c r="O489" s="9"/>
      <c r="P489" s="9" t="e">
        <f>IF(VLOOKUP(G489,'Bereketli Satış'!J:AK,32,0)="","",VLOOKUP(G489,'Bereketli Satış'!J:AK,32,0))</f>
        <v>#N/A</v>
      </c>
      <c r="Q489" s="9"/>
      <c r="R489" s="9"/>
    </row>
    <row r="490" spans="1:18">
      <c r="A490" s="8" t="s">
        <v>14</v>
      </c>
      <c r="B490" s="8" t="s">
        <v>33</v>
      </c>
      <c r="C490" s="8" t="s">
        <v>34</v>
      </c>
      <c r="D490" s="8">
        <v>566.69000000000005</v>
      </c>
      <c r="E490" s="8">
        <v>106</v>
      </c>
      <c r="F490" s="1">
        <v>4</v>
      </c>
      <c r="G490" s="1" t="str">
        <f t="shared" si="7"/>
        <v>ARMUTLU1064</v>
      </c>
      <c r="H490" s="1"/>
      <c r="I490" s="9" t="e">
        <f>IF(VLOOKUP(G490,'Bereketli Satış'!J:AK,5,0)="","",VLOOKUP(G490,'Bereketli Satış'!J:AK,5,0))</f>
        <v>#N/A</v>
      </c>
      <c r="J490" s="9" t="e">
        <f>IF(VLOOKUP(G490,'Bereketli Satış'!J:AK,28,0)="","",VLOOKUP(G490,'Bereketli Satış'!J:AK,28,0))</f>
        <v>#N/A</v>
      </c>
      <c r="K490" s="9"/>
      <c r="L490" s="128"/>
      <c r="M490" s="100" t="e">
        <f>IF(VLOOKUP(G490,'Bereketli Satış'!J:AK,30,0)="","",VLOOKUP(G490,'Bereketli Satış'!J:AK,30,0))</f>
        <v>#N/A</v>
      </c>
      <c r="N490" s="9"/>
      <c r="O490" s="9"/>
      <c r="P490" s="9" t="e">
        <f>IF(VLOOKUP(G490,'Bereketli Satış'!J:AK,32,0)="","",VLOOKUP(G490,'Bereketli Satış'!J:AK,32,0))</f>
        <v>#N/A</v>
      </c>
      <c r="Q490" s="9"/>
      <c r="R490" s="9"/>
    </row>
    <row r="491" spans="1:18">
      <c r="A491" s="8" t="s">
        <v>14</v>
      </c>
      <c r="B491" s="8" t="s">
        <v>33</v>
      </c>
      <c r="C491" s="8" t="s">
        <v>34</v>
      </c>
      <c r="D491" s="8">
        <v>548.66999999999996</v>
      </c>
      <c r="E491" s="8">
        <v>104</v>
      </c>
      <c r="F491" s="1">
        <v>17</v>
      </c>
      <c r="G491" s="1" t="str">
        <f t="shared" si="7"/>
        <v>ARMUTLU10417</v>
      </c>
      <c r="H491" s="1"/>
      <c r="I491" s="9" t="e">
        <f>IF(VLOOKUP(G491,'Bereketli Satış'!J:AK,5,0)="","",VLOOKUP(G491,'Bereketli Satış'!J:AK,5,0))</f>
        <v>#N/A</v>
      </c>
      <c r="J491" s="9" t="e">
        <f>IF(VLOOKUP(G491,'Bereketli Satış'!J:AK,28,0)="","",VLOOKUP(G491,'Bereketli Satış'!J:AK,28,0))</f>
        <v>#N/A</v>
      </c>
      <c r="K491" s="9"/>
      <c r="L491" s="128">
        <v>45915</v>
      </c>
      <c r="M491" s="100" t="e">
        <f>IF(VLOOKUP(G491,'Bereketli Satış'!J:AK,30,0)="","",VLOOKUP(G491,'Bereketli Satış'!J:AK,30,0))</f>
        <v>#N/A</v>
      </c>
      <c r="N491" s="9"/>
      <c r="O491" s="9"/>
      <c r="P491" s="9" t="e">
        <f>IF(VLOOKUP(G491,'Bereketli Satış'!J:AK,32,0)="","",VLOOKUP(G491,'Bereketli Satış'!J:AK,32,0))</f>
        <v>#N/A</v>
      </c>
      <c r="Q491" s="9"/>
      <c r="R491" s="9"/>
    </row>
    <row r="492" spans="1:18">
      <c r="A492" s="8" t="s">
        <v>14</v>
      </c>
      <c r="B492" s="8" t="s">
        <v>23</v>
      </c>
      <c r="C492" s="8" t="s">
        <v>92</v>
      </c>
      <c r="D492" s="111">
        <v>499.86</v>
      </c>
      <c r="E492" s="18">
        <v>121</v>
      </c>
      <c r="F492" s="8">
        <v>5</v>
      </c>
      <c r="G492" s="1" t="str">
        <f t="shared" si="7"/>
        <v>BAKACAK1215</v>
      </c>
      <c r="H492" s="8"/>
      <c r="I492" s="9" t="e">
        <f>IF(VLOOKUP(G492,'Bereketli Satış'!J:AK,5,0)="","",VLOOKUP(G492,'Bereketli Satış'!J:AK,5,0))</f>
        <v>#N/A</v>
      </c>
      <c r="J492" s="9" t="e">
        <f>IF(VLOOKUP(G492,'Bereketli Satış'!J:AK,28,0)="","",VLOOKUP(G492,'Bereketli Satış'!J:AK,28,0))</f>
        <v>#N/A</v>
      </c>
      <c r="K492" s="9"/>
      <c r="L492" s="128"/>
      <c r="M492" s="100" t="e">
        <f>IF(VLOOKUP(G492,'Bereketli Satış'!J:AK,30,0)="","",VLOOKUP(G492,'Bereketli Satış'!J:AK,30,0))</f>
        <v>#N/A</v>
      </c>
      <c r="N492" s="9"/>
      <c r="O492" s="9"/>
      <c r="P492" s="9" t="e">
        <f>IF(VLOOKUP(G492,'Bereketli Satış'!J:AK,32,0)="","",VLOOKUP(G492,'Bereketli Satış'!J:AK,32,0))</f>
        <v>#N/A</v>
      </c>
      <c r="Q492" s="9"/>
      <c r="R492" s="9"/>
    </row>
    <row r="493" spans="1:18">
      <c r="A493" s="8" t="s">
        <v>17</v>
      </c>
      <c r="B493" s="8" t="s">
        <v>39</v>
      </c>
      <c r="C493" s="8" t="s">
        <v>40</v>
      </c>
      <c r="D493" s="8">
        <v>414.87</v>
      </c>
      <c r="E493" s="8">
        <v>102</v>
      </c>
      <c r="F493" s="109">
        <v>2</v>
      </c>
      <c r="G493" s="1" t="str">
        <f t="shared" si="7"/>
        <v>BEĞEL1022</v>
      </c>
      <c r="H493" s="109"/>
      <c r="I493" s="9" t="e">
        <f>IF(VLOOKUP(G493,'Bereketli Satış'!J:AK,5,0)="","",VLOOKUP(G493,'Bereketli Satış'!J:AK,5,0))</f>
        <v>#N/A</v>
      </c>
      <c r="J493" s="9" t="e">
        <f>IF(VLOOKUP(G493,'Bereketli Satış'!J:AK,28,0)="","",VLOOKUP(G493,'Bereketli Satış'!J:AK,28,0))</f>
        <v>#N/A</v>
      </c>
      <c r="K493" s="9"/>
      <c r="L493" s="128"/>
      <c r="M493" s="100" t="e">
        <f>IF(VLOOKUP(G493,'Bereketli Satış'!J:AK,30,0)="","",VLOOKUP(G493,'Bereketli Satış'!J:AK,30,0))</f>
        <v>#N/A</v>
      </c>
      <c r="N493" s="9"/>
      <c r="O493" s="9"/>
      <c r="P493" s="9" t="e">
        <f>IF(VLOOKUP(G493,'Bereketli Satış'!J:AK,32,0)="","",VLOOKUP(G493,'Bereketli Satış'!J:AK,32,0))</f>
        <v>#N/A</v>
      </c>
      <c r="Q493" s="9"/>
      <c r="R493" s="9"/>
    </row>
    <row r="494" spans="1:18">
      <c r="A494" s="8" t="s">
        <v>17</v>
      </c>
      <c r="B494" s="8" t="s">
        <v>39</v>
      </c>
      <c r="C494" s="8" t="s">
        <v>40</v>
      </c>
      <c r="D494" s="8">
        <v>369.48</v>
      </c>
      <c r="E494" s="8">
        <v>104</v>
      </c>
      <c r="F494" s="109">
        <v>2</v>
      </c>
      <c r="G494" s="1" t="str">
        <f t="shared" si="7"/>
        <v>BEĞEL1042</v>
      </c>
      <c r="H494" s="109"/>
      <c r="I494" s="9" t="e">
        <f>IF(VLOOKUP(G494,'Bereketli Satış'!J:AK,5,0)="","",VLOOKUP(G494,'Bereketli Satış'!J:AK,5,0))</f>
        <v>#N/A</v>
      </c>
      <c r="J494" s="9" t="e">
        <f>IF(VLOOKUP(G494,'Bereketli Satış'!J:AK,28,0)="","",VLOOKUP(G494,'Bereketli Satış'!J:AK,28,0))</f>
        <v>#N/A</v>
      </c>
      <c r="K494" s="9"/>
      <c r="L494" s="128"/>
      <c r="M494" s="100" t="e">
        <f>IF(VLOOKUP(G494,'Bereketli Satış'!J:AK,30,0)="","",VLOOKUP(G494,'Bereketli Satış'!J:AK,30,0))</f>
        <v>#N/A</v>
      </c>
      <c r="N494" s="9"/>
      <c r="O494" s="9"/>
      <c r="P494" s="9" t="e">
        <f>IF(VLOOKUP(G494,'Bereketli Satış'!J:AK,32,0)="","",VLOOKUP(G494,'Bereketli Satış'!J:AK,32,0))</f>
        <v>#N/A</v>
      </c>
      <c r="Q494" s="9"/>
      <c r="R494" s="9"/>
    </row>
    <row r="495" spans="1:18">
      <c r="A495" s="8" t="s">
        <v>14</v>
      </c>
      <c r="B495" s="8" t="s">
        <v>23</v>
      </c>
      <c r="C495" s="8" t="s">
        <v>41</v>
      </c>
      <c r="D495" s="8">
        <v>442.94</v>
      </c>
      <c r="E495" s="8">
        <v>127</v>
      </c>
      <c r="F495" s="3">
        <v>9</v>
      </c>
      <c r="G495" s="1" t="str">
        <f t="shared" si="7"/>
        <v>BÜYÜKPINAR1279</v>
      </c>
      <c r="H495" s="3"/>
      <c r="I495" s="9" t="e">
        <f>IF(VLOOKUP(G495,'Bereketli Satış'!J:AK,5,0)="","",VLOOKUP(G495,'Bereketli Satış'!J:AK,5,0))</f>
        <v>#N/A</v>
      </c>
      <c r="J495" s="9" t="e">
        <f>IF(VLOOKUP(G495,'Bereketli Satış'!J:AK,28,0)="","",VLOOKUP(G495,'Bereketli Satış'!J:AK,28,0))</f>
        <v>#N/A</v>
      </c>
      <c r="K495" s="9"/>
      <c r="L495" s="128"/>
      <c r="M495" s="100" t="e">
        <f>IF(VLOOKUP(G495,'Bereketli Satış'!J:AK,30,0)="","",VLOOKUP(G495,'Bereketli Satış'!J:AK,30,0))</f>
        <v>#N/A</v>
      </c>
      <c r="N495" s="9"/>
      <c r="O495" s="9"/>
      <c r="P495" s="9" t="e">
        <f>IF(VLOOKUP(G495,'Bereketli Satış'!J:AK,32,0)="","",VLOOKUP(G495,'Bereketli Satış'!J:AK,32,0))</f>
        <v>#N/A</v>
      </c>
      <c r="Q495" s="9"/>
      <c r="R495" s="9"/>
    </row>
    <row r="496" spans="1:18">
      <c r="A496" s="8" t="s">
        <v>14</v>
      </c>
      <c r="B496" s="8" t="s">
        <v>23</v>
      </c>
      <c r="C496" s="8" t="s">
        <v>41</v>
      </c>
      <c r="D496" s="8">
        <v>442.06</v>
      </c>
      <c r="E496" s="8">
        <v>127</v>
      </c>
      <c r="F496" s="3">
        <v>10</v>
      </c>
      <c r="G496" s="1" t="str">
        <f t="shared" si="7"/>
        <v>BÜYÜKPINAR12710</v>
      </c>
      <c r="H496" s="3"/>
      <c r="I496" s="9" t="e">
        <f>IF(VLOOKUP(G496,'Bereketli Satış'!J:AK,5,0)="","",VLOOKUP(G496,'Bereketli Satış'!J:AK,5,0))</f>
        <v>#N/A</v>
      </c>
      <c r="J496" s="9" t="e">
        <f>IF(VLOOKUP(G496,'Bereketli Satış'!J:AK,28,0)="","",VLOOKUP(G496,'Bereketli Satış'!J:AK,28,0))</f>
        <v>#N/A</v>
      </c>
      <c r="K496" s="9"/>
      <c r="L496" s="128"/>
      <c r="M496" s="100" t="e">
        <f>IF(VLOOKUP(G496,'Bereketli Satış'!J:AK,30,0)="","",VLOOKUP(G496,'Bereketli Satış'!J:AK,30,0))</f>
        <v>#N/A</v>
      </c>
      <c r="N496" s="9"/>
      <c r="O496" s="9"/>
      <c r="P496" s="9" t="e">
        <f>IF(VLOOKUP(G496,'Bereketli Satış'!J:AK,32,0)="","",VLOOKUP(G496,'Bereketli Satış'!J:AK,32,0))</f>
        <v>#N/A</v>
      </c>
      <c r="Q496" s="9"/>
      <c r="R496" s="9"/>
    </row>
    <row r="497" spans="1:18">
      <c r="A497" s="8" t="s">
        <v>14</v>
      </c>
      <c r="B497" s="8" t="s">
        <v>23</v>
      </c>
      <c r="C497" s="8" t="s">
        <v>41</v>
      </c>
      <c r="D497" s="8">
        <v>979.58</v>
      </c>
      <c r="E497" s="8">
        <v>132</v>
      </c>
      <c r="F497" s="8">
        <v>1</v>
      </c>
      <c r="G497" s="1" t="str">
        <f t="shared" si="7"/>
        <v>BÜYÜKPINAR1321</v>
      </c>
      <c r="H497" s="8"/>
      <c r="I497" s="9" t="e">
        <f>IF(VLOOKUP(G497,'Bereketli Satış'!J:AK,5,0)="","",VLOOKUP(G497,'Bereketli Satış'!J:AK,5,0))</f>
        <v>#N/A</v>
      </c>
      <c r="J497" s="9" t="e">
        <f>IF(VLOOKUP(G497,'Bereketli Satış'!J:AK,28,0)="","",VLOOKUP(G497,'Bereketli Satış'!J:AK,28,0))</f>
        <v>#N/A</v>
      </c>
      <c r="K497" s="9"/>
      <c r="L497" s="128"/>
      <c r="M497" s="100" t="e">
        <f>IF(VLOOKUP(G497,'Bereketli Satış'!J:AK,30,0)="","",VLOOKUP(G497,'Bereketli Satış'!J:AK,30,0))</f>
        <v>#N/A</v>
      </c>
      <c r="N497" s="9"/>
      <c r="O497" s="9"/>
      <c r="P497" s="9" t="e">
        <f>IF(VLOOKUP(G497,'Bereketli Satış'!J:AK,32,0)="","",VLOOKUP(G497,'Bereketli Satış'!J:AK,32,0))</f>
        <v>#N/A</v>
      </c>
      <c r="Q497" s="9"/>
      <c r="R497" s="9"/>
    </row>
    <row r="498" spans="1:18">
      <c r="A498" s="8" t="s">
        <v>14</v>
      </c>
      <c r="B498" s="8" t="s">
        <v>23</v>
      </c>
      <c r="C498" s="8" t="s">
        <v>41</v>
      </c>
      <c r="D498" s="8">
        <v>1225.3</v>
      </c>
      <c r="E498" s="8">
        <v>134</v>
      </c>
      <c r="F498" s="3">
        <v>1</v>
      </c>
      <c r="G498" s="1" t="str">
        <f t="shared" si="7"/>
        <v>BÜYÜKPINAR1341</v>
      </c>
      <c r="H498" s="3"/>
      <c r="I498" s="9" t="e">
        <f>IF(VLOOKUP(G498,'Bereketli Satış'!J:AK,5,0)="","",VLOOKUP(G498,'Bereketli Satış'!J:AK,5,0))</f>
        <v>#N/A</v>
      </c>
      <c r="J498" s="9" t="e">
        <f>IF(VLOOKUP(G498,'Bereketli Satış'!J:AK,28,0)="","",VLOOKUP(G498,'Bereketli Satış'!J:AK,28,0))</f>
        <v>#N/A</v>
      </c>
      <c r="K498" s="9"/>
      <c r="L498" s="128"/>
      <c r="M498" s="100" t="e">
        <f>IF(VLOOKUP(G498,'Bereketli Satış'!J:AK,30,0)="","",VLOOKUP(G498,'Bereketli Satış'!J:AK,30,0))</f>
        <v>#N/A</v>
      </c>
      <c r="N498" s="9"/>
      <c r="O498" s="9"/>
      <c r="P498" s="9" t="e">
        <f>IF(VLOOKUP(G498,'Bereketli Satış'!J:AK,32,0)="","",VLOOKUP(G498,'Bereketli Satış'!J:AK,32,0))</f>
        <v>#N/A</v>
      </c>
      <c r="Q498" s="9"/>
      <c r="R498" s="9"/>
    </row>
    <row r="499" spans="1:18">
      <c r="A499" s="8" t="s">
        <v>14</v>
      </c>
      <c r="B499" s="8" t="s">
        <v>23</v>
      </c>
      <c r="C499" s="8" t="s">
        <v>41</v>
      </c>
      <c r="D499" s="8">
        <v>984.65</v>
      </c>
      <c r="E499" s="18">
        <v>134</v>
      </c>
      <c r="F499" s="8">
        <v>6</v>
      </c>
      <c r="G499" s="1" t="str">
        <f t="shared" si="7"/>
        <v>BÜYÜKPINAR1346</v>
      </c>
      <c r="H499" s="8"/>
      <c r="I499" s="9" t="e">
        <f>IF(VLOOKUP(G499,'Bereketli Satış'!J:AK,5,0)="","",VLOOKUP(G499,'Bereketli Satış'!J:AK,5,0))</f>
        <v>#N/A</v>
      </c>
      <c r="J499" s="9" t="e">
        <f>IF(VLOOKUP(G499,'Bereketli Satış'!J:AK,28,0)="","",VLOOKUP(G499,'Bereketli Satış'!J:AK,28,0))</f>
        <v>#N/A</v>
      </c>
      <c r="K499" s="9"/>
      <c r="L499" s="128"/>
      <c r="M499" s="100" t="e">
        <f>IF(VLOOKUP(G499,'Bereketli Satış'!J:AK,30,0)="","",VLOOKUP(G499,'Bereketli Satış'!J:AK,30,0))</f>
        <v>#N/A</v>
      </c>
      <c r="N499" s="9"/>
      <c r="O499" s="9"/>
      <c r="P499" s="9" t="e">
        <f>IF(VLOOKUP(G499,'Bereketli Satış'!J:AK,32,0)="","",VLOOKUP(G499,'Bereketli Satış'!J:AK,32,0))</f>
        <v>#N/A</v>
      </c>
      <c r="Q499" s="9"/>
      <c r="R499" s="9"/>
    </row>
    <row r="500" spans="1:18">
      <c r="A500" s="8" t="s">
        <v>14</v>
      </c>
      <c r="B500" s="8" t="s">
        <v>23</v>
      </c>
      <c r="C500" s="8" t="s">
        <v>41</v>
      </c>
      <c r="D500" s="8">
        <v>1040.5</v>
      </c>
      <c r="E500" s="18">
        <v>134</v>
      </c>
      <c r="F500" s="8">
        <v>7</v>
      </c>
      <c r="G500" s="1" t="str">
        <f t="shared" si="7"/>
        <v>BÜYÜKPINAR1347</v>
      </c>
      <c r="H500" s="8"/>
      <c r="I500" s="9" t="e">
        <f>IF(VLOOKUP(G500,'Bereketli Satış'!J:AK,5,0)="","",VLOOKUP(G500,'Bereketli Satış'!J:AK,5,0))</f>
        <v>#N/A</v>
      </c>
      <c r="J500" s="9" t="e">
        <f>IF(VLOOKUP(G500,'Bereketli Satış'!J:AK,28,0)="","",VLOOKUP(G500,'Bereketli Satış'!J:AK,28,0))</f>
        <v>#N/A</v>
      </c>
      <c r="K500" s="9"/>
      <c r="L500" s="128"/>
      <c r="M500" s="100" t="e">
        <f>IF(VLOOKUP(G500,'Bereketli Satış'!J:AK,30,0)="","",VLOOKUP(G500,'Bereketli Satış'!J:AK,30,0))</f>
        <v>#N/A</v>
      </c>
      <c r="N500" s="9"/>
      <c r="O500" s="9"/>
      <c r="P500" s="9" t="e">
        <f>IF(VLOOKUP(G500,'Bereketli Satış'!J:AK,32,0)="","",VLOOKUP(G500,'Bereketli Satış'!J:AK,32,0))</f>
        <v>#N/A</v>
      </c>
      <c r="Q500" s="9"/>
      <c r="R500" s="9"/>
    </row>
    <row r="501" spans="1:18">
      <c r="A501" s="8" t="s">
        <v>14</v>
      </c>
      <c r="B501" s="8" t="s">
        <v>23</v>
      </c>
      <c r="C501" s="8" t="s">
        <v>41</v>
      </c>
      <c r="D501" s="8">
        <v>928.38</v>
      </c>
      <c r="E501" s="18">
        <v>134</v>
      </c>
      <c r="F501" s="8">
        <v>8</v>
      </c>
      <c r="G501" s="1" t="str">
        <f t="shared" si="7"/>
        <v>BÜYÜKPINAR1348</v>
      </c>
      <c r="H501" s="8"/>
      <c r="I501" s="9" t="e">
        <f>IF(VLOOKUP(G501,'Bereketli Satış'!J:AK,5,0)="","",VLOOKUP(G501,'Bereketli Satış'!J:AK,5,0))</f>
        <v>#N/A</v>
      </c>
      <c r="J501" s="9" t="e">
        <f>IF(VLOOKUP(G501,'Bereketli Satış'!J:AK,28,0)="","",VLOOKUP(G501,'Bereketli Satış'!J:AK,28,0))</f>
        <v>#N/A</v>
      </c>
      <c r="K501" s="9"/>
      <c r="L501" s="128"/>
      <c r="M501" s="100" t="e">
        <f>IF(VLOOKUP(G501,'Bereketli Satış'!J:AK,30,0)="","",VLOOKUP(G501,'Bereketli Satış'!J:AK,30,0))</f>
        <v>#N/A</v>
      </c>
      <c r="N501" s="9"/>
      <c r="O501" s="9"/>
      <c r="P501" s="9" t="e">
        <f>IF(VLOOKUP(G501,'Bereketli Satış'!J:AK,32,0)="","",VLOOKUP(G501,'Bereketli Satış'!J:AK,32,0))</f>
        <v>#N/A</v>
      </c>
      <c r="Q501" s="9"/>
      <c r="R501" s="9"/>
    </row>
    <row r="502" spans="1:18">
      <c r="A502" s="8" t="s">
        <v>14</v>
      </c>
      <c r="B502" s="8" t="s">
        <v>23</v>
      </c>
      <c r="C502" s="8" t="s">
        <v>41</v>
      </c>
      <c r="D502" s="8">
        <v>1058.3900000000001</v>
      </c>
      <c r="E502" s="8">
        <v>134</v>
      </c>
      <c r="F502" s="3">
        <v>9</v>
      </c>
      <c r="G502" s="1" t="str">
        <f t="shared" si="7"/>
        <v>BÜYÜKPINAR1349</v>
      </c>
      <c r="H502" s="3"/>
      <c r="I502" s="9" t="e">
        <f>IF(VLOOKUP(G502,'Bereketli Satış'!J:AK,5,0)="","",VLOOKUP(G502,'Bereketli Satış'!J:AK,5,0))</f>
        <v>#N/A</v>
      </c>
      <c r="J502" s="9" t="e">
        <f>IF(VLOOKUP(G502,'Bereketli Satış'!J:AK,28,0)="","",VLOOKUP(G502,'Bereketli Satış'!J:AK,28,0))</f>
        <v>#N/A</v>
      </c>
      <c r="K502" s="9"/>
      <c r="L502" s="128"/>
      <c r="M502" s="100" t="e">
        <f>IF(VLOOKUP(G502,'Bereketli Satış'!J:AK,30,0)="","",VLOOKUP(G502,'Bereketli Satış'!J:AK,30,0))</f>
        <v>#N/A</v>
      </c>
      <c r="N502" s="100"/>
      <c r="O502" s="100"/>
      <c r="P502" s="9" t="e">
        <f>IF(VLOOKUP(G502,'Bereketli Satış'!J:AK,32,0)="","",VLOOKUP(G502,'Bereketli Satış'!J:AK,32,0))</f>
        <v>#N/A</v>
      </c>
      <c r="Q502" s="100"/>
      <c r="R502" s="100"/>
    </row>
    <row r="503" spans="1:18">
      <c r="A503" s="8" t="s">
        <v>14</v>
      </c>
      <c r="B503" s="8" t="s">
        <v>23</v>
      </c>
      <c r="C503" s="8" t="s">
        <v>41</v>
      </c>
      <c r="D503" s="8">
        <v>693.89</v>
      </c>
      <c r="E503" s="18">
        <v>123</v>
      </c>
      <c r="F503" s="8">
        <v>2</v>
      </c>
      <c r="G503" s="1" t="str">
        <f t="shared" si="7"/>
        <v>BÜYÜKPINAR1232</v>
      </c>
      <c r="H503" s="8"/>
      <c r="I503" s="9" t="e">
        <f>IF(VLOOKUP(G503,'Bereketli Satış'!J:AK,5,0)="","",VLOOKUP(G503,'Bereketli Satış'!J:AK,5,0))</f>
        <v>#N/A</v>
      </c>
      <c r="J503" s="9" t="e">
        <f>IF(VLOOKUP(G503,'Bereketli Satış'!J:AK,28,0)="","",VLOOKUP(G503,'Bereketli Satış'!J:AK,28,0))</f>
        <v>#N/A</v>
      </c>
      <c r="K503" s="100"/>
      <c r="L503" s="128"/>
      <c r="M503" s="100" t="e">
        <f>IF(VLOOKUP(G503,'Bereketli Satış'!J:AK,30,0)="","",VLOOKUP(G503,'Bereketli Satış'!J:AK,30,0))</f>
        <v>#N/A</v>
      </c>
      <c r="N503" s="100"/>
      <c r="O503" s="100"/>
      <c r="P503" s="9" t="e">
        <f>IF(VLOOKUP(G503,'Bereketli Satış'!J:AK,32,0)="","",VLOOKUP(G503,'Bereketli Satış'!J:AK,32,0))</f>
        <v>#N/A</v>
      </c>
      <c r="Q503" s="100"/>
      <c r="R503" s="100"/>
    </row>
    <row r="504" spans="1:18">
      <c r="A504" s="8" t="s">
        <v>14</v>
      </c>
      <c r="B504" s="8" t="s">
        <v>23</v>
      </c>
      <c r="C504" s="8" t="s">
        <v>56</v>
      </c>
      <c r="D504" s="8">
        <v>250.13</v>
      </c>
      <c r="E504" s="18">
        <v>12626</v>
      </c>
      <c r="F504" s="8">
        <v>8</v>
      </c>
      <c r="G504" s="1" t="str">
        <f t="shared" si="7"/>
        <v>KUVAYİ MİLLİYE126268</v>
      </c>
      <c r="H504" s="8"/>
      <c r="I504" s="9" t="e">
        <f>IF(VLOOKUP(G504,'Bereketli Satış'!J:AK,5,0)="","",VLOOKUP(G504,'Bereketli Satış'!J:AK,5,0))</f>
        <v>#N/A</v>
      </c>
      <c r="J504" s="9" t="e">
        <f>IF(VLOOKUP(G504,'Bereketli Satış'!J:AK,28,0)="","",VLOOKUP(G504,'Bereketli Satış'!J:AK,28,0))</f>
        <v>#N/A</v>
      </c>
      <c r="K504" s="100"/>
      <c r="L504" s="128"/>
      <c r="M504" s="100" t="e">
        <f>IF(VLOOKUP(G504,'Bereketli Satış'!J:AK,30,0)="","",VLOOKUP(G504,'Bereketli Satış'!J:AK,30,0))</f>
        <v>#N/A</v>
      </c>
      <c r="N504" s="9"/>
      <c r="O504" s="9"/>
      <c r="P504" s="9" t="e">
        <f>IF(VLOOKUP(G504,'Bereketli Satış'!J:AK,32,0)="","",VLOOKUP(G504,'Bereketli Satış'!J:AK,32,0))</f>
        <v>#N/A</v>
      </c>
      <c r="Q504" s="9"/>
      <c r="R504" s="9"/>
    </row>
    <row r="505" spans="1:18">
      <c r="A505" s="8" t="s">
        <v>30</v>
      </c>
      <c r="B505" s="8" t="s">
        <v>31</v>
      </c>
      <c r="C505" s="8" t="s">
        <v>32</v>
      </c>
      <c r="D505" s="8">
        <v>229.18</v>
      </c>
      <c r="E505" s="8">
        <v>314</v>
      </c>
      <c r="F505" s="1">
        <v>5</v>
      </c>
      <c r="G505" s="1" t="str">
        <f t="shared" si="7"/>
        <v>CAMİKEBİR3145</v>
      </c>
      <c r="H505" s="1"/>
      <c r="I505" s="9" t="e">
        <f>IF(VLOOKUP(G505,'Bereketli Satış'!J:AK,5,0)="","",VLOOKUP(G505,'Bereketli Satış'!J:AK,5,0))</f>
        <v>#N/A</v>
      </c>
      <c r="J505" s="9" t="e">
        <f>IF(VLOOKUP(G505,'Bereketli Satış'!J:AK,28,0)="","",VLOOKUP(G505,'Bereketli Satış'!J:AK,28,0))</f>
        <v>#N/A</v>
      </c>
      <c r="K505" s="9"/>
      <c r="L505" s="128"/>
      <c r="M505" s="100" t="e">
        <f>IF(VLOOKUP(G505,'Bereketli Satış'!J:AK,30,0)="","",VLOOKUP(G505,'Bereketli Satış'!J:AK,30,0))</f>
        <v>#N/A</v>
      </c>
      <c r="N505" s="9"/>
      <c r="O505" s="9"/>
      <c r="P505" s="9" t="e">
        <f>IF(VLOOKUP(G505,'Bereketli Satış'!J:AK,32,0)="","",VLOOKUP(G505,'Bereketli Satış'!J:AK,32,0))</f>
        <v>#N/A</v>
      </c>
      <c r="Q505" s="9"/>
      <c r="R505" s="9"/>
    </row>
    <row r="506" spans="1:18">
      <c r="A506" s="8" t="s">
        <v>30</v>
      </c>
      <c r="B506" s="8" t="s">
        <v>31</v>
      </c>
      <c r="C506" s="8" t="s">
        <v>32</v>
      </c>
      <c r="D506" s="8">
        <v>226.82</v>
      </c>
      <c r="E506" s="8">
        <v>314</v>
      </c>
      <c r="F506" s="1">
        <v>6</v>
      </c>
      <c r="G506" s="1" t="str">
        <f t="shared" si="7"/>
        <v>CAMİKEBİR3146</v>
      </c>
      <c r="H506" s="1"/>
      <c r="I506" s="9" t="e">
        <f>IF(VLOOKUP(G506,'Bereketli Satış'!J:AK,5,0)="","",VLOOKUP(G506,'Bereketli Satış'!J:AK,5,0))</f>
        <v>#N/A</v>
      </c>
      <c r="J506" s="9" t="e">
        <f>IF(VLOOKUP(G506,'Bereketli Satış'!J:AK,28,0)="","",VLOOKUP(G506,'Bereketli Satış'!J:AK,28,0))</f>
        <v>#N/A</v>
      </c>
      <c r="K506" s="9"/>
      <c r="L506" s="128"/>
      <c r="M506" s="100" t="e">
        <f>IF(VLOOKUP(G506,'Bereketli Satış'!J:AK,30,0)="","",VLOOKUP(G506,'Bereketli Satış'!J:AK,30,0))</f>
        <v>#N/A</v>
      </c>
      <c r="N506" s="9"/>
      <c r="O506" s="9"/>
      <c r="P506" s="9" t="e">
        <f>IF(VLOOKUP(G506,'Bereketli Satış'!J:AK,32,0)="","",VLOOKUP(G506,'Bereketli Satış'!J:AK,32,0))</f>
        <v>#N/A</v>
      </c>
      <c r="Q506" s="9"/>
      <c r="R506" s="9"/>
    </row>
    <row r="507" spans="1:18">
      <c r="A507" s="8" t="s">
        <v>30</v>
      </c>
      <c r="B507" s="8" t="s">
        <v>31</v>
      </c>
      <c r="C507" s="8" t="s">
        <v>32</v>
      </c>
      <c r="D507" s="8">
        <v>228.78</v>
      </c>
      <c r="E507" s="8">
        <v>314</v>
      </c>
      <c r="F507" s="1">
        <v>3</v>
      </c>
      <c r="G507" s="1" t="str">
        <f t="shared" si="7"/>
        <v>CAMİKEBİR3143</v>
      </c>
      <c r="H507" s="1"/>
      <c r="I507" s="9" t="e">
        <f>IF(VLOOKUP(G507,'Bereketli Satış'!J:AK,5,0)="","",VLOOKUP(G507,'Bereketli Satış'!J:AK,5,0))</f>
        <v>#N/A</v>
      </c>
      <c r="J507" s="9" t="e">
        <f>IF(VLOOKUP(G507,'Bereketli Satış'!J:AK,28,0)="","",VLOOKUP(G507,'Bereketli Satış'!J:AK,28,0))</f>
        <v>#N/A</v>
      </c>
      <c r="K507" s="9"/>
      <c r="L507" s="128"/>
      <c r="M507" s="100" t="e">
        <f>IF(VLOOKUP(G507,'Bereketli Satış'!J:AK,30,0)="","",VLOOKUP(G507,'Bereketli Satış'!J:AK,30,0))</f>
        <v>#N/A</v>
      </c>
      <c r="N507" s="9"/>
      <c r="O507" s="9"/>
      <c r="P507" s="9" t="e">
        <f>IF(VLOOKUP(G507,'Bereketli Satış'!J:AK,32,0)="","",VLOOKUP(G507,'Bereketli Satış'!J:AK,32,0))</f>
        <v>#N/A</v>
      </c>
      <c r="Q507" s="9"/>
      <c r="R507" s="9"/>
    </row>
    <row r="508" spans="1:18">
      <c r="A508" s="8" t="s">
        <v>30</v>
      </c>
      <c r="B508" s="8" t="s">
        <v>31</v>
      </c>
      <c r="C508" s="8" t="s">
        <v>32</v>
      </c>
      <c r="D508" s="8">
        <v>228.98</v>
      </c>
      <c r="E508" s="8">
        <v>314</v>
      </c>
      <c r="F508" s="1">
        <v>4</v>
      </c>
      <c r="G508" s="1" t="str">
        <f t="shared" si="7"/>
        <v>CAMİKEBİR3144</v>
      </c>
      <c r="H508" s="1"/>
      <c r="I508" s="9" t="e">
        <f>IF(VLOOKUP(G508,'Bereketli Satış'!J:AK,5,0)="","",VLOOKUP(G508,'Bereketli Satış'!J:AK,5,0))</f>
        <v>#N/A</v>
      </c>
      <c r="J508" s="9" t="e">
        <f>IF(VLOOKUP(G508,'Bereketli Satış'!J:AK,28,0)="","",VLOOKUP(G508,'Bereketli Satış'!J:AK,28,0))</f>
        <v>#N/A</v>
      </c>
      <c r="K508" s="9"/>
      <c r="L508" s="128"/>
      <c r="M508" s="100" t="e">
        <f>IF(VLOOKUP(G508,'Bereketli Satış'!J:AK,30,0)="","",VLOOKUP(G508,'Bereketli Satış'!J:AK,30,0))</f>
        <v>#N/A</v>
      </c>
      <c r="N508" s="9"/>
      <c r="O508" s="9"/>
      <c r="P508" s="9" t="e">
        <f>IF(VLOOKUP(G508,'Bereketli Satış'!J:AK,32,0)="","",VLOOKUP(G508,'Bereketli Satış'!J:AK,32,0))</f>
        <v>#N/A</v>
      </c>
      <c r="Q508" s="9"/>
      <c r="R508" s="9"/>
    </row>
    <row r="509" spans="1:18">
      <c r="A509" s="8" t="s">
        <v>30</v>
      </c>
      <c r="B509" s="8" t="s">
        <v>31</v>
      </c>
      <c r="C509" s="8" t="s">
        <v>32</v>
      </c>
      <c r="D509" s="8">
        <v>258.11</v>
      </c>
      <c r="E509" s="8">
        <v>314</v>
      </c>
      <c r="F509" s="1">
        <v>14</v>
      </c>
      <c r="G509" s="1" t="str">
        <f t="shared" si="7"/>
        <v>CAMİKEBİR31414</v>
      </c>
      <c r="H509" s="1"/>
      <c r="I509" s="9" t="e">
        <f>IF(VLOOKUP(G509,'Bereketli Satış'!J:AK,5,0)="","",VLOOKUP(G509,'Bereketli Satış'!J:AK,5,0))</f>
        <v>#N/A</v>
      </c>
      <c r="J509" s="9" t="e">
        <f>IF(VLOOKUP(G509,'Bereketli Satış'!J:AK,28,0)="","",VLOOKUP(G509,'Bereketli Satış'!J:AK,28,0))</f>
        <v>#N/A</v>
      </c>
      <c r="K509" s="9"/>
      <c r="L509" s="128"/>
      <c r="M509" s="100" t="e">
        <f>IF(VLOOKUP(G509,'Bereketli Satış'!J:AK,30,0)="","",VLOOKUP(G509,'Bereketli Satış'!J:AK,30,0))</f>
        <v>#N/A</v>
      </c>
      <c r="N509" s="9"/>
      <c r="O509" s="9"/>
      <c r="P509" s="9" t="e">
        <f>IF(VLOOKUP(G509,'Bereketli Satış'!J:AK,32,0)="","",VLOOKUP(G509,'Bereketli Satış'!J:AK,32,0))</f>
        <v>#N/A</v>
      </c>
      <c r="Q509" s="9"/>
      <c r="R509" s="9"/>
    </row>
    <row r="510" spans="1:18">
      <c r="A510" s="8" t="s">
        <v>30</v>
      </c>
      <c r="B510" s="8" t="s">
        <v>31</v>
      </c>
      <c r="C510" s="8" t="s">
        <v>32</v>
      </c>
      <c r="D510" s="8">
        <v>269.33</v>
      </c>
      <c r="E510" s="8">
        <v>316</v>
      </c>
      <c r="F510" s="1">
        <v>29</v>
      </c>
      <c r="G510" s="1" t="str">
        <f t="shared" si="7"/>
        <v>CAMİKEBİR31629</v>
      </c>
      <c r="H510" s="1"/>
      <c r="I510" s="9" t="e">
        <f>IF(VLOOKUP(G510,'Bereketli Satış'!J:AK,5,0)="","",VLOOKUP(G510,'Bereketli Satış'!J:AK,5,0))</f>
        <v>#N/A</v>
      </c>
      <c r="J510" s="9" t="e">
        <f>IF(VLOOKUP(G510,'Bereketli Satış'!J:AK,28,0)="","",VLOOKUP(G510,'Bereketli Satış'!J:AK,28,0))</f>
        <v>#N/A</v>
      </c>
      <c r="K510" s="9"/>
      <c r="L510" s="128"/>
      <c r="M510" s="100" t="e">
        <f>IF(VLOOKUP(G510,'Bereketli Satış'!J:AK,30,0)="","",VLOOKUP(G510,'Bereketli Satış'!J:AK,30,0))</f>
        <v>#N/A</v>
      </c>
      <c r="N510" s="9"/>
      <c r="O510" s="9"/>
      <c r="P510" s="9" t="e">
        <f>IF(VLOOKUP(G510,'Bereketli Satış'!J:AK,32,0)="","",VLOOKUP(G510,'Bereketli Satış'!J:AK,32,0))</f>
        <v>#N/A</v>
      </c>
      <c r="Q510" s="9"/>
      <c r="R510" s="9"/>
    </row>
    <row r="511" spans="1:18">
      <c r="A511" s="8" t="s">
        <v>30</v>
      </c>
      <c r="B511" s="8" t="s">
        <v>31</v>
      </c>
      <c r="C511" s="8" t="s">
        <v>32</v>
      </c>
      <c r="D511" s="8">
        <v>268.52</v>
      </c>
      <c r="E511" s="8">
        <v>316</v>
      </c>
      <c r="F511" s="1">
        <v>31</v>
      </c>
      <c r="G511" s="1" t="str">
        <f t="shared" si="7"/>
        <v>CAMİKEBİR31631</v>
      </c>
      <c r="H511" s="1"/>
      <c r="I511" s="9" t="e">
        <f>IF(VLOOKUP(G511,'Bereketli Satış'!J:AK,5,0)="","",VLOOKUP(G511,'Bereketli Satış'!J:AK,5,0))</f>
        <v>#N/A</v>
      </c>
      <c r="J511" s="9" t="e">
        <f>IF(VLOOKUP(G511,'Bereketli Satış'!J:AK,28,0)="","",VLOOKUP(G511,'Bereketli Satış'!J:AK,28,0))</f>
        <v>#N/A</v>
      </c>
      <c r="K511" s="9"/>
      <c r="L511" s="128"/>
      <c r="M511" s="100" t="e">
        <f>IF(VLOOKUP(G511,'Bereketli Satış'!J:AK,30,0)="","",VLOOKUP(G511,'Bereketli Satış'!J:AK,30,0))</f>
        <v>#N/A</v>
      </c>
      <c r="N511" s="9"/>
      <c r="O511" s="9"/>
      <c r="P511" s="9" t="e">
        <f>IF(VLOOKUP(G511,'Bereketli Satış'!J:AK,32,0)="","",VLOOKUP(G511,'Bereketli Satış'!J:AK,32,0))</f>
        <v>#N/A</v>
      </c>
      <c r="Q511" s="9"/>
      <c r="R511" s="9"/>
    </row>
    <row r="512" spans="1:18">
      <c r="A512" s="8" t="s">
        <v>30</v>
      </c>
      <c r="B512" s="8" t="s">
        <v>31</v>
      </c>
      <c r="C512" s="8" t="s">
        <v>32</v>
      </c>
      <c r="D512" s="8">
        <v>268.11</v>
      </c>
      <c r="E512" s="8">
        <v>316</v>
      </c>
      <c r="F512" s="1">
        <v>32</v>
      </c>
      <c r="G512" s="1" t="str">
        <f t="shared" si="7"/>
        <v>CAMİKEBİR31632</v>
      </c>
      <c r="H512" s="1"/>
      <c r="I512" s="9" t="e">
        <f>IF(VLOOKUP(G512,'Bereketli Satış'!J:AK,5,0)="","",VLOOKUP(G512,'Bereketli Satış'!J:AK,5,0))</f>
        <v>#N/A</v>
      </c>
      <c r="J512" s="9" t="e">
        <f>IF(VLOOKUP(G512,'Bereketli Satış'!J:AK,28,0)="","",VLOOKUP(G512,'Bereketli Satış'!J:AK,28,0))</f>
        <v>#N/A</v>
      </c>
      <c r="K512" s="9"/>
      <c r="L512" s="128"/>
      <c r="M512" s="100" t="e">
        <f>IF(VLOOKUP(G512,'Bereketli Satış'!J:AK,30,0)="","",VLOOKUP(G512,'Bereketli Satış'!J:AK,30,0))</f>
        <v>#N/A</v>
      </c>
      <c r="N512" s="9"/>
      <c r="O512" s="9"/>
      <c r="P512" s="9" t="e">
        <f>IF(VLOOKUP(G512,'Bereketli Satış'!J:AK,32,0)="","",VLOOKUP(G512,'Bereketli Satış'!J:AK,32,0))</f>
        <v>#N/A</v>
      </c>
      <c r="Q512" s="9"/>
      <c r="R512" s="9"/>
    </row>
    <row r="513" spans="1:18">
      <c r="A513" s="8" t="s">
        <v>30</v>
      </c>
      <c r="B513" s="8" t="s">
        <v>31</v>
      </c>
      <c r="C513" s="8" t="s">
        <v>32</v>
      </c>
      <c r="D513" s="8">
        <v>267.70999999999998</v>
      </c>
      <c r="E513" s="8">
        <v>316</v>
      </c>
      <c r="F513" s="1">
        <v>33</v>
      </c>
      <c r="G513" s="1" t="str">
        <f t="shared" si="7"/>
        <v>CAMİKEBİR31633</v>
      </c>
      <c r="H513" s="1"/>
      <c r="I513" s="9" t="e">
        <f>IF(VLOOKUP(G513,'Bereketli Satış'!J:AK,5,0)="","",VLOOKUP(G513,'Bereketli Satış'!J:AK,5,0))</f>
        <v>#N/A</v>
      </c>
      <c r="J513" s="9" t="e">
        <f>IF(VLOOKUP(G513,'Bereketli Satış'!J:AK,28,0)="","",VLOOKUP(G513,'Bereketli Satış'!J:AK,28,0))</f>
        <v>#N/A</v>
      </c>
      <c r="K513" s="9"/>
      <c r="L513" s="128"/>
      <c r="M513" s="100" t="e">
        <f>IF(VLOOKUP(G513,'Bereketli Satış'!J:AK,30,0)="","",VLOOKUP(G513,'Bereketli Satış'!J:AK,30,0))</f>
        <v>#N/A</v>
      </c>
      <c r="N513" s="9"/>
      <c r="O513" s="9"/>
      <c r="P513" s="9" t="e">
        <f>IF(VLOOKUP(G513,'Bereketli Satış'!J:AK,32,0)="","",VLOOKUP(G513,'Bereketli Satış'!J:AK,32,0))</f>
        <v>#N/A</v>
      </c>
      <c r="Q513" s="9"/>
      <c r="R513" s="9"/>
    </row>
    <row r="514" spans="1:18">
      <c r="A514" s="8" t="s">
        <v>30</v>
      </c>
      <c r="B514" s="8" t="s">
        <v>31</v>
      </c>
      <c r="C514" s="8" t="s">
        <v>32</v>
      </c>
      <c r="D514" s="8">
        <v>267.3</v>
      </c>
      <c r="E514" s="8">
        <v>316</v>
      </c>
      <c r="F514" s="1">
        <v>34</v>
      </c>
      <c r="G514" s="1" t="str">
        <f t="shared" si="7"/>
        <v>CAMİKEBİR31634</v>
      </c>
      <c r="H514" s="1"/>
      <c r="I514" s="9" t="e">
        <f>IF(VLOOKUP(G514,'Bereketli Satış'!J:AK,5,0)="","",VLOOKUP(G514,'Bereketli Satış'!J:AK,5,0))</f>
        <v>#N/A</v>
      </c>
      <c r="J514" s="9" t="e">
        <f>IF(VLOOKUP(G514,'Bereketli Satış'!J:AK,28,0)="","",VLOOKUP(G514,'Bereketli Satış'!J:AK,28,0))</f>
        <v>#N/A</v>
      </c>
      <c r="K514" s="9"/>
      <c r="L514" s="128"/>
      <c r="M514" s="100" t="e">
        <f>IF(VLOOKUP(G514,'Bereketli Satış'!J:AK,30,0)="","",VLOOKUP(G514,'Bereketli Satış'!J:AK,30,0))</f>
        <v>#N/A</v>
      </c>
      <c r="N514" s="9"/>
      <c r="O514" s="9"/>
      <c r="P514" s="9" t="e">
        <f>IF(VLOOKUP(G514,'Bereketli Satış'!J:AK,32,0)="","",VLOOKUP(G514,'Bereketli Satış'!J:AK,32,0))</f>
        <v>#N/A</v>
      </c>
      <c r="Q514" s="9"/>
      <c r="R514" s="9"/>
    </row>
    <row r="515" spans="1:18">
      <c r="A515" s="8" t="s">
        <v>30</v>
      </c>
      <c r="B515" s="8" t="s">
        <v>31</v>
      </c>
      <c r="C515" s="8" t="s">
        <v>32</v>
      </c>
      <c r="D515" s="8">
        <v>405.68</v>
      </c>
      <c r="E515" s="8">
        <v>316</v>
      </c>
      <c r="F515" s="1">
        <v>1</v>
      </c>
      <c r="G515" s="1" t="str">
        <f t="shared" ref="G515:G578" si="8">C515&amp;E515&amp;F515</f>
        <v>CAMİKEBİR3161</v>
      </c>
      <c r="H515" s="1"/>
      <c r="I515" s="9" t="e">
        <f>IF(VLOOKUP(G515,'Bereketli Satış'!J:AK,5,0)="","",VLOOKUP(G515,'Bereketli Satış'!J:AK,5,0))</f>
        <v>#N/A</v>
      </c>
      <c r="J515" s="9" t="e">
        <f>IF(VLOOKUP(G515,'Bereketli Satış'!J:AK,28,0)="","",VLOOKUP(G515,'Bereketli Satış'!J:AK,28,0))</f>
        <v>#N/A</v>
      </c>
      <c r="K515" s="9"/>
      <c r="L515" s="128"/>
      <c r="M515" s="100" t="e">
        <f>IF(VLOOKUP(G515,'Bereketli Satış'!J:AK,30,0)="","",VLOOKUP(G515,'Bereketli Satış'!J:AK,30,0))</f>
        <v>#N/A</v>
      </c>
      <c r="N515" s="110"/>
      <c r="O515" s="110"/>
      <c r="P515" s="9" t="e">
        <f>IF(VLOOKUP(G515,'Bereketli Satış'!J:AK,32,0)="","",VLOOKUP(G515,'Bereketli Satış'!J:AK,32,0))</f>
        <v>#N/A</v>
      </c>
      <c r="Q515" s="110"/>
      <c r="R515" s="110"/>
    </row>
    <row r="516" spans="1:18">
      <c r="A516" s="8" t="s">
        <v>30</v>
      </c>
      <c r="B516" s="8" t="s">
        <v>31</v>
      </c>
      <c r="C516" s="8" t="s">
        <v>32</v>
      </c>
      <c r="D516" s="8">
        <v>268.92</v>
      </c>
      <c r="E516" s="8">
        <v>316</v>
      </c>
      <c r="F516" s="1">
        <v>30</v>
      </c>
      <c r="G516" s="1" t="str">
        <f t="shared" si="8"/>
        <v>CAMİKEBİR31630</v>
      </c>
      <c r="H516" s="1"/>
      <c r="I516" s="9" t="e">
        <f>IF(VLOOKUP(G516,'Bereketli Satış'!J:AK,5,0)="","",VLOOKUP(G516,'Bereketli Satış'!J:AK,5,0))</f>
        <v>#N/A</v>
      </c>
      <c r="J516" s="9" t="e">
        <f>IF(VLOOKUP(G516,'Bereketli Satış'!J:AK,28,0)="","",VLOOKUP(G516,'Bereketli Satış'!J:AK,28,0))</f>
        <v>#N/A</v>
      </c>
      <c r="K516" s="110"/>
      <c r="L516" s="130"/>
      <c r="M516" s="100" t="e">
        <f>IF(VLOOKUP(G516,'Bereketli Satış'!J:AK,30,0)="","",VLOOKUP(G516,'Bereketli Satış'!J:AK,30,0))</f>
        <v>#N/A</v>
      </c>
      <c r="N516" s="9"/>
      <c r="O516" s="9"/>
      <c r="P516" s="9" t="e">
        <f>IF(VLOOKUP(G516,'Bereketli Satış'!J:AK,32,0)="","",VLOOKUP(G516,'Bereketli Satış'!J:AK,32,0))</f>
        <v>#N/A</v>
      </c>
      <c r="Q516" s="9"/>
      <c r="R516" s="9"/>
    </row>
    <row r="517" spans="1:18">
      <c r="A517" s="8" t="s">
        <v>30</v>
      </c>
      <c r="B517" s="8" t="s">
        <v>31</v>
      </c>
      <c r="C517" s="8" t="s">
        <v>32</v>
      </c>
      <c r="D517" s="8">
        <v>351.37</v>
      </c>
      <c r="E517" s="8">
        <v>314</v>
      </c>
      <c r="F517" s="1">
        <v>9</v>
      </c>
      <c r="G517" s="1" t="str">
        <f t="shared" si="8"/>
        <v>CAMİKEBİR3149</v>
      </c>
      <c r="H517" s="1"/>
      <c r="I517" s="9" t="e">
        <f>IF(VLOOKUP(G517,'Bereketli Satış'!J:AK,5,0)="","",VLOOKUP(G517,'Bereketli Satış'!J:AK,5,0))</f>
        <v>#N/A</v>
      </c>
      <c r="J517" s="9" t="e">
        <f>IF(VLOOKUP(G517,'Bereketli Satış'!J:AK,28,0)="","",VLOOKUP(G517,'Bereketli Satış'!J:AK,28,0))</f>
        <v>#N/A</v>
      </c>
      <c r="K517" s="9"/>
      <c r="L517" s="128"/>
      <c r="M517" s="100" t="e">
        <f>IF(VLOOKUP(G517,'Bereketli Satış'!J:AK,30,0)="","",VLOOKUP(G517,'Bereketli Satış'!J:AK,30,0))</f>
        <v>#N/A</v>
      </c>
      <c r="N517" s="9"/>
      <c r="O517" s="9"/>
      <c r="P517" s="9" t="e">
        <f>IF(VLOOKUP(G517,'Bereketli Satış'!J:AK,32,0)="","",VLOOKUP(G517,'Bereketli Satış'!J:AK,32,0))</f>
        <v>#N/A</v>
      </c>
      <c r="Q517" s="9"/>
      <c r="R517" s="9"/>
    </row>
    <row r="518" spans="1:18">
      <c r="A518" s="8" t="s">
        <v>87</v>
      </c>
      <c r="B518" s="8" t="s">
        <v>88</v>
      </c>
      <c r="C518" s="8" t="s">
        <v>89</v>
      </c>
      <c r="D518" s="8">
        <v>267</v>
      </c>
      <c r="E518" s="8">
        <v>176</v>
      </c>
      <c r="F518" s="1">
        <v>116</v>
      </c>
      <c r="G518" s="1" t="str">
        <f t="shared" si="8"/>
        <v>Camikebir176116</v>
      </c>
      <c r="H518" s="1"/>
      <c r="I518" s="9" t="e">
        <f>IF(VLOOKUP(G518,'Bereketli Satış'!J:AK,5,0)="","",VLOOKUP(G518,'Bereketli Satış'!J:AK,5,0))</f>
        <v>#N/A</v>
      </c>
      <c r="J518" s="9" t="e">
        <f>IF(VLOOKUP(G518,'Bereketli Satış'!J:AK,28,0)="","",VLOOKUP(G518,'Bereketli Satış'!J:AK,28,0))</f>
        <v>#N/A</v>
      </c>
      <c r="K518" s="9"/>
      <c r="L518" s="128"/>
      <c r="M518" s="100" t="e">
        <f>IF(VLOOKUP(G518,'Bereketli Satış'!J:AK,30,0)="","",VLOOKUP(G518,'Bereketli Satış'!J:AK,30,0))</f>
        <v>#N/A</v>
      </c>
      <c r="N518" s="9"/>
      <c r="O518" s="9"/>
      <c r="P518" s="9" t="e">
        <f>IF(VLOOKUP(G518,'Bereketli Satış'!J:AK,32,0)="","",VLOOKUP(G518,'Bereketli Satış'!J:AK,32,0))</f>
        <v>#N/A</v>
      </c>
      <c r="Q518" s="9"/>
      <c r="R518" s="9"/>
    </row>
    <row r="519" spans="1:18">
      <c r="A519" s="8" t="s">
        <v>87</v>
      </c>
      <c r="B519" s="8" t="s">
        <v>88</v>
      </c>
      <c r="C519" s="8" t="s">
        <v>89</v>
      </c>
      <c r="D519" s="8">
        <v>259</v>
      </c>
      <c r="E519" s="8">
        <v>176</v>
      </c>
      <c r="F519" s="1">
        <v>117</v>
      </c>
      <c r="G519" s="1" t="str">
        <f t="shared" si="8"/>
        <v>Camikebir176117</v>
      </c>
      <c r="H519" s="1"/>
      <c r="I519" s="9" t="e">
        <f>IF(VLOOKUP(G519,'Bereketli Satış'!J:AK,5,0)="","",VLOOKUP(G519,'Bereketli Satış'!J:AK,5,0))</f>
        <v>#N/A</v>
      </c>
      <c r="J519" s="9" t="e">
        <f>IF(VLOOKUP(G519,'Bereketli Satış'!J:AK,28,0)="","",VLOOKUP(G519,'Bereketli Satış'!J:AK,28,0))</f>
        <v>#N/A</v>
      </c>
      <c r="K519" s="9"/>
      <c r="L519" s="128"/>
      <c r="M519" s="100" t="e">
        <f>IF(VLOOKUP(G519,'Bereketli Satış'!J:AK,30,0)="","",VLOOKUP(G519,'Bereketli Satış'!J:AK,30,0))</f>
        <v>#N/A</v>
      </c>
      <c r="N519" s="9"/>
      <c r="O519" s="9"/>
      <c r="P519" s="9" t="e">
        <f>IF(VLOOKUP(G519,'Bereketli Satış'!J:AK,32,0)="","",VLOOKUP(G519,'Bereketli Satış'!J:AK,32,0))</f>
        <v>#N/A</v>
      </c>
      <c r="Q519" s="9"/>
      <c r="R519" s="9"/>
    </row>
    <row r="520" spans="1:18">
      <c r="A520" s="8" t="s">
        <v>87</v>
      </c>
      <c r="B520" s="8" t="s">
        <v>88</v>
      </c>
      <c r="C520" s="8" t="s">
        <v>89</v>
      </c>
      <c r="D520" s="8">
        <v>261</v>
      </c>
      <c r="E520" s="8">
        <v>176</v>
      </c>
      <c r="F520" s="1">
        <v>119</v>
      </c>
      <c r="G520" s="1" t="str">
        <f t="shared" si="8"/>
        <v>Camikebir176119</v>
      </c>
      <c r="H520" s="1"/>
      <c r="I520" s="9" t="e">
        <f>IF(VLOOKUP(G520,'Bereketli Satış'!J:AK,5,0)="","",VLOOKUP(G520,'Bereketli Satış'!J:AK,5,0))</f>
        <v>#N/A</v>
      </c>
      <c r="J520" s="9" t="e">
        <f>IF(VLOOKUP(G520,'Bereketli Satış'!J:AK,28,0)="","",VLOOKUP(G520,'Bereketli Satış'!J:AK,28,0))</f>
        <v>#N/A</v>
      </c>
      <c r="K520" s="9"/>
      <c r="L520" s="128"/>
      <c r="M520" s="100" t="e">
        <f>IF(VLOOKUP(G520,'Bereketli Satış'!J:AK,30,0)="","",VLOOKUP(G520,'Bereketli Satış'!J:AK,30,0))</f>
        <v>#N/A</v>
      </c>
      <c r="N520" s="9"/>
      <c r="O520" s="9"/>
      <c r="P520" s="9" t="e">
        <f>IF(VLOOKUP(G520,'Bereketli Satış'!J:AK,32,0)="","",VLOOKUP(G520,'Bereketli Satış'!J:AK,32,0))</f>
        <v>#N/A</v>
      </c>
      <c r="Q520" s="9"/>
      <c r="R520" s="9"/>
    </row>
    <row r="521" spans="1:18">
      <c r="A521" s="8" t="s">
        <v>87</v>
      </c>
      <c r="B521" s="8" t="s">
        <v>88</v>
      </c>
      <c r="C521" s="8" t="s">
        <v>89</v>
      </c>
      <c r="D521" s="8">
        <v>264</v>
      </c>
      <c r="E521" s="8">
        <v>176</v>
      </c>
      <c r="F521" s="1">
        <v>120</v>
      </c>
      <c r="G521" s="1" t="str">
        <f t="shared" si="8"/>
        <v>Camikebir176120</v>
      </c>
      <c r="H521" s="1"/>
      <c r="I521" s="9" t="e">
        <f>IF(VLOOKUP(G521,'Bereketli Satış'!J:AK,5,0)="","",VLOOKUP(G521,'Bereketli Satış'!J:AK,5,0))</f>
        <v>#N/A</v>
      </c>
      <c r="J521" s="9" t="e">
        <f>IF(VLOOKUP(G521,'Bereketli Satış'!J:AK,28,0)="","",VLOOKUP(G521,'Bereketli Satış'!J:AK,28,0))</f>
        <v>#N/A</v>
      </c>
      <c r="K521" s="9"/>
      <c r="L521" s="128"/>
      <c r="M521" s="100" t="e">
        <f>IF(VLOOKUP(G521,'Bereketli Satış'!J:AK,30,0)="","",VLOOKUP(G521,'Bereketli Satış'!J:AK,30,0))</f>
        <v>#N/A</v>
      </c>
      <c r="N521" s="9"/>
      <c r="O521" s="9"/>
      <c r="P521" s="9" t="e">
        <f>IF(VLOOKUP(G521,'Bereketli Satış'!J:AK,32,0)="","",VLOOKUP(G521,'Bereketli Satış'!J:AK,32,0))</f>
        <v>#N/A</v>
      </c>
      <c r="Q521" s="9"/>
      <c r="R521" s="9"/>
    </row>
    <row r="522" spans="1:18">
      <c r="A522" s="8" t="s">
        <v>87</v>
      </c>
      <c r="B522" s="8" t="s">
        <v>88</v>
      </c>
      <c r="C522" s="8" t="s">
        <v>89</v>
      </c>
      <c r="D522" s="8">
        <v>273</v>
      </c>
      <c r="E522" s="8">
        <v>176</v>
      </c>
      <c r="F522" s="1">
        <v>137</v>
      </c>
      <c r="G522" s="1" t="str">
        <f t="shared" si="8"/>
        <v>Camikebir176137</v>
      </c>
      <c r="H522" s="1"/>
      <c r="I522" s="9" t="e">
        <f>IF(VLOOKUP(G522,'Bereketli Satış'!J:AK,5,0)="","",VLOOKUP(G522,'Bereketli Satış'!J:AK,5,0))</f>
        <v>#N/A</v>
      </c>
      <c r="J522" s="9" t="e">
        <f>IF(VLOOKUP(G522,'Bereketli Satış'!J:AK,28,0)="","",VLOOKUP(G522,'Bereketli Satış'!J:AK,28,0))</f>
        <v>#N/A</v>
      </c>
      <c r="K522" s="9"/>
      <c r="L522" s="128"/>
      <c r="M522" s="100" t="e">
        <f>IF(VLOOKUP(G522,'Bereketli Satış'!J:AK,30,0)="","",VLOOKUP(G522,'Bereketli Satış'!J:AK,30,0))</f>
        <v>#N/A</v>
      </c>
      <c r="N522" s="9"/>
      <c r="O522" s="9"/>
      <c r="P522" s="9" t="e">
        <f>IF(VLOOKUP(G522,'Bereketli Satış'!J:AK,32,0)="","",VLOOKUP(G522,'Bereketli Satış'!J:AK,32,0))</f>
        <v>#N/A</v>
      </c>
      <c r="Q522" s="9"/>
      <c r="R522" s="9"/>
    </row>
    <row r="523" spans="1:18">
      <c r="A523" s="8" t="s">
        <v>87</v>
      </c>
      <c r="B523" s="8" t="s">
        <v>88</v>
      </c>
      <c r="C523" s="8" t="s">
        <v>89</v>
      </c>
      <c r="D523" s="8">
        <v>271</v>
      </c>
      <c r="E523" s="8">
        <v>176</v>
      </c>
      <c r="F523" s="1">
        <v>138</v>
      </c>
      <c r="G523" s="1" t="str">
        <f t="shared" si="8"/>
        <v>Camikebir176138</v>
      </c>
      <c r="H523" s="1"/>
      <c r="I523" s="9" t="e">
        <f>IF(VLOOKUP(G523,'Bereketli Satış'!J:AK,5,0)="","",VLOOKUP(G523,'Bereketli Satış'!J:AK,5,0))</f>
        <v>#N/A</v>
      </c>
      <c r="J523" s="9" t="e">
        <f>IF(VLOOKUP(G523,'Bereketli Satış'!J:AK,28,0)="","",VLOOKUP(G523,'Bereketli Satış'!J:AK,28,0))</f>
        <v>#N/A</v>
      </c>
      <c r="K523" s="9"/>
      <c r="L523" s="128"/>
      <c r="M523" s="100" t="e">
        <f>IF(VLOOKUP(G523,'Bereketli Satış'!J:AK,30,0)="","",VLOOKUP(G523,'Bereketli Satış'!J:AK,30,0))</f>
        <v>#N/A</v>
      </c>
      <c r="N523" s="9"/>
      <c r="O523" s="9"/>
      <c r="P523" s="9" t="e">
        <f>IF(VLOOKUP(G523,'Bereketli Satış'!J:AK,32,0)="","",VLOOKUP(G523,'Bereketli Satış'!J:AK,32,0))</f>
        <v>#N/A</v>
      </c>
      <c r="Q523" s="9"/>
      <c r="R523" s="9"/>
    </row>
    <row r="524" spans="1:18">
      <c r="A524" s="8" t="s">
        <v>87</v>
      </c>
      <c r="B524" s="8" t="s">
        <v>88</v>
      </c>
      <c r="C524" s="8" t="s">
        <v>89</v>
      </c>
      <c r="D524" s="8">
        <v>269</v>
      </c>
      <c r="E524" s="8">
        <v>176</v>
      </c>
      <c r="F524" s="1">
        <v>139</v>
      </c>
      <c r="G524" s="1" t="str">
        <f t="shared" si="8"/>
        <v>Camikebir176139</v>
      </c>
      <c r="H524" s="1"/>
      <c r="I524" s="9" t="e">
        <f>IF(VLOOKUP(G524,'Bereketli Satış'!J:AK,5,0)="","",VLOOKUP(G524,'Bereketli Satış'!J:AK,5,0))</f>
        <v>#N/A</v>
      </c>
      <c r="J524" s="9" t="e">
        <f>IF(VLOOKUP(G524,'Bereketli Satış'!J:AK,28,0)="","",VLOOKUP(G524,'Bereketli Satış'!J:AK,28,0))</f>
        <v>#N/A</v>
      </c>
      <c r="K524" s="9"/>
      <c r="L524" s="128"/>
      <c r="M524" s="100" t="e">
        <f>IF(VLOOKUP(G524,'Bereketli Satış'!J:AK,30,0)="","",VLOOKUP(G524,'Bereketli Satış'!J:AK,30,0))</f>
        <v>#N/A</v>
      </c>
      <c r="N524" s="9"/>
      <c r="O524" s="9"/>
      <c r="P524" s="9" t="e">
        <f>IF(VLOOKUP(G524,'Bereketli Satış'!J:AK,32,0)="","",VLOOKUP(G524,'Bereketli Satış'!J:AK,32,0))</f>
        <v>#N/A</v>
      </c>
      <c r="Q524" s="9"/>
      <c r="R524" s="9"/>
    </row>
    <row r="525" spans="1:18">
      <c r="A525" s="8" t="s">
        <v>87</v>
      </c>
      <c r="B525" s="8" t="s">
        <v>88</v>
      </c>
      <c r="C525" s="8" t="s">
        <v>89</v>
      </c>
      <c r="D525" s="8">
        <v>266</v>
      </c>
      <c r="E525" s="8">
        <v>176</v>
      </c>
      <c r="F525" s="1">
        <v>140</v>
      </c>
      <c r="G525" s="1" t="str">
        <f t="shared" si="8"/>
        <v>Camikebir176140</v>
      </c>
      <c r="H525" s="1"/>
      <c r="I525" s="9" t="e">
        <f>IF(VLOOKUP(G525,'Bereketli Satış'!J:AK,5,0)="","",VLOOKUP(G525,'Bereketli Satış'!J:AK,5,0))</f>
        <v>#N/A</v>
      </c>
      <c r="J525" s="9" t="e">
        <f>IF(VLOOKUP(G525,'Bereketli Satış'!J:AK,28,0)="","",VLOOKUP(G525,'Bereketli Satış'!J:AK,28,0))</f>
        <v>#N/A</v>
      </c>
      <c r="K525" s="9"/>
      <c r="L525" s="128"/>
      <c r="M525" s="100" t="e">
        <f>IF(VLOOKUP(G525,'Bereketli Satış'!J:AK,30,0)="","",VLOOKUP(G525,'Bereketli Satış'!J:AK,30,0))</f>
        <v>#N/A</v>
      </c>
      <c r="N525" s="9"/>
      <c r="O525" s="9"/>
      <c r="P525" s="9" t="e">
        <f>IF(VLOOKUP(G525,'Bereketli Satış'!J:AK,32,0)="","",VLOOKUP(G525,'Bereketli Satış'!J:AK,32,0))</f>
        <v>#N/A</v>
      </c>
      <c r="Q525" s="9"/>
      <c r="R525" s="9"/>
    </row>
    <row r="526" spans="1:18">
      <c r="A526" s="8" t="s">
        <v>87</v>
      </c>
      <c r="B526" s="8" t="s">
        <v>88</v>
      </c>
      <c r="C526" s="8" t="s">
        <v>89</v>
      </c>
      <c r="D526" s="8">
        <v>264</v>
      </c>
      <c r="E526" s="8">
        <v>176</v>
      </c>
      <c r="F526" s="1">
        <v>141</v>
      </c>
      <c r="G526" s="1" t="str">
        <f t="shared" si="8"/>
        <v>Camikebir176141</v>
      </c>
      <c r="H526" s="1"/>
      <c r="I526" s="9" t="e">
        <f>IF(VLOOKUP(G526,'Bereketli Satış'!J:AK,5,0)="","",VLOOKUP(G526,'Bereketli Satış'!J:AK,5,0))</f>
        <v>#N/A</v>
      </c>
      <c r="J526" s="9" t="e">
        <f>IF(VLOOKUP(G526,'Bereketli Satış'!J:AK,28,0)="","",VLOOKUP(G526,'Bereketli Satış'!J:AK,28,0))</f>
        <v>#N/A</v>
      </c>
      <c r="K526" s="9"/>
      <c r="L526" s="128"/>
      <c r="M526" s="100" t="e">
        <f>IF(VLOOKUP(G526,'Bereketli Satış'!J:AK,30,0)="","",VLOOKUP(G526,'Bereketli Satış'!J:AK,30,0))</f>
        <v>#N/A</v>
      </c>
      <c r="N526" s="9"/>
      <c r="O526" s="9"/>
      <c r="P526" s="9" t="e">
        <f>IF(VLOOKUP(G526,'Bereketli Satış'!J:AK,32,0)="","",VLOOKUP(G526,'Bereketli Satış'!J:AK,32,0))</f>
        <v>#N/A</v>
      </c>
      <c r="Q526" s="9"/>
      <c r="R526" s="9"/>
    </row>
    <row r="527" spans="1:18">
      <c r="A527" s="8" t="s">
        <v>87</v>
      </c>
      <c r="B527" s="8" t="s">
        <v>88</v>
      </c>
      <c r="C527" s="8" t="s">
        <v>89</v>
      </c>
      <c r="D527" s="8">
        <v>262</v>
      </c>
      <c r="E527" s="8">
        <v>176</v>
      </c>
      <c r="F527" s="1">
        <v>142</v>
      </c>
      <c r="G527" s="1" t="str">
        <f t="shared" si="8"/>
        <v>Camikebir176142</v>
      </c>
      <c r="H527" s="1"/>
      <c r="I527" s="9" t="e">
        <f>IF(VLOOKUP(G527,'Bereketli Satış'!J:AK,5,0)="","",VLOOKUP(G527,'Bereketli Satış'!J:AK,5,0))</f>
        <v>#N/A</v>
      </c>
      <c r="J527" s="9" t="e">
        <f>IF(VLOOKUP(G527,'Bereketli Satış'!J:AK,28,0)="","",VLOOKUP(G527,'Bereketli Satış'!J:AK,28,0))</f>
        <v>#N/A</v>
      </c>
      <c r="K527" s="9"/>
      <c r="L527" s="128"/>
      <c r="M527" s="100" t="e">
        <f>IF(VLOOKUP(G527,'Bereketli Satış'!J:AK,30,0)="","",VLOOKUP(G527,'Bereketli Satış'!J:AK,30,0))</f>
        <v>#N/A</v>
      </c>
      <c r="N527" s="9"/>
      <c r="O527" s="9"/>
      <c r="P527" s="9" t="e">
        <f>IF(VLOOKUP(G527,'Bereketli Satış'!J:AK,32,0)="","",VLOOKUP(G527,'Bereketli Satış'!J:AK,32,0))</f>
        <v>#N/A</v>
      </c>
      <c r="Q527" s="9"/>
      <c r="R527" s="9"/>
    </row>
    <row r="528" spans="1:18">
      <c r="A528" s="8" t="s">
        <v>87</v>
      </c>
      <c r="B528" s="8" t="s">
        <v>88</v>
      </c>
      <c r="C528" s="8" t="s">
        <v>89</v>
      </c>
      <c r="D528" s="8">
        <v>257</v>
      </c>
      <c r="E528" s="8">
        <v>176</v>
      </c>
      <c r="F528" s="1">
        <v>143</v>
      </c>
      <c r="G528" s="1" t="str">
        <f t="shared" si="8"/>
        <v>Camikebir176143</v>
      </c>
      <c r="H528" s="1"/>
      <c r="I528" s="9" t="e">
        <f>IF(VLOOKUP(G528,'Bereketli Satış'!J:AK,5,0)="","",VLOOKUP(G528,'Bereketli Satış'!J:AK,5,0))</f>
        <v>#N/A</v>
      </c>
      <c r="J528" s="9" t="e">
        <f>IF(VLOOKUP(G528,'Bereketli Satış'!J:AK,28,0)="","",VLOOKUP(G528,'Bereketli Satış'!J:AK,28,0))</f>
        <v>#N/A</v>
      </c>
      <c r="K528" s="9"/>
      <c r="L528" s="128"/>
      <c r="M528" s="100" t="e">
        <f>IF(VLOOKUP(G528,'Bereketli Satış'!J:AK,30,0)="","",VLOOKUP(G528,'Bereketli Satış'!J:AK,30,0))</f>
        <v>#N/A</v>
      </c>
      <c r="N528" s="9"/>
      <c r="O528" s="9"/>
      <c r="P528" s="9" t="e">
        <f>IF(VLOOKUP(G528,'Bereketli Satış'!J:AK,32,0)="","",VLOOKUP(G528,'Bereketli Satış'!J:AK,32,0))</f>
        <v>#N/A</v>
      </c>
      <c r="Q528" s="9"/>
      <c r="R528" s="9"/>
    </row>
    <row r="529" spans="1:18">
      <c r="A529" s="8" t="s">
        <v>87</v>
      </c>
      <c r="B529" s="8" t="s">
        <v>88</v>
      </c>
      <c r="C529" s="8" t="s">
        <v>89</v>
      </c>
      <c r="D529" s="8">
        <v>253</v>
      </c>
      <c r="E529" s="8">
        <v>247</v>
      </c>
      <c r="F529" s="1">
        <v>2</v>
      </c>
      <c r="G529" s="1" t="str">
        <f t="shared" si="8"/>
        <v>Camikebir2472</v>
      </c>
      <c r="H529" s="1"/>
      <c r="I529" s="9" t="e">
        <f>IF(VLOOKUP(G529,'Bereketli Satış'!J:AK,5,0)="","",VLOOKUP(G529,'Bereketli Satış'!J:AK,5,0))</f>
        <v>#N/A</v>
      </c>
      <c r="J529" s="9" t="e">
        <f>IF(VLOOKUP(G529,'Bereketli Satış'!J:AK,28,0)="","",VLOOKUP(G529,'Bereketli Satış'!J:AK,28,0))</f>
        <v>#N/A</v>
      </c>
      <c r="K529" s="9"/>
      <c r="L529" s="128"/>
      <c r="M529" s="100" t="e">
        <f>IF(VLOOKUP(G529,'Bereketli Satış'!J:AK,30,0)="","",VLOOKUP(G529,'Bereketli Satış'!J:AK,30,0))</f>
        <v>#N/A</v>
      </c>
      <c r="N529" s="9"/>
      <c r="O529" s="9"/>
      <c r="P529" s="9" t="e">
        <f>IF(VLOOKUP(G529,'Bereketli Satış'!J:AK,32,0)="","",VLOOKUP(G529,'Bereketli Satış'!J:AK,32,0))</f>
        <v>#N/A</v>
      </c>
      <c r="Q529" s="9"/>
      <c r="R529" s="9"/>
    </row>
    <row r="530" spans="1:18">
      <c r="A530" s="8" t="s">
        <v>87</v>
      </c>
      <c r="B530" s="8" t="s">
        <v>88</v>
      </c>
      <c r="C530" s="8" t="s">
        <v>89</v>
      </c>
      <c r="D530" s="8">
        <v>255</v>
      </c>
      <c r="E530" s="8">
        <v>247</v>
      </c>
      <c r="F530" s="1">
        <v>3</v>
      </c>
      <c r="G530" s="1" t="str">
        <f t="shared" si="8"/>
        <v>Camikebir2473</v>
      </c>
      <c r="H530" s="1"/>
      <c r="I530" s="9" t="e">
        <f>IF(VLOOKUP(G530,'Bereketli Satış'!J:AK,5,0)="","",VLOOKUP(G530,'Bereketli Satış'!J:AK,5,0))</f>
        <v>#N/A</v>
      </c>
      <c r="J530" s="9" t="e">
        <f>IF(VLOOKUP(G530,'Bereketli Satış'!J:AK,28,0)="","",VLOOKUP(G530,'Bereketli Satış'!J:AK,28,0))</f>
        <v>#N/A</v>
      </c>
      <c r="K530" s="9"/>
      <c r="L530" s="128"/>
      <c r="M530" s="100" t="e">
        <f>IF(VLOOKUP(G530,'Bereketli Satış'!J:AK,30,0)="","",VLOOKUP(G530,'Bereketli Satış'!J:AK,30,0))</f>
        <v>#N/A</v>
      </c>
      <c r="N530" s="9"/>
      <c r="O530" s="9"/>
      <c r="P530" s="9" t="e">
        <f>IF(VLOOKUP(G530,'Bereketli Satış'!J:AK,32,0)="","",VLOOKUP(G530,'Bereketli Satış'!J:AK,32,0))</f>
        <v>#N/A</v>
      </c>
      <c r="Q530" s="9"/>
      <c r="R530" s="9"/>
    </row>
    <row r="531" spans="1:18">
      <c r="A531" s="8" t="s">
        <v>87</v>
      </c>
      <c r="B531" s="8" t="s">
        <v>88</v>
      </c>
      <c r="C531" s="8" t="s">
        <v>89</v>
      </c>
      <c r="D531" s="8">
        <v>257</v>
      </c>
      <c r="E531" s="8">
        <v>247</v>
      </c>
      <c r="F531" s="1">
        <v>4</v>
      </c>
      <c r="G531" s="1" t="str">
        <f t="shared" si="8"/>
        <v>Camikebir2474</v>
      </c>
      <c r="H531" s="1"/>
      <c r="I531" s="9" t="e">
        <f>IF(VLOOKUP(G531,'Bereketli Satış'!J:AK,5,0)="","",VLOOKUP(G531,'Bereketli Satış'!J:AK,5,0))</f>
        <v>#N/A</v>
      </c>
      <c r="J531" s="9" t="e">
        <f>IF(VLOOKUP(G531,'Bereketli Satış'!J:AK,28,0)="","",VLOOKUP(G531,'Bereketli Satış'!J:AK,28,0))</f>
        <v>#N/A</v>
      </c>
      <c r="K531" s="9"/>
      <c r="L531" s="128"/>
      <c r="M531" s="100" t="e">
        <f>IF(VLOOKUP(G531,'Bereketli Satış'!J:AK,30,0)="","",VLOOKUP(G531,'Bereketli Satış'!J:AK,30,0))</f>
        <v>#N/A</v>
      </c>
      <c r="N531" s="9"/>
      <c r="O531" s="9"/>
      <c r="P531" s="9" t="e">
        <f>IF(VLOOKUP(G531,'Bereketli Satış'!J:AK,32,0)="","",VLOOKUP(G531,'Bereketli Satış'!J:AK,32,0))</f>
        <v>#N/A</v>
      </c>
      <c r="Q531" s="9"/>
      <c r="R531" s="9"/>
    </row>
    <row r="532" spans="1:18">
      <c r="A532" s="8" t="s">
        <v>87</v>
      </c>
      <c r="B532" s="8" t="s">
        <v>88</v>
      </c>
      <c r="C532" s="8" t="s">
        <v>89</v>
      </c>
      <c r="D532" s="8">
        <v>259</v>
      </c>
      <c r="E532" s="8">
        <v>247</v>
      </c>
      <c r="F532" s="1">
        <v>5</v>
      </c>
      <c r="G532" s="1" t="str">
        <f t="shared" si="8"/>
        <v>Camikebir2475</v>
      </c>
      <c r="H532" s="1"/>
      <c r="I532" s="9" t="e">
        <f>IF(VLOOKUP(G532,'Bereketli Satış'!J:AK,5,0)="","",VLOOKUP(G532,'Bereketli Satış'!J:AK,5,0))</f>
        <v>#N/A</v>
      </c>
      <c r="J532" s="9" t="e">
        <f>IF(VLOOKUP(G532,'Bereketli Satış'!J:AK,28,0)="","",VLOOKUP(G532,'Bereketli Satış'!J:AK,28,0))</f>
        <v>#N/A</v>
      </c>
      <c r="K532" s="9"/>
      <c r="L532" s="128"/>
      <c r="M532" s="100" t="e">
        <f>IF(VLOOKUP(G532,'Bereketli Satış'!J:AK,30,0)="","",VLOOKUP(G532,'Bereketli Satış'!J:AK,30,0))</f>
        <v>#N/A</v>
      </c>
      <c r="N532" s="9"/>
      <c r="O532" s="9"/>
      <c r="P532" s="9" t="e">
        <f>IF(VLOOKUP(G532,'Bereketli Satış'!J:AK,32,0)="","",VLOOKUP(G532,'Bereketli Satış'!J:AK,32,0))</f>
        <v>#N/A</v>
      </c>
      <c r="Q532" s="9"/>
      <c r="R532" s="9"/>
    </row>
    <row r="533" spans="1:18">
      <c r="A533" s="8" t="s">
        <v>87</v>
      </c>
      <c r="B533" s="8" t="s">
        <v>88</v>
      </c>
      <c r="C533" s="8" t="s">
        <v>89</v>
      </c>
      <c r="D533" s="8">
        <v>256</v>
      </c>
      <c r="E533" s="8">
        <v>247</v>
      </c>
      <c r="F533" s="1">
        <v>6</v>
      </c>
      <c r="G533" s="1" t="str">
        <f t="shared" si="8"/>
        <v>Camikebir2476</v>
      </c>
      <c r="H533" s="1"/>
      <c r="I533" s="9" t="e">
        <f>IF(VLOOKUP(G533,'Bereketli Satış'!J:AK,5,0)="","",VLOOKUP(G533,'Bereketli Satış'!J:AK,5,0))</f>
        <v>#N/A</v>
      </c>
      <c r="J533" s="9" t="e">
        <f>IF(VLOOKUP(G533,'Bereketli Satış'!J:AK,28,0)="","",VLOOKUP(G533,'Bereketli Satış'!J:AK,28,0))</f>
        <v>#N/A</v>
      </c>
      <c r="K533" s="9"/>
      <c r="L533" s="128"/>
      <c r="M533" s="100" t="e">
        <f>IF(VLOOKUP(G533,'Bereketli Satış'!J:AK,30,0)="","",VLOOKUP(G533,'Bereketli Satış'!J:AK,30,0))</f>
        <v>#N/A</v>
      </c>
      <c r="N533" s="9"/>
      <c r="O533" s="9"/>
      <c r="P533" s="9" t="e">
        <f>IF(VLOOKUP(G533,'Bereketli Satış'!J:AK,32,0)="","",VLOOKUP(G533,'Bereketli Satış'!J:AK,32,0))</f>
        <v>#N/A</v>
      </c>
      <c r="Q533" s="9"/>
      <c r="R533" s="9"/>
    </row>
    <row r="534" spans="1:18">
      <c r="A534" s="8" t="s">
        <v>87</v>
      </c>
      <c r="B534" s="8" t="s">
        <v>88</v>
      </c>
      <c r="C534" s="8" t="s">
        <v>89</v>
      </c>
      <c r="D534" s="8">
        <v>254</v>
      </c>
      <c r="E534" s="8">
        <v>247</v>
      </c>
      <c r="F534" s="1">
        <v>14</v>
      </c>
      <c r="G534" s="1" t="str">
        <f t="shared" si="8"/>
        <v>Camikebir24714</v>
      </c>
      <c r="H534" s="1"/>
      <c r="I534" s="9" t="e">
        <f>IF(VLOOKUP(G534,'Bereketli Satış'!J:AK,5,0)="","",VLOOKUP(G534,'Bereketli Satış'!J:AK,5,0))</f>
        <v>#N/A</v>
      </c>
      <c r="J534" s="9" t="e">
        <f>IF(VLOOKUP(G534,'Bereketli Satış'!J:AK,28,0)="","",VLOOKUP(G534,'Bereketli Satış'!J:AK,28,0))</f>
        <v>#N/A</v>
      </c>
      <c r="K534" s="9"/>
      <c r="L534" s="128"/>
      <c r="M534" s="100" t="e">
        <f>IF(VLOOKUP(G534,'Bereketli Satış'!J:AK,30,0)="","",VLOOKUP(G534,'Bereketli Satış'!J:AK,30,0))</f>
        <v>#N/A</v>
      </c>
      <c r="N534" s="9"/>
      <c r="O534" s="9"/>
      <c r="P534" s="9" t="e">
        <f>IF(VLOOKUP(G534,'Bereketli Satış'!J:AK,32,0)="","",VLOOKUP(G534,'Bereketli Satış'!J:AK,32,0))</f>
        <v>#N/A</v>
      </c>
      <c r="Q534" s="9"/>
      <c r="R534" s="9"/>
    </row>
    <row r="535" spans="1:18">
      <c r="A535" s="8" t="s">
        <v>87</v>
      </c>
      <c r="B535" s="8" t="s">
        <v>88</v>
      </c>
      <c r="C535" s="8" t="s">
        <v>89</v>
      </c>
      <c r="D535" s="8">
        <v>252</v>
      </c>
      <c r="E535" s="8">
        <v>247</v>
      </c>
      <c r="F535" s="1">
        <v>15</v>
      </c>
      <c r="G535" s="1" t="str">
        <f t="shared" si="8"/>
        <v>Camikebir24715</v>
      </c>
      <c r="H535" s="1"/>
      <c r="I535" s="9" t="e">
        <f>IF(VLOOKUP(G535,'Bereketli Satış'!J:AK,5,0)="","",VLOOKUP(G535,'Bereketli Satış'!J:AK,5,0))</f>
        <v>#N/A</v>
      </c>
      <c r="J535" s="9" t="e">
        <f>IF(VLOOKUP(G535,'Bereketli Satış'!J:AK,28,0)="","",VLOOKUP(G535,'Bereketli Satış'!J:AK,28,0))</f>
        <v>#N/A</v>
      </c>
      <c r="K535" s="9"/>
      <c r="L535" s="128"/>
      <c r="M535" s="100" t="e">
        <f>IF(VLOOKUP(G535,'Bereketli Satış'!J:AK,30,0)="","",VLOOKUP(G535,'Bereketli Satış'!J:AK,30,0))</f>
        <v>#N/A</v>
      </c>
      <c r="N535" s="9"/>
      <c r="O535" s="9"/>
      <c r="P535" s="9" t="e">
        <f>IF(VLOOKUP(G535,'Bereketli Satış'!J:AK,32,0)="","",VLOOKUP(G535,'Bereketli Satış'!J:AK,32,0))</f>
        <v>#N/A</v>
      </c>
      <c r="Q535" s="9"/>
      <c r="R535" s="9"/>
    </row>
    <row r="536" spans="1:18">
      <c r="A536" s="8" t="s">
        <v>87</v>
      </c>
      <c r="B536" s="8" t="s">
        <v>88</v>
      </c>
      <c r="C536" s="8" t="s">
        <v>89</v>
      </c>
      <c r="D536" s="8">
        <v>249</v>
      </c>
      <c r="E536" s="8">
        <v>247</v>
      </c>
      <c r="F536" s="1">
        <v>16</v>
      </c>
      <c r="G536" s="1" t="str">
        <f t="shared" si="8"/>
        <v>Camikebir24716</v>
      </c>
      <c r="H536" s="1"/>
      <c r="I536" s="9" t="e">
        <f>IF(VLOOKUP(G536,'Bereketli Satış'!J:AK,5,0)="","",VLOOKUP(G536,'Bereketli Satış'!J:AK,5,0))</f>
        <v>#N/A</v>
      </c>
      <c r="J536" s="9" t="e">
        <f>IF(VLOOKUP(G536,'Bereketli Satış'!J:AK,28,0)="","",VLOOKUP(G536,'Bereketli Satış'!J:AK,28,0))</f>
        <v>#N/A</v>
      </c>
      <c r="K536" s="9"/>
      <c r="L536" s="128"/>
      <c r="M536" s="100" t="e">
        <f>IF(VLOOKUP(G536,'Bereketli Satış'!J:AK,30,0)="","",VLOOKUP(G536,'Bereketli Satış'!J:AK,30,0))</f>
        <v>#N/A</v>
      </c>
      <c r="N536" s="9"/>
      <c r="O536" s="9"/>
      <c r="P536" s="9" t="e">
        <f>IF(VLOOKUP(G536,'Bereketli Satış'!J:AK,32,0)="","",VLOOKUP(G536,'Bereketli Satış'!J:AK,32,0))</f>
        <v>#N/A</v>
      </c>
      <c r="Q536" s="9"/>
      <c r="R536" s="9"/>
    </row>
    <row r="537" spans="1:18">
      <c r="A537" s="8" t="s">
        <v>49</v>
      </c>
      <c r="B537" s="8" t="s">
        <v>50</v>
      </c>
      <c r="C537" s="8" t="s">
        <v>93</v>
      </c>
      <c r="D537" s="8">
        <v>490.73</v>
      </c>
      <c r="E537" s="18">
        <v>588</v>
      </c>
      <c r="F537" s="8">
        <v>4</v>
      </c>
      <c r="G537" s="1" t="str">
        <f t="shared" si="8"/>
        <v>ÇEŞMEALTI5884</v>
      </c>
      <c r="H537" s="8"/>
      <c r="I537" s="9" t="e">
        <f>IF(VLOOKUP(G537,'Bereketli Satış'!J:AK,5,0)="","",VLOOKUP(G537,'Bereketli Satış'!J:AK,5,0))</f>
        <v>#N/A</v>
      </c>
      <c r="J537" s="9" t="e">
        <f>IF(VLOOKUP(G537,'Bereketli Satış'!J:AK,28,0)="","",VLOOKUP(G537,'Bereketli Satış'!J:AK,28,0))</f>
        <v>#N/A</v>
      </c>
      <c r="K537" s="9"/>
      <c r="L537" s="128"/>
      <c r="M537" s="100" t="e">
        <f>IF(VLOOKUP(G537,'Bereketli Satış'!J:AK,30,0)="","",VLOOKUP(G537,'Bereketli Satış'!J:AK,30,0))</f>
        <v>#N/A</v>
      </c>
      <c r="N537" s="107"/>
      <c r="O537" s="107"/>
      <c r="P537" s="9" t="e">
        <f>IF(VLOOKUP(G537,'Bereketli Satış'!J:AK,32,0)="","",VLOOKUP(G537,'Bereketli Satış'!J:AK,32,0))</f>
        <v>#N/A</v>
      </c>
      <c r="Q537" s="107"/>
      <c r="R537" s="107"/>
    </row>
    <row r="538" spans="1:18">
      <c r="A538" s="96" t="s">
        <v>14</v>
      </c>
      <c r="B538" s="96" t="s">
        <v>28</v>
      </c>
      <c r="C538" s="96" t="s">
        <v>45</v>
      </c>
      <c r="D538" s="96">
        <v>461.05</v>
      </c>
      <c r="E538" s="96">
        <v>251</v>
      </c>
      <c r="F538" s="97">
        <v>17</v>
      </c>
      <c r="G538" s="1" t="str">
        <f t="shared" si="8"/>
        <v>DELİCE25117</v>
      </c>
      <c r="H538" s="97"/>
      <c r="I538" s="9" t="e">
        <f>IF(VLOOKUP(G538,'Bereketli Satış'!J:AK,5,0)="","",VLOOKUP(G538,'Bereketli Satış'!J:AK,5,0))</f>
        <v>#N/A</v>
      </c>
      <c r="J538" s="9" t="e">
        <f>IF(VLOOKUP(G538,'Bereketli Satış'!J:AK,28,0)="","",VLOOKUP(G538,'Bereketli Satış'!J:AK,28,0))</f>
        <v>#N/A</v>
      </c>
      <c r="K538" s="107"/>
      <c r="L538" s="129"/>
      <c r="M538" s="100" t="e">
        <f>IF(VLOOKUP(G538,'Bereketli Satış'!J:AK,30,0)="","",VLOOKUP(G538,'Bereketli Satış'!J:AK,30,0))</f>
        <v>#N/A</v>
      </c>
      <c r="N538" s="9"/>
      <c r="O538" s="9"/>
      <c r="P538" s="9" t="e">
        <f>IF(VLOOKUP(G538,'Bereketli Satış'!J:AK,32,0)="","",VLOOKUP(G538,'Bereketli Satış'!J:AK,32,0))</f>
        <v>#N/A</v>
      </c>
      <c r="Q538" s="9"/>
      <c r="R538" s="9"/>
    </row>
    <row r="539" spans="1:18">
      <c r="A539" s="8" t="s">
        <v>14</v>
      </c>
      <c r="B539" s="8" t="s">
        <v>28</v>
      </c>
      <c r="C539" s="8" t="s">
        <v>45</v>
      </c>
      <c r="D539" s="8">
        <v>417.3</v>
      </c>
      <c r="E539" s="8">
        <v>124</v>
      </c>
      <c r="F539" s="1">
        <v>4</v>
      </c>
      <c r="G539" s="1" t="str">
        <f t="shared" si="8"/>
        <v>DELİCE1244</v>
      </c>
      <c r="H539" s="1"/>
      <c r="I539" s="9" t="e">
        <f>IF(VLOOKUP(G539,'Bereketli Satış'!J:AK,5,0)="","",VLOOKUP(G539,'Bereketli Satış'!J:AK,5,0))</f>
        <v>#N/A</v>
      </c>
      <c r="J539" s="9" t="e">
        <f>IF(VLOOKUP(G539,'Bereketli Satış'!J:AK,28,0)="","",VLOOKUP(G539,'Bereketli Satış'!J:AK,28,0))</f>
        <v>#N/A</v>
      </c>
      <c r="K539" s="9"/>
      <c r="L539" s="128"/>
      <c r="M539" s="100" t="e">
        <f>IF(VLOOKUP(G539,'Bereketli Satış'!J:AK,30,0)="","",VLOOKUP(G539,'Bereketli Satış'!J:AK,30,0))</f>
        <v>#N/A</v>
      </c>
      <c r="N539" s="9"/>
      <c r="O539" s="9"/>
      <c r="P539" s="9" t="e">
        <f>IF(VLOOKUP(G539,'Bereketli Satış'!J:AK,32,0)="","",VLOOKUP(G539,'Bereketli Satış'!J:AK,32,0))</f>
        <v>#N/A</v>
      </c>
      <c r="Q539" s="9"/>
      <c r="R539" s="9"/>
    </row>
    <row r="540" spans="1:18">
      <c r="A540" s="8" t="s">
        <v>14</v>
      </c>
      <c r="B540" s="8" t="s">
        <v>28</v>
      </c>
      <c r="C540" s="8" t="s">
        <v>45</v>
      </c>
      <c r="D540" s="8">
        <v>388.07</v>
      </c>
      <c r="E540" s="8">
        <v>251</v>
      </c>
      <c r="F540" s="1">
        <v>18</v>
      </c>
      <c r="G540" s="1" t="str">
        <f t="shared" si="8"/>
        <v>DELİCE25118</v>
      </c>
      <c r="H540" s="1"/>
      <c r="I540" s="9" t="e">
        <f>IF(VLOOKUP(G540,'Bereketli Satış'!J:AK,5,0)="","",VLOOKUP(G540,'Bereketli Satış'!J:AK,5,0))</f>
        <v>#N/A</v>
      </c>
      <c r="J540" s="9" t="e">
        <f>IF(VLOOKUP(G540,'Bereketli Satış'!J:AK,28,0)="","",VLOOKUP(G540,'Bereketli Satış'!J:AK,28,0))</f>
        <v>#N/A</v>
      </c>
      <c r="K540" s="9"/>
      <c r="L540" s="128"/>
      <c r="M540" s="100" t="e">
        <f>IF(VLOOKUP(G540,'Bereketli Satış'!J:AK,30,0)="","",VLOOKUP(G540,'Bereketli Satış'!J:AK,30,0))</f>
        <v>#N/A</v>
      </c>
      <c r="N540" s="9"/>
      <c r="O540" s="9"/>
      <c r="P540" s="9" t="e">
        <f>IF(VLOOKUP(G540,'Bereketli Satış'!J:AK,32,0)="","",VLOOKUP(G540,'Bereketli Satış'!J:AK,32,0))</f>
        <v>#N/A</v>
      </c>
      <c r="Q540" s="9"/>
      <c r="R540" s="9"/>
    </row>
    <row r="541" spans="1:18">
      <c r="A541" s="8" t="s">
        <v>14</v>
      </c>
      <c r="B541" s="8" t="s">
        <v>28</v>
      </c>
      <c r="C541" s="8" t="s">
        <v>45</v>
      </c>
      <c r="D541" s="8">
        <v>454.94</v>
      </c>
      <c r="E541" s="8">
        <v>251</v>
      </c>
      <c r="F541" s="1">
        <v>19</v>
      </c>
      <c r="G541" s="1" t="str">
        <f t="shared" si="8"/>
        <v>DELİCE25119</v>
      </c>
      <c r="H541" s="1"/>
      <c r="I541" s="9" t="e">
        <f>IF(VLOOKUP(G541,'Bereketli Satış'!J:AK,5,0)="","",VLOOKUP(G541,'Bereketli Satış'!J:AK,5,0))</f>
        <v>#N/A</v>
      </c>
      <c r="J541" s="9" t="e">
        <f>IF(VLOOKUP(G541,'Bereketli Satış'!J:AK,28,0)="","",VLOOKUP(G541,'Bereketli Satış'!J:AK,28,0))</f>
        <v>#N/A</v>
      </c>
      <c r="K541" s="9"/>
      <c r="L541" s="128"/>
      <c r="M541" s="100" t="e">
        <f>IF(VLOOKUP(G541,'Bereketli Satış'!J:AK,30,0)="","",VLOOKUP(G541,'Bereketli Satış'!J:AK,30,0))</f>
        <v>#N/A</v>
      </c>
      <c r="N541" s="9"/>
      <c r="O541" s="9"/>
      <c r="P541" s="9" t="e">
        <f>IF(VLOOKUP(G541,'Bereketli Satış'!J:AK,32,0)="","",VLOOKUP(G541,'Bereketli Satış'!J:AK,32,0))</f>
        <v>#N/A</v>
      </c>
      <c r="Q541" s="9"/>
      <c r="R541" s="9"/>
    </row>
    <row r="542" spans="1:18">
      <c r="A542" s="8" t="s">
        <v>14</v>
      </c>
      <c r="B542" s="8" t="s">
        <v>15</v>
      </c>
      <c r="C542" s="8" t="s">
        <v>94</v>
      </c>
      <c r="D542" s="8">
        <v>754.23</v>
      </c>
      <c r="E542" s="8">
        <v>112</v>
      </c>
      <c r="F542" s="1">
        <v>1</v>
      </c>
      <c r="G542" s="1" t="str">
        <f t="shared" si="8"/>
        <v>DEMİRKAPI1121</v>
      </c>
      <c r="H542" s="1"/>
      <c r="I542" s="9" t="e">
        <f>IF(VLOOKUP(G542,'Bereketli Satış'!J:AK,5,0)="","",VLOOKUP(G542,'Bereketli Satış'!J:AK,5,0))</f>
        <v>#N/A</v>
      </c>
      <c r="J542" s="9" t="e">
        <f>IF(VLOOKUP(G542,'Bereketli Satış'!J:AK,28,0)="","",VLOOKUP(G542,'Bereketli Satış'!J:AK,28,0))</f>
        <v>#N/A</v>
      </c>
      <c r="K542" s="9"/>
      <c r="L542" s="128"/>
      <c r="M542" s="100" t="e">
        <f>IF(VLOOKUP(G542,'Bereketli Satış'!J:AK,30,0)="","",VLOOKUP(G542,'Bereketli Satış'!J:AK,30,0))</f>
        <v>#N/A</v>
      </c>
      <c r="N542" s="9"/>
      <c r="O542" s="9"/>
      <c r="P542" s="9" t="e">
        <f>IF(VLOOKUP(G542,'Bereketli Satış'!J:AK,32,0)="","",VLOOKUP(G542,'Bereketli Satış'!J:AK,32,0))</f>
        <v>#N/A</v>
      </c>
      <c r="Q542" s="9"/>
      <c r="R542" s="9"/>
    </row>
    <row r="543" spans="1:18">
      <c r="A543" s="8" t="s">
        <v>14</v>
      </c>
      <c r="B543" s="8" t="s">
        <v>15</v>
      </c>
      <c r="C543" s="8" t="s">
        <v>94</v>
      </c>
      <c r="D543" s="8">
        <v>672.66</v>
      </c>
      <c r="E543" s="8">
        <v>113</v>
      </c>
      <c r="F543" s="1">
        <v>9</v>
      </c>
      <c r="G543" s="1" t="str">
        <f t="shared" si="8"/>
        <v>DEMİRKAPI1139</v>
      </c>
      <c r="H543" s="1"/>
      <c r="I543" s="9" t="e">
        <f>IF(VLOOKUP(G543,'Bereketli Satış'!J:AK,5,0)="","",VLOOKUP(G543,'Bereketli Satış'!J:AK,5,0))</f>
        <v>#N/A</v>
      </c>
      <c r="J543" s="9" t="e">
        <f>IF(VLOOKUP(G543,'Bereketli Satış'!J:AK,28,0)="","",VLOOKUP(G543,'Bereketli Satış'!J:AK,28,0))</f>
        <v>#N/A</v>
      </c>
      <c r="K543" s="9"/>
      <c r="L543" s="128"/>
      <c r="M543" s="100" t="e">
        <f>IF(VLOOKUP(G543,'Bereketli Satış'!J:AK,30,0)="","",VLOOKUP(G543,'Bereketli Satış'!J:AK,30,0))</f>
        <v>#N/A</v>
      </c>
      <c r="N543" s="9"/>
      <c r="O543" s="9"/>
      <c r="P543" s="9" t="e">
        <f>IF(VLOOKUP(G543,'Bereketli Satış'!J:AK,32,0)="","",VLOOKUP(G543,'Bereketli Satış'!J:AK,32,0))</f>
        <v>#N/A</v>
      </c>
      <c r="Q543" s="9"/>
      <c r="R543" s="9"/>
    </row>
    <row r="544" spans="1:18">
      <c r="A544" s="8" t="s">
        <v>14</v>
      </c>
      <c r="B544" s="8" t="s">
        <v>15</v>
      </c>
      <c r="C544" s="8" t="s">
        <v>94</v>
      </c>
      <c r="D544" s="8">
        <v>704.95</v>
      </c>
      <c r="E544" s="8">
        <v>116</v>
      </c>
      <c r="F544" s="3">
        <v>2</v>
      </c>
      <c r="G544" s="1" t="str">
        <f t="shared" si="8"/>
        <v>DEMİRKAPI1162</v>
      </c>
      <c r="H544" s="3"/>
      <c r="I544" s="9" t="e">
        <f>IF(VLOOKUP(G544,'Bereketli Satış'!J:AK,5,0)="","",VLOOKUP(G544,'Bereketli Satış'!J:AK,5,0))</f>
        <v>#N/A</v>
      </c>
      <c r="J544" s="9" t="e">
        <f>IF(VLOOKUP(G544,'Bereketli Satış'!J:AK,28,0)="","",VLOOKUP(G544,'Bereketli Satış'!J:AK,28,0))</f>
        <v>#N/A</v>
      </c>
      <c r="K544" s="9"/>
      <c r="L544" s="128"/>
      <c r="M544" s="100" t="e">
        <f>IF(VLOOKUP(G544,'Bereketli Satış'!J:AK,30,0)="","",VLOOKUP(G544,'Bereketli Satış'!J:AK,30,0))</f>
        <v>#N/A</v>
      </c>
      <c r="N544" s="9"/>
      <c r="O544" s="9"/>
      <c r="P544" s="9" t="e">
        <f>IF(VLOOKUP(G544,'Bereketli Satış'!J:AK,32,0)="","",VLOOKUP(G544,'Bereketli Satış'!J:AK,32,0))</f>
        <v>#N/A</v>
      </c>
      <c r="Q544" s="9"/>
      <c r="R544" s="9"/>
    </row>
    <row r="545" spans="1:18">
      <c r="A545" s="8" t="s">
        <v>14</v>
      </c>
      <c r="B545" s="8" t="s">
        <v>15</v>
      </c>
      <c r="C545" s="8" t="s">
        <v>94</v>
      </c>
      <c r="D545" s="8">
        <v>667.81</v>
      </c>
      <c r="E545" s="8">
        <v>113</v>
      </c>
      <c r="F545" s="8">
        <v>1</v>
      </c>
      <c r="G545" s="1" t="str">
        <f t="shared" si="8"/>
        <v>DEMİRKAPI1131</v>
      </c>
      <c r="H545" s="8"/>
      <c r="I545" s="9" t="e">
        <f>IF(VLOOKUP(G545,'Bereketli Satış'!J:AK,5,0)="","",VLOOKUP(G545,'Bereketli Satış'!J:AK,5,0))</f>
        <v>#N/A</v>
      </c>
      <c r="J545" s="9" t="e">
        <f>IF(VLOOKUP(G545,'Bereketli Satış'!J:AK,28,0)="","",VLOOKUP(G545,'Bereketli Satış'!J:AK,28,0))</f>
        <v>#N/A</v>
      </c>
      <c r="K545" s="9"/>
      <c r="L545" s="128"/>
      <c r="M545" s="100" t="e">
        <f>IF(VLOOKUP(G545,'Bereketli Satış'!J:AK,30,0)="","",VLOOKUP(G545,'Bereketli Satış'!J:AK,30,0))</f>
        <v>#N/A</v>
      </c>
      <c r="N545" s="9"/>
      <c r="O545" s="9"/>
      <c r="P545" s="9" t="e">
        <f>IF(VLOOKUP(G545,'Bereketli Satış'!J:AK,32,0)="","",VLOOKUP(G545,'Bereketli Satış'!J:AK,32,0))</f>
        <v>#N/A</v>
      </c>
      <c r="Q545" s="9"/>
      <c r="R545" s="9"/>
    </row>
    <row r="546" spans="1:18">
      <c r="A546" s="8" t="s">
        <v>14</v>
      </c>
      <c r="B546" s="8" t="s">
        <v>33</v>
      </c>
      <c r="C546" s="8" t="s">
        <v>95</v>
      </c>
      <c r="D546" s="8">
        <v>343.53</v>
      </c>
      <c r="E546" s="18">
        <v>205</v>
      </c>
      <c r="F546" s="8">
        <v>5</v>
      </c>
      <c r="G546" s="1" t="str">
        <f t="shared" si="8"/>
        <v>DERECİKÖREN2055</v>
      </c>
      <c r="H546" s="8"/>
      <c r="I546" s="9" t="e">
        <f>IF(VLOOKUP(G546,'Bereketli Satış'!J:AK,5,0)="","",VLOOKUP(G546,'Bereketli Satış'!J:AK,5,0))</f>
        <v>#N/A</v>
      </c>
      <c r="J546" s="9" t="e">
        <f>IF(VLOOKUP(G546,'Bereketli Satış'!J:AK,28,0)="","",VLOOKUP(G546,'Bereketli Satış'!J:AK,28,0))</f>
        <v>#N/A</v>
      </c>
      <c r="K546" s="9"/>
      <c r="L546" s="128"/>
      <c r="M546" s="100" t="e">
        <f>IF(VLOOKUP(G546,'Bereketli Satış'!J:AK,30,0)="","",VLOOKUP(G546,'Bereketli Satış'!J:AK,30,0))</f>
        <v>#N/A</v>
      </c>
      <c r="N546" s="9"/>
      <c r="O546" s="9"/>
      <c r="P546" s="9" t="e">
        <f>IF(VLOOKUP(G546,'Bereketli Satış'!J:AK,32,0)="","",VLOOKUP(G546,'Bereketli Satış'!J:AK,32,0))</f>
        <v>#N/A</v>
      </c>
      <c r="Q546" s="9"/>
      <c r="R546" s="9"/>
    </row>
    <row r="547" spans="1:18">
      <c r="A547" s="8" t="s">
        <v>14</v>
      </c>
      <c r="B547" s="8" t="s">
        <v>66</v>
      </c>
      <c r="C547" s="8" t="s">
        <v>71</v>
      </c>
      <c r="D547" s="8">
        <v>516</v>
      </c>
      <c r="E547" s="18">
        <v>165</v>
      </c>
      <c r="F547" s="8">
        <v>59</v>
      </c>
      <c r="G547" s="1" t="str">
        <f t="shared" si="8"/>
        <v>GÖZLÜÇAYIR16559</v>
      </c>
      <c r="H547" s="8"/>
      <c r="I547" s="9" t="e">
        <f>IF(VLOOKUP(G547,'Bereketli Satış'!J:AK,5,0)="","",VLOOKUP(G547,'Bereketli Satış'!J:AK,5,0))</f>
        <v>#N/A</v>
      </c>
      <c r="J547" s="9" t="e">
        <f>IF(VLOOKUP(G547,'Bereketli Satış'!J:AK,28,0)="","",VLOOKUP(G547,'Bereketli Satış'!J:AK,28,0))</f>
        <v>#N/A</v>
      </c>
      <c r="K547" s="9"/>
      <c r="L547" s="128"/>
      <c r="M547" s="100" t="e">
        <f>IF(VLOOKUP(G547,'Bereketli Satış'!J:AK,30,0)="","",VLOOKUP(G547,'Bereketli Satış'!J:AK,30,0))</f>
        <v>#N/A</v>
      </c>
      <c r="N547" s="9"/>
      <c r="O547" s="9"/>
      <c r="P547" s="9" t="e">
        <f>IF(VLOOKUP(G547,'Bereketli Satış'!J:AK,32,0)="","",VLOOKUP(G547,'Bereketli Satış'!J:AK,32,0))</f>
        <v>#N/A</v>
      </c>
      <c r="Q547" s="9"/>
      <c r="R547" s="9"/>
    </row>
    <row r="548" spans="1:18">
      <c r="A548" s="8" t="s">
        <v>14</v>
      </c>
      <c r="B548" s="8" t="s">
        <v>15</v>
      </c>
      <c r="C548" s="8" t="s">
        <v>63</v>
      </c>
      <c r="D548" s="8">
        <v>491.32</v>
      </c>
      <c r="E548" s="8">
        <v>104</v>
      </c>
      <c r="F548" s="1">
        <v>1</v>
      </c>
      <c r="G548" s="1" t="str">
        <f t="shared" si="8"/>
        <v>ILICABOĞAZI1041</v>
      </c>
      <c r="H548" s="1"/>
      <c r="I548" s="9" t="e">
        <f>IF(VLOOKUP(G548,'Bereketli Satış'!J:AK,5,0)="","",VLOOKUP(G548,'Bereketli Satış'!J:AK,5,0))</f>
        <v>#N/A</v>
      </c>
      <c r="J548" s="9" t="e">
        <f>IF(VLOOKUP(G548,'Bereketli Satış'!J:AK,28,0)="","",VLOOKUP(G548,'Bereketli Satış'!J:AK,28,0))</f>
        <v>#N/A</v>
      </c>
      <c r="K548" s="9"/>
      <c r="L548" s="128"/>
      <c r="M548" s="100" t="e">
        <f>IF(VLOOKUP(G548,'Bereketli Satış'!J:AK,30,0)="","",VLOOKUP(G548,'Bereketli Satış'!J:AK,30,0))</f>
        <v>#N/A</v>
      </c>
      <c r="N548" s="9"/>
      <c r="O548" s="9"/>
      <c r="P548" s="9" t="e">
        <f>IF(VLOOKUP(G548,'Bereketli Satış'!J:AK,32,0)="","",VLOOKUP(G548,'Bereketli Satış'!J:AK,32,0))</f>
        <v>#N/A</v>
      </c>
      <c r="Q548" s="9"/>
      <c r="R548" s="9"/>
    </row>
    <row r="549" spans="1:18">
      <c r="A549" s="8" t="s">
        <v>14</v>
      </c>
      <c r="B549" s="8" t="s">
        <v>15</v>
      </c>
      <c r="C549" s="8" t="s">
        <v>63</v>
      </c>
      <c r="D549" s="8">
        <v>659.98</v>
      </c>
      <c r="E549" s="8">
        <v>104</v>
      </c>
      <c r="F549" s="1">
        <v>3</v>
      </c>
      <c r="G549" s="1" t="str">
        <f t="shared" si="8"/>
        <v>ILICABOĞAZI1043</v>
      </c>
      <c r="H549" s="1"/>
      <c r="I549" s="9" t="e">
        <f>IF(VLOOKUP(G549,'Bereketli Satış'!J:AK,5,0)="","",VLOOKUP(G549,'Bereketli Satış'!J:AK,5,0))</f>
        <v>#N/A</v>
      </c>
      <c r="J549" s="9" t="e">
        <f>IF(VLOOKUP(G549,'Bereketli Satış'!J:AK,28,0)="","",VLOOKUP(G549,'Bereketli Satış'!J:AK,28,0))</f>
        <v>#N/A</v>
      </c>
      <c r="K549" s="9"/>
      <c r="L549" s="128"/>
      <c r="M549" s="100" t="e">
        <f>IF(VLOOKUP(G549,'Bereketli Satış'!J:AK,30,0)="","",VLOOKUP(G549,'Bereketli Satış'!J:AK,30,0))</f>
        <v>#N/A</v>
      </c>
      <c r="N549" s="9"/>
      <c r="O549" s="9"/>
      <c r="P549" s="9" t="e">
        <f>IF(VLOOKUP(G549,'Bereketli Satış'!J:AK,32,0)="","",VLOOKUP(G549,'Bereketli Satış'!J:AK,32,0))</f>
        <v>#N/A</v>
      </c>
      <c r="Q549" s="9"/>
      <c r="R549" s="9"/>
    </row>
    <row r="550" spans="1:18">
      <c r="A550" s="8" t="s">
        <v>14</v>
      </c>
      <c r="B550" s="8" t="s">
        <v>15</v>
      </c>
      <c r="C550" s="8" t="s">
        <v>63</v>
      </c>
      <c r="D550" s="8">
        <v>617.66999999999996</v>
      </c>
      <c r="E550" s="8">
        <v>104</v>
      </c>
      <c r="F550" s="1">
        <v>5</v>
      </c>
      <c r="G550" s="1" t="str">
        <f t="shared" si="8"/>
        <v>ILICABOĞAZI1045</v>
      </c>
      <c r="H550" s="1"/>
      <c r="I550" s="9" t="e">
        <f>IF(VLOOKUP(G550,'Bereketli Satış'!J:AK,5,0)="","",VLOOKUP(G550,'Bereketli Satış'!J:AK,5,0))</f>
        <v>#N/A</v>
      </c>
      <c r="J550" s="9" t="e">
        <f>IF(VLOOKUP(G550,'Bereketli Satış'!J:AK,28,0)="","",VLOOKUP(G550,'Bereketli Satış'!J:AK,28,0))</f>
        <v>#N/A</v>
      </c>
      <c r="K550" s="9"/>
      <c r="L550" s="128"/>
      <c r="M550" s="100" t="e">
        <f>IF(VLOOKUP(G550,'Bereketli Satış'!J:AK,30,0)="","",VLOOKUP(G550,'Bereketli Satış'!J:AK,30,0))</f>
        <v>#N/A</v>
      </c>
      <c r="N550" s="9"/>
      <c r="O550" s="9"/>
      <c r="P550" s="9" t="e">
        <f>IF(VLOOKUP(G550,'Bereketli Satış'!J:AK,32,0)="","",VLOOKUP(G550,'Bereketli Satış'!J:AK,32,0))</f>
        <v>#N/A</v>
      </c>
      <c r="Q550" s="9"/>
      <c r="R550" s="9"/>
    </row>
    <row r="551" spans="1:18">
      <c r="A551" s="8" t="s">
        <v>14</v>
      </c>
      <c r="B551" s="8" t="s">
        <v>15</v>
      </c>
      <c r="C551" s="8" t="s">
        <v>63</v>
      </c>
      <c r="D551" s="8">
        <v>579.39</v>
      </c>
      <c r="E551" s="8">
        <v>104</v>
      </c>
      <c r="F551" s="1">
        <v>6</v>
      </c>
      <c r="G551" s="1" t="str">
        <f t="shared" si="8"/>
        <v>ILICABOĞAZI1046</v>
      </c>
      <c r="H551" s="1"/>
      <c r="I551" s="9" t="e">
        <f>IF(VLOOKUP(G551,'Bereketli Satış'!J:AK,5,0)="","",VLOOKUP(G551,'Bereketli Satış'!J:AK,5,0))</f>
        <v>#N/A</v>
      </c>
      <c r="J551" s="9" t="e">
        <f>IF(VLOOKUP(G551,'Bereketli Satış'!J:AK,28,0)="","",VLOOKUP(G551,'Bereketli Satış'!J:AK,28,0))</f>
        <v>#N/A</v>
      </c>
      <c r="K551" s="9"/>
      <c r="L551" s="128"/>
      <c r="M551" s="100" t="e">
        <f>IF(VLOOKUP(G551,'Bereketli Satış'!J:AK,30,0)="","",VLOOKUP(G551,'Bereketli Satış'!J:AK,30,0))</f>
        <v>#N/A</v>
      </c>
      <c r="N551" s="9"/>
      <c r="O551" s="9"/>
      <c r="P551" s="9" t="e">
        <f>IF(VLOOKUP(G551,'Bereketli Satış'!J:AK,32,0)="","",VLOOKUP(G551,'Bereketli Satış'!J:AK,32,0))</f>
        <v>#N/A</v>
      </c>
      <c r="Q551" s="9"/>
      <c r="R551" s="9"/>
    </row>
    <row r="552" spans="1:18">
      <c r="A552" s="8" t="s">
        <v>14</v>
      </c>
      <c r="B552" s="8" t="s">
        <v>15</v>
      </c>
      <c r="C552" s="8" t="s">
        <v>63</v>
      </c>
      <c r="D552" s="8">
        <v>816.87</v>
      </c>
      <c r="E552" s="8">
        <v>105</v>
      </c>
      <c r="F552" s="1">
        <v>2</v>
      </c>
      <c r="G552" s="1" t="str">
        <f t="shared" si="8"/>
        <v>ILICABOĞAZI1052</v>
      </c>
      <c r="H552" s="1"/>
      <c r="I552" s="9" t="e">
        <f>IF(VLOOKUP(G552,'Bereketli Satış'!J:AK,5,0)="","",VLOOKUP(G552,'Bereketli Satış'!J:AK,5,0))</f>
        <v>#N/A</v>
      </c>
      <c r="J552" s="9" t="e">
        <f>IF(VLOOKUP(G552,'Bereketli Satış'!J:AK,28,0)="","",VLOOKUP(G552,'Bereketli Satış'!J:AK,28,0))</f>
        <v>#N/A</v>
      </c>
      <c r="K552" s="9"/>
      <c r="L552" s="128"/>
      <c r="M552" s="100" t="e">
        <f>IF(VLOOKUP(G552,'Bereketli Satış'!J:AK,30,0)="","",VLOOKUP(G552,'Bereketli Satış'!J:AK,30,0))</f>
        <v>#N/A</v>
      </c>
      <c r="N552" s="9"/>
      <c r="O552" s="9"/>
      <c r="P552" s="9" t="e">
        <f>IF(VLOOKUP(G552,'Bereketli Satış'!J:AK,32,0)="","",VLOOKUP(G552,'Bereketli Satış'!J:AK,32,0))</f>
        <v>#N/A</v>
      </c>
      <c r="Q552" s="9"/>
      <c r="R552" s="9"/>
    </row>
    <row r="553" spans="1:18">
      <c r="A553" s="8" t="s">
        <v>14</v>
      </c>
      <c r="B553" s="8" t="s">
        <v>15</v>
      </c>
      <c r="C553" s="8" t="s">
        <v>63</v>
      </c>
      <c r="D553" s="8">
        <v>847.66</v>
      </c>
      <c r="E553" s="8">
        <v>105</v>
      </c>
      <c r="F553" s="1">
        <v>3</v>
      </c>
      <c r="G553" s="1" t="str">
        <f t="shared" si="8"/>
        <v>ILICABOĞAZI1053</v>
      </c>
      <c r="H553" s="1"/>
      <c r="I553" s="9" t="e">
        <f>IF(VLOOKUP(G553,'Bereketli Satış'!J:AK,5,0)="","",VLOOKUP(G553,'Bereketli Satış'!J:AK,5,0))</f>
        <v>#N/A</v>
      </c>
      <c r="J553" s="9" t="e">
        <f>IF(VLOOKUP(G553,'Bereketli Satış'!J:AK,28,0)="","",VLOOKUP(G553,'Bereketli Satış'!J:AK,28,0))</f>
        <v>#N/A</v>
      </c>
      <c r="K553" s="9"/>
      <c r="L553" s="128"/>
      <c r="M553" s="100" t="e">
        <f>IF(VLOOKUP(G553,'Bereketli Satış'!J:AK,30,0)="","",VLOOKUP(G553,'Bereketli Satış'!J:AK,30,0))</f>
        <v>#N/A</v>
      </c>
      <c r="N553" s="9"/>
      <c r="O553" s="9"/>
      <c r="P553" s="9" t="e">
        <f>IF(VLOOKUP(G553,'Bereketli Satış'!J:AK,32,0)="","",VLOOKUP(G553,'Bereketli Satış'!J:AK,32,0))</f>
        <v>#N/A</v>
      </c>
      <c r="Q553" s="9"/>
      <c r="R553" s="9"/>
    </row>
    <row r="554" spans="1:18">
      <c r="A554" s="8" t="s">
        <v>14</v>
      </c>
      <c r="B554" s="8" t="s">
        <v>15</v>
      </c>
      <c r="C554" s="8" t="s">
        <v>63</v>
      </c>
      <c r="D554" s="8">
        <v>815.44</v>
      </c>
      <c r="E554" s="8">
        <v>105</v>
      </c>
      <c r="F554" s="1">
        <v>4</v>
      </c>
      <c r="G554" s="1" t="str">
        <f t="shared" si="8"/>
        <v>ILICABOĞAZI1054</v>
      </c>
      <c r="H554" s="1"/>
      <c r="I554" s="9" t="e">
        <f>IF(VLOOKUP(G554,'Bereketli Satış'!J:AK,5,0)="","",VLOOKUP(G554,'Bereketli Satış'!J:AK,5,0))</f>
        <v>#N/A</v>
      </c>
      <c r="J554" s="9" t="e">
        <f>IF(VLOOKUP(G554,'Bereketli Satış'!J:AK,28,0)="","",VLOOKUP(G554,'Bereketli Satış'!J:AK,28,0))</f>
        <v>#N/A</v>
      </c>
      <c r="K554" s="9"/>
      <c r="L554" s="128"/>
      <c r="M554" s="100" t="e">
        <f>IF(VLOOKUP(G554,'Bereketli Satış'!J:AK,30,0)="","",VLOOKUP(G554,'Bereketli Satış'!J:AK,30,0))</f>
        <v>#N/A</v>
      </c>
      <c r="N554" s="9"/>
      <c r="O554" s="9"/>
      <c r="P554" s="9" t="e">
        <f>IF(VLOOKUP(G554,'Bereketli Satış'!J:AK,32,0)="","",VLOOKUP(G554,'Bereketli Satış'!J:AK,32,0))</f>
        <v>#N/A</v>
      </c>
      <c r="Q554" s="9"/>
      <c r="R554" s="9"/>
    </row>
    <row r="555" spans="1:18">
      <c r="A555" s="8" t="s">
        <v>14</v>
      </c>
      <c r="B555" s="8" t="s">
        <v>15</v>
      </c>
      <c r="C555" s="8" t="s">
        <v>63</v>
      </c>
      <c r="D555" s="8">
        <v>825.49</v>
      </c>
      <c r="E555" s="8">
        <v>105</v>
      </c>
      <c r="F555" s="1">
        <v>5</v>
      </c>
      <c r="G555" s="1" t="str">
        <f t="shared" si="8"/>
        <v>ILICABOĞAZI1055</v>
      </c>
      <c r="H555" s="1"/>
      <c r="I555" s="9" t="e">
        <f>IF(VLOOKUP(G555,'Bereketli Satış'!J:AK,5,0)="","",VLOOKUP(G555,'Bereketli Satış'!J:AK,5,0))</f>
        <v>#N/A</v>
      </c>
      <c r="J555" s="9" t="e">
        <f>IF(VLOOKUP(G555,'Bereketli Satış'!J:AK,28,0)="","",VLOOKUP(G555,'Bereketli Satış'!J:AK,28,0))</f>
        <v>#N/A</v>
      </c>
      <c r="K555" s="9"/>
      <c r="L555" s="128"/>
      <c r="M555" s="100" t="e">
        <f>IF(VLOOKUP(G555,'Bereketli Satış'!J:AK,30,0)="","",VLOOKUP(G555,'Bereketli Satış'!J:AK,30,0))</f>
        <v>#N/A</v>
      </c>
      <c r="N555" s="9"/>
      <c r="O555" s="9"/>
      <c r="P555" s="9" t="e">
        <f>IF(VLOOKUP(G555,'Bereketli Satış'!J:AK,32,0)="","",VLOOKUP(G555,'Bereketli Satış'!J:AK,32,0))</f>
        <v>#N/A</v>
      </c>
      <c r="Q555" s="9"/>
      <c r="R555" s="9"/>
    </row>
    <row r="556" spans="1:18">
      <c r="A556" s="8" t="s">
        <v>14</v>
      </c>
      <c r="B556" s="8" t="s">
        <v>15</v>
      </c>
      <c r="C556" s="8" t="s">
        <v>63</v>
      </c>
      <c r="D556" s="8">
        <v>716.39</v>
      </c>
      <c r="E556" s="8">
        <v>105</v>
      </c>
      <c r="F556" s="1">
        <v>9</v>
      </c>
      <c r="G556" s="1" t="str">
        <f t="shared" si="8"/>
        <v>ILICABOĞAZI1059</v>
      </c>
      <c r="H556" s="1"/>
      <c r="I556" s="9" t="e">
        <f>IF(VLOOKUP(G556,'Bereketli Satış'!J:AK,5,0)="","",VLOOKUP(G556,'Bereketli Satış'!J:AK,5,0))</f>
        <v>#N/A</v>
      </c>
      <c r="J556" s="9" t="e">
        <f>IF(VLOOKUP(G556,'Bereketli Satış'!J:AK,28,0)="","",VLOOKUP(G556,'Bereketli Satış'!J:AK,28,0))</f>
        <v>#N/A</v>
      </c>
      <c r="K556" s="9"/>
      <c r="L556" s="128"/>
      <c r="M556" s="100" t="e">
        <f>IF(VLOOKUP(G556,'Bereketli Satış'!J:AK,30,0)="","",VLOOKUP(G556,'Bereketli Satış'!J:AK,30,0))</f>
        <v>#N/A</v>
      </c>
      <c r="N556" s="9"/>
      <c r="O556" s="9"/>
      <c r="P556" s="9" t="e">
        <f>IF(VLOOKUP(G556,'Bereketli Satış'!J:AK,32,0)="","",VLOOKUP(G556,'Bereketli Satış'!J:AK,32,0))</f>
        <v>#N/A</v>
      </c>
      <c r="Q556" s="9"/>
      <c r="R556" s="9"/>
    </row>
    <row r="557" spans="1:18">
      <c r="A557" s="8" t="s">
        <v>14</v>
      </c>
      <c r="B557" s="8" t="s">
        <v>15</v>
      </c>
      <c r="C557" s="8" t="s">
        <v>63</v>
      </c>
      <c r="D557" s="8">
        <v>838.79</v>
      </c>
      <c r="E557" s="8">
        <v>105</v>
      </c>
      <c r="F557" s="1">
        <v>10</v>
      </c>
      <c r="G557" s="1" t="str">
        <f t="shared" si="8"/>
        <v>ILICABOĞAZI10510</v>
      </c>
      <c r="H557" s="1"/>
      <c r="I557" s="9" t="e">
        <f>IF(VLOOKUP(G557,'Bereketli Satış'!J:AK,5,0)="","",VLOOKUP(G557,'Bereketli Satış'!J:AK,5,0))</f>
        <v>#N/A</v>
      </c>
      <c r="J557" s="9" t="e">
        <f>IF(VLOOKUP(G557,'Bereketli Satış'!J:AK,28,0)="","",VLOOKUP(G557,'Bereketli Satış'!J:AK,28,0))</f>
        <v>#N/A</v>
      </c>
      <c r="K557" s="9"/>
      <c r="L557" s="128"/>
      <c r="M557" s="100" t="e">
        <f>IF(VLOOKUP(G557,'Bereketli Satış'!J:AK,30,0)="","",VLOOKUP(G557,'Bereketli Satış'!J:AK,30,0))</f>
        <v>#N/A</v>
      </c>
      <c r="N557" s="9"/>
      <c r="O557" s="9"/>
      <c r="P557" s="9" t="e">
        <f>IF(VLOOKUP(G557,'Bereketli Satış'!J:AK,32,0)="","",VLOOKUP(G557,'Bereketli Satış'!J:AK,32,0))</f>
        <v>#N/A</v>
      </c>
      <c r="Q557" s="9"/>
      <c r="R557" s="9"/>
    </row>
    <row r="558" spans="1:18">
      <c r="A558" s="8" t="s">
        <v>14</v>
      </c>
      <c r="B558" s="8" t="s">
        <v>15</v>
      </c>
      <c r="C558" s="8" t="s">
        <v>63</v>
      </c>
      <c r="D558" s="8">
        <v>877.23</v>
      </c>
      <c r="E558" s="8">
        <v>105</v>
      </c>
      <c r="F558" s="1">
        <v>12</v>
      </c>
      <c r="G558" s="1" t="str">
        <f t="shared" si="8"/>
        <v>ILICABOĞAZI10512</v>
      </c>
      <c r="H558" s="1"/>
      <c r="I558" s="9" t="e">
        <f>IF(VLOOKUP(G558,'Bereketli Satış'!J:AK,5,0)="","",VLOOKUP(G558,'Bereketli Satış'!J:AK,5,0))</f>
        <v>#N/A</v>
      </c>
      <c r="J558" s="9" t="e">
        <f>IF(VLOOKUP(G558,'Bereketli Satış'!J:AK,28,0)="","",VLOOKUP(G558,'Bereketli Satış'!J:AK,28,0))</f>
        <v>#N/A</v>
      </c>
      <c r="K558" s="9"/>
      <c r="L558" s="128"/>
      <c r="M558" s="100" t="e">
        <f>IF(VLOOKUP(G558,'Bereketli Satış'!J:AK,30,0)="","",VLOOKUP(G558,'Bereketli Satış'!J:AK,30,0))</f>
        <v>#N/A</v>
      </c>
      <c r="N558" s="9"/>
      <c r="O558" s="9"/>
      <c r="P558" s="9" t="e">
        <f>IF(VLOOKUP(G558,'Bereketli Satış'!J:AK,32,0)="","",VLOOKUP(G558,'Bereketli Satış'!J:AK,32,0))</f>
        <v>#N/A</v>
      </c>
      <c r="Q558" s="9"/>
      <c r="R558" s="9"/>
    </row>
    <row r="559" spans="1:18">
      <c r="A559" s="8" t="s">
        <v>14</v>
      </c>
      <c r="B559" s="8" t="s">
        <v>15</v>
      </c>
      <c r="C559" s="8" t="s">
        <v>63</v>
      </c>
      <c r="D559" s="8">
        <v>835</v>
      </c>
      <c r="E559" s="8">
        <v>105</v>
      </c>
      <c r="F559" s="1">
        <v>13</v>
      </c>
      <c r="G559" s="1" t="str">
        <f t="shared" si="8"/>
        <v>ILICABOĞAZI10513</v>
      </c>
      <c r="H559" s="1"/>
      <c r="I559" s="9" t="e">
        <f>IF(VLOOKUP(G559,'Bereketli Satış'!J:AK,5,0)="","",VLOOKUP(G559,'Bereketli Satış'!J:AK,5,0))</f>
        <v>#N/A</v>
      </c>
      <c r="J559" s="9" t="e">
        <f>IF(VLOOKUP(G559,'Bereketli Satış'!J:AK,28,0)="","",VLOOKUP(G559,'Bereketli Satış'!J:AK,28,0))</f>
        <v>#N/A</v>
      </c>
      <c r="K559" s="9"/>
      <c r="L559" s="128"/>
      <c r="M559" s="100" t="e">
        <f>IF(VLOOKUP(G559,'Bereketli Satış'!J:AK,30,0)="","",VLOOKUP(G559,'Bereketli Satış'!J:AK,30,0))</f>
        <v>#N/A</v>
      </c>
      <c r="N559" s="9"/>
      <c r="O559" s="9"/>
      <c r="P559" s="9" t="e">
        <f>IF(VLOOKUP(G559,'Bereketli Satış'!J:AK,32,0)="","",VLOOKUP(G559,'Bereketli Satış'!J:AK,32,0))</f>
        <v>#N/A</v>
      </c>
      <c r="Q559" s="9"/>
      <c r="R559" s="9"/>
    </row>
    <row r="560" spans="1:18">
      <c r="A560" s="8" t="s">
        <v>14</v>
      </c>
      <c r="B560" s="8" t="s">
        <v>15</v>
      </c>
      <c r="C560" s="8" t="s">
        <v>63</v>
      </c>
      <c r="D560" s="8">
        <v>835.7</v>
      </c>
      <c r="E560" s="8">
        <v>105</v>
      </c>
      <c r="F560" s="1">
        <v>14</v>
      </c>
      <c r="G560" s="1" t="str">
        <f t="shared" si="8"/>
        <v>ILICABOĞAZI10514</v>
      </c>
      <c r="H560" s="1"/>
      <c r="I560" s="9" t="e">
        <f>IF(VLOOKUP(G560,'Bereketli Satış'!J:AK,5,0)="","",VLOOKUP(G560,'Bereketli Satış'!J:AK,5,0))</f>
        <v>#N/A</v>
      </c>
      <c r="J560" s="9" t="e">
        <f>IF(VLOOKUP(G560,'Bereketli Satış'!J:AK,28,0)="","",VLOOKUP(G560,'Bereketli Satış'!J:AK,28,0))</f>
        <v>#N/A</v>
      </c>
      <c r="K560" s="9"/>
      <c r="L560" s="128"/>
      <c r="M560" s="100" t="e">
        <f>IF(VLOOKUP(G560,'Bereketli Satış'!J:AK,30,0)="","",VLOOKUP(G560,'Bereketli Satış'!J:AK,30,0))</f>
        <v>#N/A</v>
      </c>
      <c r="N560" s="9"/>
      <c r="O560" s="9"/>
      <c r="P560" s="9" t="e">
        <f>IF(VLOOKUP(G560,'Bereketli Satış'!J:AK,32,0)="","",VLOOKUP(G560,'Bereketli Satış'!J:AK,32,0))</f>
        <v>#N/A</v>
      </c>
      <c r="Q560" s="9"/>
      <c r="R560" s="9"/>
    </row>
    <row r="561" spans="1:18">
      <c r="A561" s="8" t="s">
        <v>14</v>
      </c>
      <c r="B561" s="8" t="s">
        <v>15</v>
      </c>
      <c r="C561" s="8" t="s">
        <v>63</v>
      </c>
      <c r="D561" s="8">
        <v>655.34</v>
      </c>
      <c r="E561" s="8">
        <v>104</v>
      </c>
      <c r="F561" s="1">
        <v>2</v>
      </c>
      <c r="G561" s="1" t="str">
        <f t="shared" si="8"/>
        <v>ILICABOĞAZI1042</v>
      </c>
      <c r="H561" s="1"/>
      <c r="I561" s="9" t="e">
        <f>IF(VLOOKUP(G561,'Bereketli Satış'!J:AK,5,0)="","",VLOOKUP(G561,'Bereketli Satış'!J:AK,5,0))</f>
        <v>#N/A</v>
      </c>
      <c r="J561" s="9" t="e">
        <f>IF(VLOOKUP(G561,'Bereketli Satış'!J:AK,28,0)="","",VLOOKUP(G561,'Bereketli Satış'!J:AK,28,0))</f>
        <v>#N/A</v>
      </c>
      <c r="K561" s="9"/>
      <c r="L561" s="128"/>
      <c r="M561" s="100" t="e">
        <f>IF(VLOOKUP(G561,'Bereketli Satış'!J:AK,30,0)="","",VLOOKUP(G561,'Bereketli Satış'!J:AK,30,0))</f>
        <v>#N/A</v>
      </c>
      <c r="N561" s="9"/>
      <c r="O561" s="9"/>
      <c r="P561" s="9" t="e">
        <f>IF(VLOOKUP(G561,'Bereketli Satış'!J:AK,32,0)="","",VLOOKUP(G561,'Bereketli Satış'!J:AK,32,0))</f>
        <v>#N/A</v>
      </c>
      <c r="Q561" s="9"/>
      <c r="R561" s="9"/>
    </row>
    <row r="562" spans="1:18">
      <c r="A562" s="8" t="s">
        <v>14</v>
      </c>
      <c r="B562" s="8" t="s">
        <v>15</v>
      </c>
      <c r="C562" s="8" t="s">
        <v>63</v>
      </c>
      <c r="D562" s="8">
        <v>876.54</v>
      </c>
      <c r="E562" s="8">
        <v>105</v>
      </c>
      <c r="F562" s="1">
        <v>11</v>
      </c>
      <c r="G562" s="1" t="str">
        <f t="shared" si="8"/>
        <v>ILICABOĞAZI10511</v>
      </c>
      <c r="H562" s="1"/>
      <c r="I562" s="9" t="e">
        <f>IF(VLOOKUP(G562,'Bereketli Satış'!J:AK,5,0)="","",VLOOKUP(G562,'Bereketli Satış'!J:AK,5,0))</f>
        <v>#N/A</v>
      </c>
      <c r="J562" s="9" t="e">
        <f>IF(VLOOKUP(G562,'Bereketli Satış'!J:AK,28,0)="","",VLOOKUP(G562,'Bereketli Satış'!J:AK,28,0))</f>
        <v>#N/A</v>
      </c>
      <c r="K562" s="9"/>
      <c r="L562" s="128"/>
      <c r="M562" s="100" t="e">
        <f>IF(VLOOKUP(G562,'Bereketli Satış'!J:AK,30,0)="","",VLOOKUP(G562,'Bereketli Satış'!J:AK,30,0))</f>
        <v>#N/A</v>
      </c>
      <c r="N562" s="9"/>
      <c r="O562" s="9"/>
      <c r="P562" s="9" t="e">
        <f>IF(VLOOKUP(G562,'Bereketli Satış'!J:AK,32,0)="","",VLOOKUP(G562,'Bereketli Satış'!J:AK,32,0))</f>
        <v>#N/A</v>
      </c>
      <c r="Q562" s="9"/>
      <c r="R562" s="9"/>
    </row>
    <row r="563" spans="1:18">
      <c r="A563" s="8" t="s">
        <v>14</v>
      </c>
      <c r="B563" s="8" t="s">
        <v>15</v>
      </c>
      <c r="C563" s="8" t="s">
        <v>63</v>
      </c>
      <c r="D563" s="13">
        <v>257.87</v>
      </c>
      <c r="E563" s="8">
        <v>104</v>
      </c>
      <c r="F563" s="1">
        <v>11</v>
      </c>
      <c r="G563" s="1" t="str">
        <f t="shared" si="8"/>
        <v>ILICABOĞAZI10411</v>
      </c>
      <c r="H563" s="1"/>
      <c r="I563" s="9" t="e">
        <f>IF(VLOOKUP(G563,'Bereketli Satış'!J:AK,5,0)="","",VLOOKUP(G563,'Bereketli Satış'!J:AK,5,0))</f>
        <v>#N/A</v>
      </c>
      <c r="J563" s="9" t="e">
        <f>IF(VLOOKUP(G563,'Bereketli Satış'!J:AK,28,0)="","",VLOOKUP(G563,'Bereketli Satış'!J:AK,28,0))</f>
        <v>#N/A</v>
      </c>
      <c r="K563" s="9"/>
      <c r="L563" s="128"/>
      <c r="M563" s="100" t="e">
        <f>IF(VLOOKUP(G563,'Bereketli Satış'!J:AK,30,0)="","",VLOOKUP(G563,'Bereketli Satış'!J:AK,30,0))</f>
        <v>#N/A</v>
      </c>
      <c r="N563" s="9"/>
      <c r="O563" s="9"/>
      <c r="P563" s="9" t="e">
        <f>IF(VLOOKUP(G563,'Bereketli Satış'!J:AK,32,0)="","",VLOOKUP(G563,'Bereketli Satış'!J:AK,32,0))</f>
        <v>#N/A</v>
      </c>
      <c r="Q563" s="9"/>
      <c r="R563" s="9"/>
    </row>
    <row r="564" spans="1:18">
      <c r="A564" s="8" t="s">
        <v>14</v>
      </c>
      <c r="B564" s="8" t="s">
        <v>15</v>
      </c>
      <c r="C564" s="8" t="s">
        <v>63</v>
      </c>
      <c r="D564" s="13">
        <v>486.59</v>
      </c>
      <c r="E564" s="8">
        <v>104</v>
      </c>
      <c r="F564" s="1">
        <v>12</v>
      </c>
      <c r="G564" s="1" t="str">
        <f t="shared" si="8"/>
        <v>ILICABOĞAZI10412</v>
      </c>
      <c r="H564" s="1"/>
      <c r="I564" s="9" t="e">
        <f>IF(VLOOKUP(G564,'Bereketli Satış'!J:AK,5,0)="","",VLOOKUP(G564,'Bereketli Satış'!J:AK,5,0))</f>
        <v>#N/A</v>
      </c>
      <c r="J564" s="9" t="e">
        <f>IF(VLOOKUP(G564,'Bereketli Satış'!J:AK,28,0)="","",VLOOKUP(G564,'Bereketli Satış'!J:AK,28,0))</f>
        <v>#N/A</v>
      </c>
      <c r="K564" s="9"/>
      <c r="L564" s="128"/>
      <c r="M564" s="100" t="e">
        <f>IF(VLOOKUP(G564,'Bereketli Satış'!J:AK,30,0)="","",VLOOKUP(G564,'Bereketli Satış'!J:AK,30,0))</f>
        <v>#N/A</v>
      </c>
      <c r="N564" s="9"/>
      <c r="O564" s="9"/>
      <c r="P564" s="9" t="e">
        <f>IF(VLOOKUP(G564,'Bereketli Satış'!J:AK,32,0)="","",VLOOKUP(G564,'Bereketli Satış'!J:AK,32,0))</f>
        <v>#N/A</v>
      </c>
      <c r="Q564" s="9"/>
      <c r="R564" s="9"/>
    </row>
    <row r="565" spans="1:18">
      <c r="A565" s="8" t="s">
        <v>14</v>
      </c>
      <c r="B565" s="8" t="s">
        <v>15</v>
      </c>
      <c r="C565" s="8" t="s">
        <v>63</v>
      </c>
      <c r="D565" s="13">
        <v>554.84</v>
      </c>
      <c r="E565" s="8">
        <v>105</v>
      </c>
      <c r="F565" s="1">
        <v>19</v>
      </c>
      <c r="G565" s="1" t="str">
        <f t="shared" si="8"/>
        <v>ILICABOĞAZI10519</v>
      </c>
      <c r="H565" s="1"/>
      <c r="I565" s="9" t="e">
        <f>IF(VLOOKUP(G565,'Bereketli Satış'!J:AK,5,0)="","",VLOOKUP(G565,'Bereketli Satış'!J:AK,5,0))</f>
        <v>#N/A</v>
      </c>
      <c r="J565" s="9" t="e">
        <f>IF(VLOOKUP(G565,'Bereketli Satış'!J:AK,28,0)="","",VLOOKUP(G565,'Bereketli Satış'!J:AK,28,0))</f>
        <v>#N/A</v>
      </c>
      <c r="K565" s="9"/>
      <c r="L565" s="128"/>
      <c r="M565" s="100" t="e">
        <f>IF(VLOOKUP(G565,'Bereketli Satış'!J:AK,30,0)="","",VLOOKUP(G565,'Bereketli Satış'!J:AK,30,0))</f>
        <v>#N/A</v>
      </c>
      <c r="N565" s="9"/>
      <c r="O565" s="9"/>
      <c r="P565" s="9" t="e">
        <f>IF(VLOOKUP(G565,'Bereketli Satış'!J:AK,32,0)="","",VLOOKUP(G565,'Bereketli Satış'!J:AK,32,0))</f>
        <v>#N/A</v>
      </c>
      <c r="Q565" s="9"/>
      <c r="R565" s="9"/>
    </row>
    <row r="566" spans="1:18">
      <c r="A566" s="8" t="s">
        <v>14</v>
      </c>
      <c r="B566" s="8" t="s">
        <v>15</v>
      </c>
      <c r="C566" s="8" t="s">
        <v>63</v>
      </c>
      <c r="D566" s="13">
        <v>554.84</v>
      </c>
      <c r="E566" s="8">
        <v>105</v>
      </c>
      <c r="F566" s="1">
        <v>20</v>
      </c>
      <c r="G566" s="1" t="str">
        <f t="shared" si="8"/>
        <v>ILICABOĞAZI10520</v>
      </c>
      <c r="H566" s="1"/>
      <c r="I566" s="9" t="e">
        <f>IF(VLOOKUP(G566,'Bereketli Satış'!J:AK,5,0)="","",VLOOKUP(G566,'Bereketli Satış'!J:AK,5,0))</f>
        <v>#N/A</v>
      </c>
      <c r="J566" s="9" t="e">
        <f>IF(VLOOKUP(G566,'Bereketli Satış'!J:AK,28,0)="","",VLOOKUP(G566,'Bereketli Satış'!J:AK,28,0))</f>
        <v>#N/A</v>
      </c>
      <c r="K566" s="9"/>
      <c r="L566" s="128"/>
      <c r="M566" s="100" t="e">
        <f>IF(VLOOKUP(G566,'Bereketli Satış'!J:AK,30,0)="","",VLOOKUP(G566,'Bereketli Satış'!J:AK,30,0))</f>
        <v>#N/A</v>
      </c>
      <c r="N566" s="9"/>
      <c r="O566" s="9"/>
      <c r="P566" s="9" t="e">
        <f>IF(VLOOKUP(G566,'Bereketli Satış'!J:AK,32,0)="","",VLOOKUP(G566,'Bereketli Satış'!J:AK,32,0))</f>
        <v>#N/A</v>
      </c>
      <c r="Q566" s="9"/>
      <c r="R566" s="9"/>
    </row>
    <row r="567" spans="1:18">
      <c r="A567" s="8" t="s">
        <v>14</v>
      </c>
      <c r="B567" s="8" t="s">
        <v>15</v>
      </c>
      <c r="C567" s="8" t="s">
        <v>63</v>
      </c>
      <c r="D567" s="13">
        <v>554.85</v>
      </c>
      <c r="E567" s="8">
        <v>105</v>
      </c>
      <c r="F567" s="1">
        <v>21</v>
      </c>
      <c r="G567" s="1" t="str">
        <f t="shared" si="8"/>
        <v>ILICABOĞAZI10521</v>
      </c>
      <c r="H567" s="1"/>
      <c r="I567" s="9" t="e">
        <f>IF(VLOOKUP(G567,'Bereketli Satış'!J:AK,5,0)="","",VLOOKUP(G567,'Bereketli Satış'!J:AK,5,0))</f>
        <v>#N/A</v>
      </c>
      <c r="J567" s="9" t="e">
        <f>IF(VLOOKUP(G567,'Bereketli Satış'!J:AK,28,0)="","",VLOOKUP(G567,'Bereketli Satış'!J:AK,28,0))</f>
        <v>#N/A</v>
      </c>
      <c r="K567" s="9"/>
      <c r="L567" s="128"/>
      <c r="M567" s="100" t="e">
        <f>IF(VLOOKUP(G567,'Bereketli Satış'!J:AK,30,0)="","",VLOOKUP(G567,'Bereketli Satış'!J:AK,30,0))</f>
        <v>#N/A</v>
      </c>
      <c r="N567" s="9"/>
      <c r="O567" s="9"/>
      <c r="P567" s="9" t="e">
        <f>IF(VLOOKUP(G567,'Bereketli Satış'!J:AK,32,0)="","",VLOOKUP(G567,'Bereketli Satış'!J:AK,32,0))</f>
        <v>#N/A</v>
      </c>
      <c r="Q567" s="9"/>
      <c r="R567" s="9"/>
    </row>
    <row r="568" spans="1:18">
      <c r="A568" s="8" t="s">
        <v>14</v>
      </c>
      <c r="B568" s="8" t="s">
        <v>15</v>
      </c>
      <c r="C568" s="8" t="s">
        <v>63</v>
      </c>
      <c r="D568" s="8">
        <v>429.83</v>
      </c>
      <c r="E568" s="8">
        <v>105</v>
      </c>
      <c r="F568" s="1">
        <v>38</v>
      </c>
      <c r="G568" s="1" t="str">
        <f t="shared" si="8"/>
        <v>ILICABOĞAZI10538</v>
      </c>
      <c r="H568" s="1"/>
      <c r="I568" s="9" t="e">
        <f>IF(VLOOKUP(G568,'Bereketli Satış'!J:AK,5,0)="","",VLOOKUP(G568,'Bereketli Satış'!J:AK,5,0))</f>
        <v>#N/A</v>
      </c>
      <c r="J568" s="9" t="e">
        <f>IF(VLOOKUP(G568,'Bereketli Satış'!J:AK,28,0)="","",VLOOKUP(G568,'Bereketli Satış'!J:AK,28,0))</f>
        <v>#N/A</v>
      </c>
      <c r="K568" s="9"/>
      <c r="L568" s="128"/>
      <c r="M568" s="100" t="e">
        <f>IF(VLOOKUP(G568,'Bereketli Satış'!J:AK,30,0)="","",VLOOKUP(G568,'Bereketli Satış'!J:AK,30,0))</f>
        <v>#N/A</v>
      </c>
      <c r="N568" s="9"/>
      <c r="O568" s="9"/>
      <c r="P568" s="9" t="e">
        <f>IF(VLOOKUP(G568,'Bereketli Satış'!J:AK,32,0)="","",VLOOKUP(G568,'Bereketli Satış'!J:AK,32,0))</f>
        <v>#N/A</v>
      </c>
      <c r="Q568" s="9"/>
      <c r="R568" s="9"/>
    </row>
    <row r="569" spans="1:18">
      <c r="A569" s="8" t="s">
        <v>14</v>
      </c>
      <c r="B569" s="8" t="s">
        <v>15</v>
      </c>
      <c r="C569" s="8" t="s">
        <v>63</v>
      </c>
      <c r="D569" s="8">
        <v>429.83</v>
      </c>
      <c r="E569" s="8">
        <v>105</v>
      </c>
      <c r="F569" s="1">
        <v>39</v>
      </c>
      <c r="G569" s="1" t="str">
        <f t="shared" si="8"/>
        <v>ILICABOĞAZI10539</v>
      </c>
      <c r="H569" s="1"/>
      <c r="I569" s="9" t="e">
        <f>IF(VLOOKUP(G569,'Bereketli Satış'!J:AK,5,0)="","",VLOOKUP(G569,'Bereketli Satış'!J:AK,5,0))</f>
        <v>#N/A</v>
      </c>
      <c r="J569" s="9" t="e">
        <f>IF(VLOOKUP(G569,'Bereketli Satış'!J:AK,28,0)="","",VLOOKUP(G569,'Bereketli Satış'!J:AK,28,0))</f>
        <v>#N/A</v>
      </c>
      <c r="K569" s="9"/>
      <c r="L569" s="128"/>
      <c r="M569" s="100" t="e">
        <f>IF(VLOOKUP(G569,'Bereketli Satış'!J:AK,30,0)="","",VLOOKUP(G569,'Bereketli Satış'!J:AK,30,0))</f>
        <v>#N/A</v>
      </c>
      <c r="N569" s="9"/>
      <c r="O569" s="9"/>
      <c r="P569" s="9" t="e">
        <f>IF(VLOOKUP(G569,'Bereketli Satış'!J:AK,32,0)="","",VLOOKUP(G569,'Bereketli Satış'!J:AK,32,0))</f>
        <v>#N/A</v>
      </c>
      <c r="Q569" s="9"/>
      <c r="R569" s="9"/>
    </row>
    <row r="570" spans="1:18">
      <c r="A570" s="8" t="s">
        <v>14</v>
      </c>
      <c r="B570" s="8" t="s">
        <v>15</v>
      </c>
      <c r="C570" s="8" t="s">
        <v>63</v>
      </c>
      <c r="D570" s="8" t="s">
        <v>96</v>
      </c>
      <c r="E570" s="8">
        <v>109</v>
      </c>
      <c r="F570" s="1">
        <v>4</v>
      </c>
      <c r="G570" s="1" t="str">
        <f t="shared" si="8"/>
        <v>ILICABOĞAZI1094</v>
      </c>
      <c r="H570" s="1"/>
      <c r="I570" s="9" t="e">
        <f>IF(VLOOKUP(G570,'Bereketli Satış'!J:AK,5,0)="","",VLOOKUP(G570,'Bereketli Satış'!J:AK,5,0))</f>
        <v>#N/A</v>
      </c>
      <c r="J570" s="9" t="e">
        <f>IF(VLOOKUP(G570,'Bereketli Satış'!J:AK,28,0)="","",VLOOKUP(G570,'Bereketli Satış'!J:AK,28,0))</f>
        <v>#N/A</v>
      </c>
      <c r="K570" s="9"/>
      <c r="L570" s="128"/>
      <c r="M570" s="100" t="e">
        <f>IF(VLOOKUP(G570,'Bereketli Satış'!J:AK,30,0)="","",VLOOKUP(G570,'Bereketli Satış'!J:AK,30,0))</f>
        <v>#N/A</v>
      </c>
      <c r="N570" s="9"/>
      <c r="O570" s="9"/>
      <c r="P570" s="9" t="e">
        <f>IF(VLOOKUP(G570,'Bereketli Satış'!J:AK,32,0)="","",VLOOKUP(G570,'Bereketli Satış'!J:AK,32,0))</f>
        <v>#N/A</v>
      </c>
      <c r="Q570" s="9"/>
      <c r="R570" s="9"/>
    </row>
    <row r="571" spans="1:18">
      <c r="A571" s="8" t="s">
        <v>14</v>
      </c>
      <c r="B571" s="8" t="s">
        <v>15</v>
      </c>
      <c r="C571" s="8" t="s">
        <v>63</v>
      </c>
      <c r="D571" s="8" t="s">
        <v>97</v>
      </c>
      <c r="E571" s="8">
        <v>109</v>
      </c>
      <c r="F571" s="1">
        <v>5</v>
      </c>
      <c r="G571" s="1" t="str">
        <f t="shared" si="8"/>
        <v>ILICABOĞAZI1095</v>
      </c>
      <c r="H571" s="1"/>
      <c r="I571" s="9" t="e">
        <f>IF(VLOOKUP(G571,'Bereketli Satış'!J:AK,5,0)="","",VLOOKUP(G571,'Bereketli Satış'!J:AK,5,0))</f>
        <v>#N/A</v>
      </c>
      <c r="J571" s="9" t="e">
        <f>IF(VLOOKUP(G571,'Bereketli Satış'!J:AK,28,0)="","",VLOOKUP(G571,'Bereketli Satış'!J:AK,28,0))</f>
        <v>#N/A</v>
      </c>
      <c r="K571" s="9"/>
      <c r="L571" s="128"/>
      <c r="M571" s="100" t="e">
        <f>IF(VLOOKUP(G571,'Bereketli Satış'!J:AK,30,0)="","",VLOOKUP(G571,'Bereketli Satış'!J:AK,30,0))</f>
        <v>#N/A</v>
      </c>
      <c r="N571" s="9"/>
      <c r="O571" s="9"/>
      <c r="P571" s="9" t="e">
        <f>IF(VLOOKUP(G571,'Bereketli Satış'!J:AK,32,0)="","",VLOOKUP(G571,'Bereketli Satış'!J:AK,32,0))</f>
        <v>#N/A</v>
      </c>
      <c r="Q571" s="9"/>
      <c r="R571" s="9"/>
    </row>
    <row r="572" spans="1:18">
      <c r="A572" s="8" t="s">
        <v>14</v>
      </c>
      <c r="B572" s="8" t="s">
        <v>15</v>
      </c>
      <c r="C572" s="8" t="s">
        <v>63</v>
      </c>
      <c r="D572" s="8" t="s">
        <v>98</v>
      </c>
      <c r="E572" s="8">
        <v>109</v>
      </c>
      <c r="F572" s="1">
        <v>6</v>
      </c>
      <c r="G572" s="1" t="str">
        <f t="shared" si="8"/>
        <v>ILICABOĞAZI1096</v>
      </c>
      <c r="H572" s="1"/>
      <c r="I572" s="9" t="e">
        <f>IF(VLOOKUP(G572,'Bereketli Satış'!J:AK,5,0)="","",VLOOKUP(G572,'Bereketli Satış'!J:AK,5,0))</f>
        <v>#N/A</v>
      </c>
      <c r="J572" s="9" t="e">
        <f>IF(VLOOKUP(G572,'Bereketli Satış'!J:AK,28,0)="","",VLOOKUP(G572,'Bereketli Satış'!J:AK,28,0))</f>
        <v>#N/A</v>
      </c>
      <c r="K572" s="9"/>
      <c r="L572" s="128"/>
      <c r="M572" s="100" t="e">
        <f>IF(VLOOKUP(G572,'Bereketli Satış'!J:AK,30,0)="","",VLOOKUP(G572,'Bereketli Satış'!J:AK,30,0))</f>
        <v>#N/A</v>
      </c>
      <c r="N572" s="9"/>
      <c r="O572" s="9"/>
      <c r="P572" s="9" t="e">
        <f>IF(VLOOKUP(G572,'Bereketli Satış'!J:AK,32,0)="","",VLOOKUP(G572,'Bereketli Satış'!J:AK,32,0))</f>
        <v>#N/A</v>
      </c>
      <c r="Q572" s="9"/>
      <c r="R572" s="9"/>
    </row>
    <row r="573" spans="1:18">
      <c r="A573" s="8" t="s">
        <v>14</v>
      </c>
      <c r="B573" s="8" t="s">
        <v>15</v>
      </c>
      <c r="C573" s="8" t="s">
        <v>63</v>
      </c>
      <c r="D573" s="8" t="s">
        <v>99</v>
      </c>
      <c r="E573" s="8">
        <v>109</v>
      </c>
      <c r="F573" s="1">
        <v>7</v>
      </c>
      <c r="G573" s="1" t="str">
        <f t="shared" si="8"/>
        <v>ILICABOĞAZI1097</v>
      </c>
      <c r="H573" s="1"/>
      <c r="I573" s="9" t="e">
        <f>IF(VLOOKUP(G573,'Bereketli Satış'!J:AK,5,0)="","",VLOOKUP(G573,'Bereketli Satış'!J:AK,5,0))</f>
        <v>#N/A</v>
      </c>
      <c r="J573" s="9" t="e">
        <f>IF(VLOOKUP(G573,'Bereketli Satış'!J:AK,28,0)="","",VLOOKUP(G573,'Bereketli Satış'!J:AK,28,0))</f>
        <v>#N/A</v>
      </c>
      <c r="K573" s="9"/>
      <c r="L573" s="128"/>
      <c r="M573" s="100" t="e">
        <f>IF(VLOOKUP(G573,'Bereketli Satış'!J:AK,30,0)="","",VLOOKUP(G573,'Bereketli Satış'!J:AK,30,0))</f>
        <v>#N/A</v>
      </c>
      <c r="N573" s="9"/>
      <c r="O573" s="9"/>
      <c r="P573" s="9" t="e">
        <f>IF(VLOOKUP(G573,'Bereketli Satış'!J:AK,32,0)="","",VLOOKUP(G573,'Bereketli Satış'!J:AK,32,0))</f>
        <v>#N/A</v>
      </c>
      <c r="Q573" s="9"/>
      <c r="R573" s="9"/>
    </row>
    <row r="574" spans="1:18">
      <c r="A574" s="8" t="s">
        <v>14</v>
      </c>
      <c r="B574" s="8" t="s">
        <v>15</v>
      </c>
      <c r="C574" s="8" t="s">
        <v>63</v>
      </c>
      <c r="D574" s="8" t="s">
        <v>100</v>
      </c>
      <c r="E574" s="8">
        <v>109</v>
      </c>
      <c r="F574" s="1">
        <v>8</v>
      </c>
      <c r="G574" s="1" t="str">
        <f t="shared" si="8"/>
        <v>ILICABOĞAZI1098</v>
      </c>
      <c r="H574" s="1"/>
      <c r="I574" s="9" t="e">
        <f>IF(VLOOKUP(G574,'Bereketli Satış'!J:AK,5,0)="","",VLOOKUP(G574,'Bereketli Satış'!J:AK,5,0))</f>
        <v>#N/A</v>
      </c>
      <c r="J574" s="9" t="e">
        <f>IF(VLOOKUP(G574,'Bereketli Satış'!J:AK,28,0)="","",VLOOKUP(G574,'Bereketli Satış'!J:AK,28,0))</f>
        <v>#N/A</v>
      </c>
      <c r="K574" s="9"/>
      <c r="L574" s="128"/>
      <c r="M574" s="100" t="e">
        <f>IF(VLOOKUP(G574,'Bereketli Satış'!J:AK,30,0)="","",VLOOKUP(G574,'Bereketli Satış'!J:AK,30,0))</f>
        <v>#N/A</v>
      </c>
      <c r="N574" s="100"/>
      <c r="O574" s="100"/>
      <c r="P574" s="9" t="e">
        <f>IF(VLOOKUP(G574,'Bereketli Satış'!J:AK,32,0)="","",VLOOKUP(G574,'Bereketli Satış'!J:AK,32,0))</f>
        <v>#N/A</v>
      </c>
      <c r="Q574" s="100"/>
      <c r="R574" s="100"/>
    </row>
    <row r="575" spans="1:18">
      <c r="A575" s="8" t="s">
        <v>14</v>
      </c>
      <c r="B575" s="8" t="s">
        <v>33</v>
      </c>
      <c r="C575" s="8" t="s">
        <v>42</v>
      </c>
      <c r="D575" s="8">
        <v>610</v>
      </c>
      <c r="E575" s="18">
        <v>111</v>
      </c>
      <c r="F575" s="8">
        <v>8</v>
      </c>
      <c r="G575" s="1" t="str">
        <f t="shared" si="8"/>
        <v>İBİLLER1118</v>
      </c>
      <c r="H575" s="8"/>
      <c r="I575" s="9" t="e">
        <f>IF(VLOOKUP(G575,'Bereketli Satış'!J:AK,5,0)="","",VLOOKUP(G575,'Bereketli Satış'!J:AK,5,0))</f>
        <v>#N/A</v>
      </c>
      <c r="J575" s="9" t="e">
        <f>IF(VLOOKUP(G575,'Bereketli Satış'!J:AK,28,0)="","",VLOOKUP(G575,'Bereketli Satış'!J:AK,28,0))</f>
        <v>#N/A</v>
      </c>
      <c r="K575" s="100"/>
      <c r="L575" s="128"/>
      <c r="M575" s="100" t="e">
        <f>IF(VLOOKUP(G575,'Bereketli Satış'!J:AK,30,0)="","",VLOOKUP(G575,'Bereketli Satış'!J:AK,30,0))</f>
        <v>#N/A</v>
      </c>
      <c r="N575" s="100"/>
      <c r="O575" s="100"/>
      <c r="P575" s="9" t="e">
        <f>IF(VLOOKUP(G575,'Bereketli Satış'!J:AK,32,0)="","",VLOOKUP(G575,'Bereketli Satış'!J:AK,32,0))</f>
        <v>#N/A</v>
      </c>
      <c r="Q575" s="100"/>
      <c r="R575" s="100"/>
    </row>
    <row r="576" spans="1:18">
      <c r="A576" s="8" t="s">
        <v>14</v>
      </c>
      <c r="B576" s="8" t="s">
        <v>33</v>
      </c>
      <c r="C576" s="8" t="s">
        <v>42</v>
      </c>
      <c r="D576" s="8">
        <v>755.01</v>
      </c>
      <c r="E576" s="18">
        <v>116</v>
      </c>
      <c r="F576" s="8">
        <v>1</v>
      </c>
      <c r="G576" s="1" t="str">
        <f t="shared" si="8"/>
        <v>İBİLLER1161</v>
      </c>
      <c r="H576" s="8"/>
      <c r="I576" s="9" t="e">
        <f>IF(VLOOKUP(G576,'Bereketli Satış'!J:AK,5,0)="","",VLOOKUP(G576,'Bereketli Satış'!J:AK,5,0))</f>
        <v>#N/A</v>
      </c>
      <c r="J576" s="9" t="e">
        <f>IF(VLOOKUP(G576,'Bereketli Satış'!J:AK,28,0)="","",VLOOKUP(G576,'Bereketli Satış'!J:AK,28,0))</f>
        <v>#N/A</v>
      </c>
      <c r="K576" s="100"/>
      <c r="L576" s="128"/>
      <c r="M576" s="100" t="e">
        <f>IF(VLOOKUP(G576,'Bereketli Satış'!J:AK,30,0)="","",VLOOKUP(G576,'Bereketli Satış'!J:AK,30,0))</f>
        <v>#N/A</v>
      </c>
      <c r="N576" s="100"/>
      <c r="O576" s="100"/>
      <c r="P576" s="9" t="e">
        <f>IF(VLOOKUP(G576,'Bereketli Satış'!J:AK,32,0)="","",VLOOKUP(G576,'Bereketli Satış'!J:AK,32,0))</f>
        <v>#N/A</v>
      </c>
      <c r="Q576" s="100"/>
      <c r="R576" s="100"/>
    </row>
    <row r="577" spans="1:18">
      <c r="A577" s="8" t="s">
        <v>14</v>
      </c>
      <c r="B577" s="8" t="s">
        <v>33</v>
      </c>
      <c r="C577" s="8" t="s">
        <v>42</v>
      </c>
      <c r="D577" s="8">
        <v>604.21</v>
      </c>
      <c r="E577" s="18">
        <v>117</v>
      </c>
      <c r="F577" s="8">
        <v>16</v>
      </c>
      <c r="G577" s="1" t="str">
        <f t="shared" si="8"/>
        <v>İBİLLER11716</v>
      </c>
      <c r="H577" s="8"/>
      <c r="I577" s="9" t="e">
        <f>IF(VLOOKUP(G577,'Bereketli Satış'!J:AK,5,0)="","",VLOOKUP(G577,'Bereketli Satış'!J:AK,5,0))</f>
        <v>#N/A</v>
      </c>
      <c r="J577" s="9" t="e">
        <f>IF(VLOOKUP(G577,'Bereketli Satış'!J:AK,28,0)="","",VLOOKUP(G577,'Bereketli Satış'!J:AK,28,0))</f>
        <v>#N/A</v>
      </c>
      <c r="K577" s="100"/>
      <c r="L577" s="128"/>
      <c r="M577" s="100" t="e">
        <f>IF(VLOOKUP(G577,'Bereketli Satış'!J:AK,30,0)="","",VLOOKUP(G577,'Bereketli Satış'!J:AK,30,0))</f>
        <v>#N/A</v>
      </c>
      <c r="N577" s="100"/>
      <c r="O577" s="100"/>
      <c r="P577" s="9" t="e">
        <f>IF(VLOOKUP(G577,'Bereketli Satış'!J:AK,32,0)="","",VLOOKUP(G577,'Bereketli Satış'!J:AK,32,0))</f>
        <v>#N/A</v>
      </c>
      <c r="Q577" s="100"/>
      <c r="R577" s="100"/>
    </row>
    <row r="578" spans="1:18">
      <c r="A578" s="8" t="s">
        <v>14</v>
      </c>
      <c r="B578" s="8" t="s">
        <v>33</v>
      </c>
      <c r="C578" s="8" t="s">
        <v>42</v>
      </c>
      <c r="D578" s="8">
        <v>635.70000000000005</v>
      </c>
      <c r="E578" s="8">
        <v>121</v>
      </c>
      <c r="F578" s="8">
        <v>5</v>
      </c>
      <c r="G578" s="1" t="str">
        <f t="shared" si="8"/>
        <v>İBİLLER1215</v>
      </c>
      <c r="H578" s="8"/>
      <c r="I578" s="9" t="e">
        <f>IF(VLOOKUP(G578,'Bereketli Satış'!J:AK,5,0)="","",VLOOKUP(G578,'Bereketli Satış'!J:AK,5,0))</f>
        <v>#N/A</v>
      </c>
      <c r="J578" s="9" t="e">
        <f>IF(VLOOKUP(G578,'Bereketli Satış'!J:AK,28,0)="","",VLOOKUP(G578,'Bereketli Satış'!J:AK,28,0))</f>
        <v>#N/A</v>
      </c>
      <c r="K578" s="100"/>
      <c r="L578" s="128"/>
      <c r="M578" s="100" t="e">
        <f>IF(VLOOKUP(G578,'Bereketli Satış'!J:AK,30,0)="","",VLOOKUP(G578,'Bereketli Satış'!J:AK,30,0))</f>
        <v>#N/A</v>
      </c>
      <c r="N578" s="100"/>
      <c r="O578" s="100"/>
      <c r="P578" s="9" t="e">
        <f>IF(VLOOKUP(G578,'Bereketli Satış'!J:AK,32,0)="","",VLOOKUP(G578,'Bereketli Satış'!J:AK,32,0))</f>
        <v>#N/A</v>
      </c>
      <c r="Q578" s="100"/>
      <c r="R578" s="100"/>
    </row>
    <row r="579" spans="1:18">
      <c r="A579" s="8" t="s">
        <v>14</v>
      </c>
      <c r="B579" s="8" t="s">
        <v>33</v>
      </c>
      <c r="C579" s="8" t="s">
        <v>42</v>
      </c>
      <c r="D579" s="8">
        <v>590.4</v>
      </c>
      <c r="E579" s="8">
        <v>121</v>
      </c>
      <c r="F579" s="8">
        <v>7</v>
      </c>
      <c r="G579" s="1" t="str">
        <f t="shared" ref="G579:G642" si="9">C579&amp;E579&amp;F579</f>
        <v>İBİLLER1217</v>
      </c>
      <c r="H579" s="8"/>
      <c r="I579" s="9" t="e">
        <f>IF(VLOOKUP(G579,'Bereketli Satış'!J:AK,5,0)="","",VLOOKUP(G579,'Bereketli Satış'!J:AK,5,0))</f>
        <v>#N/A</v>
      </c>
      <c r="J579" s="9" t="e">
        <f>IF(VLOOKUP(G579,'Bereketli Satış'!J:AK,28,0)="","",VLOOKUP(G579,'Bereketli Satış'!J:AK,28,0))</f>
        <v>#N/A</v>
      </c>
      <c r="K579" s="100"/>
      <c r="L579" s="128"/>
      <c r="M579" s="100" t="e">
        <f>IF(VLOOKUP(G579,'Bereketli Satış'!J:AK,30,0)="","",VLOOKUP(G579,'Bereketli Satış'!J:AK,30,0))</f>
        <v>#N/A</v>
      </c>
      <c r="N579" s="9"/>
      <c r="O579" s="9"/>
      <c r="P579" s="9" t="e">
        <f>IF(VLOOKUP(G579,'Bereketli Satış'!J:AK,32,0)="","",VLOOKUP(G579,'Bereketli Satış'!J:AK,32,0))</f>
        <v>#N/A</v>
      </c>
      <c r="Q579" s="9"/>
      <c r="R579" s="9"/>
    </row>
    <row r="580" spans="1:18">
      <c r="A580" s="8" t="s">
        <v>14</v>
      </c>
      <c r="B580" s="8" t="s">
        <v>33</v>
      </c>
      <c r="C580" s="8" t="s">
        <v>42</v>
      </c>
      <c r="D580" s="8">
        <v>322.83</v>
      </c>
      <c r="E580" s="8">
        <v>121</v>
      </c>
      <c r="F580" s="1">
        <v>8</v>
      </c>
      <c r="G580" s="1" t="str">
        <f t="shared" si="9"/>
        <v>İBİLLER1218</v>
      </c>
      <c r="H580" s="1"/>
      <c r="I580" s="9" t="e">
        <f>IF(VLOOKUP(G580,'Bereketli Satış'!J:AK,5,0)="","",VLOOKUP(G580,'Bereketli Satış'!J:AK,5,0))</f>
        <v>#N/A</v>
      </c>
      <c r="J580" s="9" t="e">
        <f>IF(VLOOKUP(G580,'Bereketli Satış'!J:AK,28,0)="","",VLOOKUP(G580,'Bereketli Satış'!J:AK,28,0))</f>
        <v>#N/A</v>
      </c>
      <c r="K580" s="9"/>
      <c r="L580" s="128"/>
      <c r="M580" s="100" t="e">
        <f>IF(VLOOKUP(G580,'Bereketli Satış'!J:AK,30,0)="","",VLOOKUP(G580,'Bereketli Satış'!J:AK,30,0))</f>
        <v>#N/A</v>
      </c>
      <c r="N580" s="9"/>
      <c r="O580" s="9"/>
      <c r="P580" s="9" t="e">
        <f>IF(VLOOKUP(G580,'Bereketli Satış'!J:AK,32,0)="","",VLOOKUP(G580,'Bereketli Satış'!J:AK,32,0))</f>
        <v>#N/A</v>
      </c>
      <c r="Q580" s="9"/>
      <c r="R580" s="9"/>
    </row>
    <row r="581" spans="1:18">
      <c r="A581" s="8" t="s">
        <v>14</v>
      </c>
      <c r="B581" s="8" t="s">
        <v>33</v>
      </c>
      <c r="C581" s="8" t="s">
        <v>42</v>
      </c>
      <c r="D581" s="8">
        <v>335.77</v>
      </c>
      <c r="E581" s="8">
        <v>121</v>
      </c>
      <c r="F581" s="1">
        <v>9</v>
      </c>
      <c r="G581" s="1" t="str">
        <f t="shared" si="9"/>
        <v>İBİLLER1219</v>
      </c>
      <c r="H581" s="1"/>
      <c r="I581" s="9" t="e">
        <f>IF(VLOOKUP(G581,'Bereketli Satış'!J:AK,5,0)="","",VLOOKUP(G581,'Bereketli Satış'!J:AK,5,0))</f>
        <v>#N/A</v>
      </c>
      <c r="J581" s="9" t="e">
        <f>IF(VLOOKUP(G581,'Bereketli Satış'!J:AK,28,0)="","",VLOOKUP(G581,'Bereketli Satış'!J:AK,28,0))</f>
        <v>#N/A</v>
      </c>
      <c r="K581" s="9"/>
      <c r="L581" s="128"/>
      <c r="M581" s="100" t="e">
        <f>IF(VLOOKUP(G581,'Bereketli Satış'!J:AK,30,0)="","",VLOOKUP(G581,'Bereketli Satış'!J:AK,30,0))</f>
        <v>#N/A</v>
      </c>
      <c r="N581" s="9"/>
      <c r="O581" s="9"/>
      <c r="P581" s="9" t="e">
        <f>IF(VLOOKUP(G581,'Bereketli Satış'!J:AK,32,0)="","",VLOOKUP(G581,'Bereketli Satış'!J:AK,32,0))</f>
        <v>#N/A</v>
      </c>
      <c r="Q581" s="9"/>
      <c r="R581" s="9"/>
    </row>
    <row r="582" spans="1:18">
      <c r="A582" s="8" t="s">
        <v>14</v>
      </c>
      <c r="B582" s="8" t="s">
        <v>33</v>
      </c>
      <c r="C582" s="8" t="s">
        <v>42</v>
      </c>
      <c r="D582" s="8">
        <v>423.79</v>
      </c>
      <c r="E582" s="8">
        <v>121</v>
      </c>
      <c r="F582" s="1">
        <v>11</v>
      </c>
      <c r="G582" s="1" t="str">
        <f t="shared" si="9"/>
        <v>İBİLLER12111</v>
      </c>
      <c r="H582" s="1"/>
      <c r="I582" s="9" t="e">
        <f>IF(VLOOKUP(G582,'Bereketli Satış'!J:AK,5,0)="","",VLOOKUP(G582,'Bereketli Satış'!J:AK,5,0))</f>
        <v>#N/A</v>
      </c>
      <c r="J582" s="9" t="e">
        <f>IF(VLOOKUP(G582,'Bereketli Satış'!J:AK,28,0)="","",VLOOKUP(G582,'Bereketli Satış'!J:AK,28,0))</f>
        <v>#N/A</v>
      </c>
      <c r="K582" s="9"/>
      <c r="L582" s="128"/>
      <c r="M582" s="100" t="e">
        <f>IF(VLOOKUP(G582,'Bereketli Satış'!J:AK,30,0)="","",VLOOKUP(G582,'Bereketli Satış'!J:AK,30,0))</f>
        <v>#N/A</v>
      </c>
      <c r="N582" s="9"/>
      <c r="O582" s="9"/>
      <c r="P582" s="9" t="e">
        <f>IF(VLOOKUP(G582,'Bereketli Satış'!J:AK,32,0)="","",VLOOKUP(G582,'Bereketli Satış'!J:AK,32,0))</f>
        <v>#N/A</v>
      </c>
      <c r="Q582" s="9"/>
      <c r="R582" s="9"/>
    </row>
    <row r="583" spans="1:18">
      <c r="A583" s="8" t="s">
        <v>14</v>
      </c>
      <c r="B583" s="8" t="s">
        <v>33</v>
      </c>
      <c r="C583" s="8" t="s">
        <v>42</v>
      </c>
      <c r="D583" s="8">
        <v>423.45</v>
      </c>
      <c r="E583" s="8">
        <v>121</v>
      </c>
      <c r="F583" s="1">
        <v>13</v>
      </c>
      <c r="G583" s="1" t="str">
        <f t="shared" si="9"/>
        <v>İBİLLER12113</v>
      </c>
      <c r="H583" s="1"/>
      <c r="I583" s="9" t="e">
        <f>IF(VLOOKUP(G583,'Bereketli Satış'!J:AK,5,0)="","",VLOOKUP(G583,'Bereketli Satış'!J:AK,5,0))</f>
        <v>#N/A</v>
      </c>
      <c r="J583" s="9" t="e">
        <f>IF(VLOOKUP(G583,'Bereketli Satış'!J:AK,28,0)="","",VLOOKUP(G583,'Bereketli Satış'!J:AK,28,0))</f>
        <v>#N/A</v>
      </c>
      <c r="K583" s="9"/>
      <c r="L583" s="128"/>
      <c r="M583" s="100" t="e">
        <f>IF(VLOOKUP(G583,'Bereketli Satış'!J:AK,30,0)="","",VLOOKUP(G583,'Bereketli Satış'!J:AK,30,0))</f>
        <v>#N/A</v>
      </c>
      <c r="N583" s="9"/>
      <c r="O583" s="9"/>
      <c r="P583" s="9" t="e">
        <f>IF(VLOOKUP(G583,'Bereketli Satış'!J:AK,32,0)="","",VLOOKUP(G583,'Bereketli Satış'!J:AK,32,0))</f>
        <v>#N/A</v>
      </c>
      <c r="Q583" s="9"/>
      <c r="R583" s="9"/>
    </row>
    <row r="584" spans="1:18">
      <c r="A584" s="8" t="s">
        <v>14</v>
      </c>
      <c r="B584" s="8" t="s">
        <v>33</v>
      </c>
      <c r="C584" s="8" t="s">
        <v>42</v>
      </c>
      <c r="D584" s="8">
        <v>363.79</v>
      </c>
      <c r="E584" s="8">
        <v>121</v>
      </c>
      <c r="F584" s="1">
        <v>14</v>
      </c>
      <c r="G584" s="1" t="str">
        <f t="shared" si="9"/>
        <v>İBİLLER12114</v>
      </c>
      <c r="H584" s="1"/>
      <c r="I584" s="9" t="e">
        <f>IF(VLOOKUP(G584,'Bereketli Satış'!J:AK,5,0)="","",VLOOKUP(G584,'Bereketli Satış'!J:AK,5,0))</f>
        <v>#N/A</v>
      </c>
      <c r="J584" s="9" t="e">
        <f>IF(VLOOKUP(G584,'Bereketli Satış'!J:AK,28,0)="","",VLOOKUP(G584,'Bereketli Satış'!J:AK,28,0))</f>
        <v>#N/A</v>
      </c>
      <c r="K584" s="9"/>
      <c r="L584" s="128"/>
      <c r="M584" s="100" t="e">
        <f>IF(VLOOKUP(G584,'Bereketli Satış'!J:AK,30,0)="","",VLOOKUP(G584,'Bereketli Satış'!J:AK,30,0))</f>
        <v>#N/A</v>
      </c>
      <c r="N584" s="9"/>
      <c r="O584" s="9"/>
      <c r="P584" s="9" t="e">
        <f>IF(VLOOKUP(G584,'Bereketli Satış'!J:AK,32,0)="","",VLOOKUP(G584,'Bereketli Satış'!J:AK,32,0))</f>
        <v>#N/A</v>
      </c>
      <c r="Q584" s="9"/>
      <c r="R584" s="9"/>
    </row>
    <row r="585" spans="1:18">
      <c r="A585" s="8" t="s">
        <v>14</v>
      </c>
      <c r="B585" s="8" t="s">
        <v>33</v>
      </c>
      <c r="C585" s="8" t="s">
        <v>42</v>
      </c>
      <c r="D585" s="8">
        <v>322.19</v>
      </c>
      <c r="E585" s="8">
        <v>121</v>
      </c>
      <c r="F585" s="1">
        <v>15</v>
      </c>
      <c r="G585" s="1" t="str">
        <f t="shared" si="9"/>
        <v>İBİLLER12115</v>
      </c>
      <c r="H585" s="1"/>
      <c r="I585" s="9" t="e">
        <f>IF(VLOOKUP(G585,'Bereketli Satış'!J:AK,5,0)="","",VLOOKUP(G585,'Bereketli Satış'!J:AK,5,0))</f>
        <v>#N/A</v>
      </c>
      <c r="J585" s="9" t="e">
        <f>IF(VLOOKUP(G585,'Bereketli Satış'!J:AK,28,0)="","",VLOOKUP(G585,'Bereketli Satış'!J:AK,28,0))</f>
        <v>#N/A</v>
      </c>
      <c r="K585" s="9"/>
      <c r="L585" s="128"/>
      <c r="M585" s="100" t="e">
        <f>IF(VLOOKUP(G585,'Bereketli Satış'!J:AK,30,0)="","",VLOOKUP(G585,'Bereketli Satış'!J:AK,30,0))</f>
        <v>#N/A</v>
      </c>
      <c r="N585" s="100"/>
      <c r="O585" s="100"/>
      <c r="P585" s="9" t="e">
        <f>IF(VLOOKUP(G585,'Bereketli Satış'!J:AK,32,0)="","",VLOOKUP(G585,'Bereketli Satış'!J:AK,32,0))</f>
        <v>#N/A</v>
      </c>
      <c r="Q585" s="100"/>
      <c r="R585" s="100"/>
    </row>
    <row r="586" spans="1:18">
      <c r="A586" s="8" t="s">
        <v>14</v>
      </c>
      <c r="B586" s="8" t="s">
        <v>23</v>
      </c>
      <c r="C586" s="8" t="s">
        <v>24</v>
      </c>
      <c r="D586" s="8">
        <v>1019.82</v>
      </c>
      <c r="E586" s="8">
        <v>104</v>
      </c>
      <c r="F586" s="8">
        <v>2</v>
      </c>
      <c r="G586" s="1" t="str">
        <f t="shared" si="9"/>
        <v>İBİRLER1042</v>
      </c>
      <c r="H586" s="8"/>
      <c r="I586" s="9" t="e">
        <f>IF(VLOOKUP(G586,'Bereketli Satış'!J:AK,5,0)="","",VLOOKUP(G586,'Bereketli Satış'!J:AK,5,0))</f>
        <v>#N/A</v>
      </c>
      <c r="J586" s="9" t="e">
        <f>IF(VLOOKUP(G586,'Bereketli Satış'!J:AK,28,0)="","",VLOOKUP(G586,'Bereketli Satış'!J:AK,28,0))</f>
        <v>#N/A</v>
      </c>
      <c r="K586" s="100"/>
      <c r="L586" s="128"/>
      <c r="M586" s="100" t="e">
        <f>IF(VLOOKUP(G586,'Bereketli Satış'!J:AK,30,0)="","",VLOOKUP(G586,'Bereketli Satış'!J:AK,30,0))</f>
        <v>#N/A</v>
      </c>
      <c r="N586" s="107"/>
      <c r="O586" s="107"/>
      <c r="P586" s="9" t="e">
        <f>IF(VLOOKUP(G586,'Bereketli Satış'!J:AK,32,0)="","",VLOOKUP(G586,'Bereketli Satış'!J:AK,32,0))</f>
        <v>#N/A</v>
      </c>
      <c r="Q586" s="107"/>
      <c r="R586" s="107"/>
    </row>
    <row r="587" spans="1:18">
      <c r="A587" s="96" t="s">
        <v>14</v>
      </c>
      <c r="B587" s="96" t="s">
        <v>15</v>
      </c>
      <c r="C587" s="96" t="s">
        <v>63</v>
      </c>
      <c r="D587" s="96" t="s">
        <v>101</v>
      </c>
      <c r="E587" s="96">
        <v>0</v>
      </c>
      <c r="F587" s="97">
        <v>991</v>
      </c>
      <c r="G587" s="1" t="str">
        <f t="shared" si="9"/>
        <v>ILICABOĞAZI0991</v>
      </c>
      <c r="H587" s="97"/>
      <c r="I587" s="9" t="e">
        <f>IF(VLOOKUP(G587,'Bereketli Satış'!J:AK,5,0)="","",VLOOKUP(G587,'Bereketli Satış'!J:AK,5,0))</f>
        <v>#N/A</v>
      </c>
      <c r="J587" s="9" t="e">
        <f>IF(VLOOKUP(G587,'Bereketli Satış'!J:AK,28,0)="","",VLOOKUP(G587,'Bereketli Satış'!J:AK,28,0))</f>
        <v>#N/A</v>
      </c>
      <c r="K587" s="107"/>
      <c r="L587" s="129"/>
      <c r="M587" s="100" t="e">
        <f>IF(VLOOKUP(G587,'Bereketli Satış'!J:AK,30,0)="","",VLOOKUP(G587,'Bereketli Satış'!J:AK,30,0))</f>
        <v>#N/A</v>
      </c>
      <c r="N587" s="100"/>
      <c r="O587" s="100"/>
      <c r="P587" s="9" t="e">
        <f>IF(VLOOKUP(G587,'Bereketli Satış'!J:AK,32,0)="","",VLOOKUP(G587,'Bereketli Satış'!J:AK,32,0))</f>
        <v>#N/A</v>
      </c>
      <c r="Q587" s="100"/>
      <c r="R587" s="100"/>
    </row>
    <row r="588" spans="1:18">
      <c r="A588" s="8" t="s">
        <v>14</v>
      </c>
      <c r="B588" s="8" t="s">
        <v>23</v>
      </c>
      <c r="C588" s="8" t="s">
        <v>26</v>
      </c>
      <c r="D588" s="8">
        <v>800.05</v>
      </c>
      <c r="E588" s="8">
        <v>105</v>
      </c>
      <c r="F588" s="8">
        <v>9</v>
      </c>
      <c r="G588" s="1" t="str">
        <f t="shared" si="9"/>
        <v>KALAYCILAR1059</v>
      </c>
      <c r="H588" s="8"/>
      <c r="I588" s="9" t="e">
        <f>IF(VLOOKUP(G588,'Bereketli Satış'!J:AK,5,0)="","",VLOOKUP(G588,'Bereketli Satış'!J:AK,5,0))</f>
        <v>#N/A</v>
      </c>
      <c r="J588" s="9" t="e">
        <f>IF(VLOOKUP(G588,'Bereketli Satış'!J:AK,28,0)="","",VLOOKUP(G588,'Bereketli Satış'!J:AK,28,0))</f>
        <v>#N/A</v>
      </c>
      <c r="K588" s="100"/>
      <c r="L588" s="128"/>
      <c r="M588" s="100" t="e">
        <f>IF(VLOOKUP(G588,'Bereketli Satış'!J:AK,30,0)="","",VLOOKUP(G588,'Bereketli Satış'!J:AK,30,0))</f>
        <v>#N/A</v>
      </c>
      <c r="N588" s="100"/>
      <c r="O588" s="100"/>
      <c r="P588" s="9" t="e">
        <f>IF(VLOOKUP(G588,'Bereketli Satış'!J:AK,32,0)="","",VLOOKUP(G588,'Bereketli Satış'!J:AK,32,0))</f>
        <v>#N/A</v>
      </c>
      <c r="Q588" s="100"/>
      <c r="R588" s="100"/>
    </row>
    <row r="589" spans="1:18">
      <c r="A589" s="8" t="s">
        <v>14</v>
      </c>
      <c r="B589" s="8" t="s">
        <v>23</v>
      </c>
      <c r="C589" s="8" t="s">
        <v>26</v>
      </c>
      <c r="D589" s="8">
        <v>789.05</v>
      </c>
      <c r="E589" s="8">
        <v>105</v>
      </c>
      <c r="F589" s="8">
        <v>10</v>
      </c>
      <c r="G589" s="1" t="str">
        <f t="shared" si="9"/>
        <v>KALAYCILAR10510</v>
      </c>
      <c r="H589" s="8"/>
      <c r="I589" s="9" t="e">
        <f>IF(VLOOKUP(G589,'Bereketli Satış'!J:AK,5,0)="","",VLOOKUP(G589,'Bereketli Satış'!J:AK,5,0))</f>
        <v>#N/A</v>
      </c>
      <c r="J589" s="9" t="e">
        <f>IF(VLOOKUP(G589,'Bereketli Satış'!J:AK,28,0)="","",VLOOKUP(G589,'Bereketli Satış'!J:AK,28,0))</f>
        <v>#N/A</v>
      </c>
      <c r="K589" s="100"/>
      <c r="L589" s="128"/>
      <c r="M589" s="100" t="e">
        <f>IF(VLOOKUP(G589,'Bereketli Satış'!J:AK,30,0)="","",VLOOKUP(G589,'Bereketli Satış'!J:AK,30,0))</f>
        <v>#N/A</v>
      </c>
      <c r="N589" s="100"/>
      <c r="O589" s="100"/>
      <c r="P589" s="9" t="e">
        <f>IF(VLOOKUP(G589,'Bereketli Satış'!J:AK,32,0)="","",VLOOKUP(G589,'Bereketli Satış'!J:AK,32,0))</f>
        <v>#N/A</v>
      </c>
      <c r="Q589" s="100"/>
      <c r="R589" s="100"/>
    </row>
    <row r="590" spans="1:18">
      <c r="A590" s="8" t="s">
        <v>14</v>
      </c>
      <c r="B590" s="8" t="s">
        <v>23</v>
      </c>
      <c r="C590" s="8" t="s">
        <v>26</v>
      </c>
      <c r="D590" s="8">
        <v>880.26</v>
      </c>
      <c r="E590" s="8">
        <v>105</v>
      </c>
      <c r="F590" s="8">
        <v>12</v>
      </c>
      <c r="G590" s="1" t="str">
        <f t="shared" si="9"/>
        <v>KALAYCILAR10512</v>
      </c>
      <c r="H590" s="8"/>
      <c r="I590" s="9" t="e">
        <f>IF(VLOOKUP(G590,'Bereketli Satış'!J:AK,5,0)="","",VLOOKUP(G590,'Bereketli Satış'!J:AK,5,0))</f>
        <v>#N/A</v>
      </c>
      <c r="J590" s="9" t="e">
        <f>IF(VLOOKUP(G590,'Bereketli Satış'!J:AK,28,0)="","",VLOOKUP(G590,'Bereketli Satış'!J:AK,28,0))</f>
        <v>#N/A</v>
      </c>
      <c r="K590" s="100"/>
      <c r="L590" s="128"/>
      <c r="M590" s="100" t="e">
        <f>IF(VLOOKUP(G590,'Bereketli Satış'!J:AK,30,0)="","",VLOOKUP(G590,'Bereketli Satış'!J:AK,30,0))</f>
        <v>#N/A</v>
      </c>
      <c r="N590" s="9"/>
      <c r="O590" s="9"/>
      <c r="P590" s="9" t="e">
        <f>IF(VLOOKUP(G590,'Bereketli Satış'!J:AK,32,0)="","",VLOOKUP(G590,'Bereketli Satış'!J:AK,32,0))</f>
        <v>#N/A</v>
      </c>
      <c r="Q590" s="9"/>
      <c r="R590" s="9"/>
    </row>
    <row r="591" spans="1:18">
      <c r="A591" s="8" t="s">
        <v>14</v>
      </c>
      <c r="B591" s="8" t="s">
        <v>23</v>
      </c>
      <c r="C591" s="8" t="s">
        <v>26</v>
      </c>
      <c r="D591" s="8">
        <v>839</v>
      </c>
      <c r="E591" s="8">
        <v>114</v>
      </c>
      <c r="F591" s="3">
        <v>8</v>
      </c>
      <c r="G591" s="1" t="str">
        <f t="shared" si="9"/>
        <v>KALAYCILAR1148</v>
      </c>
      <c r="H591" s="3"/>
      <c r="I591" s="9" t="e">
        <f>IF(VLOOKUP(G591,'Bereketli Satış'!J:AK,5,0)="","",VLOOKUP(G591,'Bereketli Satış'!J:AK,5,0))</f>
        <v>#N/A</v>
      </c>
      <c r="J591" s="9" t="e">
        <f>IF(VLOOKUP(G591,'Bereketli Satış'!J:AK,28,0)="","",VLOOKUP(G591,'Bereketli Satış'!J:AK,28,0))</f>
        <v>#N/A</v>
      </c>
      <c r="K591" s="9"/>
      <c r="L591" s="128"/>
      <c r="M591" s="100" t="e">
        <f>IF(VLOOKUP(G591,'Bereketli Satış'!J:AK,30,0)="","",VLOOKUP(G591,'Bereketli Satış'!J:AK,30,0))</f>
        <v>#N/A</v>
      </c>
      <c r="N591" s="100"/>
      <c r="O591" s="100"/>
      <c r="P591" s="9" t="e">
        <f>IF(VLOOKUP(G591,'Bereketli Satış'!J:AK,32,0)="","",VLOOKUP(G591,'Bereketli Satış'!J:AK,32,0))</f>
        <v>#N/A</v>
      </c>
      <c r="Q591" s="100"/>
      <c r="R591" s="100"/>
    </row>
    <row r="592" spans="1:18">
      <c r="A592" s="8" t="s">
        <v>46</v>
      </c>
      <c r="B592" s="8" t="s">
        <v>47</v>
      </c>
      <c r="C592" s="8" t="s">
        <v>70</v>
      </c>
      <c r="D592" s="8">
        <v>477.18</v>
      </c>
      <c r="E592" s="18">
        <v>149</v>
      </c>
      <c r="F592" s="8">
        <v>3</v>
      </c>
      <c r="G592" s="1" t="str">
        <f t="shared" si="9"/>
        <v>KATIRALANI1493</v>
      </c>
      <c r="H592" s="8"/>
      <c r="I592" s="9" t="e">
        <f>IF(VLOOKUP(G592,'Bereketli Satış'!J:AK,5,0)="","",VLOOKUP(G592,'Bereketli Satış'!J:AK,5,0))</f>
        <v>#N/A</v>
      </c>
      <c r="J592" s="9" t="e">
        <f>IF(VLOOKUP(G592,'Bereketli Satış'!J:AK,28,0)="","",VLOOKUP(G592,'Bereketli Satış'!J:AK,28,0))</f>
        <v>#N/A</v>
      </c>
      <c r="K592" s="100"/>
      <c r="L592" s="128"/>
      <c r="M592" s="100" t="e">
        <f>IF(VLOOKUP(G592,'Bereketli Satış'!J:AK,30,0)="","",VLOOKUP(G592,'Bereketli Satış'!J:AK,30,0))</f>
        <v>#N/A</v>
      </c>
      <c r="N592" s="100"/>
      <c r="O592" s="100"/>
      <c r="P592" s="9" t="e">
        <f>IF(VLOOKUP(G592,'Bereketli Satış'!J:AK,32,0)="","",VLOOKUP(G592,'Bereketli Satış'!J:AK,32,0))</f>
        <v>#N/A</v>
      </c>
      <c r="Q592" s="100"/>
      <c r="R592" s="100"/>
    </row>
    <row r="593" spans="1:18">
      <c r="A593" s="8" t="s">
        <v>46</v>
      </c>
      <c r="B593" s="8" t="s">
        <v>47</v>
      </c>
      <c r="C593" s="8" t="s">
        <v>70</v>
      </c>
      <c r="D593" s="8">
        <v>449.97</v>
      </c>
      <c r="E593" s="18">
        <v>149</v>
      </c>
      <c r="F593" s="8">
        <v>5</v>
      </c>
      <c r="G593" s="1" t="str">
        <f t="shared" si="9"/>
        <v>KATIRALANI1495</v>
      </c>
      <c r="H593" s="8"/>
      <c r="I593" s="9" t="e">
        <f>IF(VLOOKUP(G593,'Bereketli Satış'!J:AK,5,0)="","",VLOOKUP(G593,'Bereketli Satış'!J:AK,5,0))</f>
        <v>#N/A</v>
      </c>
      <c r="J593" s="9" t="e">
        <f>IF(VLOOKUP(G593,'Bereketli Satış'!J:AK,28,0)="","",VLOOKUP(G593,'Bereketli Satış'!J:AK,28,0))</f>
        <v>#N/A</v>
      </c>
      <c r="K593" s="100"/>
      <c r="L593" s="128"/>
      <c r="M593" s="100" t="e">
        <f>IF(VLOOKUP(G593,'Bereketli Satış'!J:AK,30,0)="","",VLOOKUP(G593,'Bereketli Satış'!J:AK,30,0))</f>
        <v>#N/A</v>
      </c>
      <c r="N593" s="100"/>
      <c r="O593" s="100"/>
      <c r="P593" s="9" t="e">
        <f>IF(VLOOKUP(G593,'Bereketli Satış'!J:AK,32,0)="","",VLOOKUP(G593,'Bereketli Satış'!J:AK,32,0))</f>
        <v>#N/A</v>
      </c>
      <c r="Q593" s="100"/>
      <c r="R593" s="100"/>
    </row>
    <row r="594" spans="1:18">
      <c r="A594" s="8" t="s">
        <v>46</v>
      </c>
      <c r="B594" s="8" t="s">
        <v>47</v>
      </c>
      <c r="C594" s="8" t="s">
        <v>70</v>
      </c>
      <c r="D594" s="8">
        <v>437</v>
      </c>
      <c r="E594" s="8">
        <v>153</v>
      </c>
      <c r="F594" s="8">
        <v>2</v>
      </c>
      <c r="G594" s="1" t="str">
        <f t="shared" si="9"/>
        <v>KATIRALANI1532</v>
      </c>
      <c r="H594" s="8"/>
      <c r="I594" s="9" t="e">
        <f>IF(VLOOKUP(G594,'Bereketli Satış'!J:AK,5,0)="","",VLOOKUP(G594,'Bereketli Satış'!J:AK,5,0))</f>
        <v>#N/A</v>
      </c>
      <c r="J594" s="9" t="e">
        <f>IF(VLOOKUP(G594,'Bereketli Satış'!J:AK,28,0)="","",VLOOKUP(G594,'Bereketli Satış'!J:AK,28,0))</f>
        <v>#N/A</v>
      </c>
      <c r="K594" s="100"/>
      <c r="L594" s="128"/>
      <c r="M594" s="100" t="e">
        <f>IF(VLOOKUP(G594,'Bereketli Satış'!J:AK,30,0)="","",VLOOKUP(G594,'Bereketli Satış'!J:AK,30,0))</f>
        <v>#N/A</v>
      </c>
      <c r="N594" s="100"/>
      <c r="O594" s="100"/>
      <c r="P594" s="9" t="e">
        <f>IF(VLOOKUP(G594,'Bereketli Satış'!J:AK,32,0)="","",VLOOKUP(G594,'Bereketli Satış'!J:AK,32,0))</f>
        <v>#N/A</v>
      </c>
      <c r="Q594" s="100"/>
      <c r="R594" s="100"/>
    </row>
    <row r="595" spans="1:18">
      <c r="A595" s="8" t="s">
        <v>46</v>
      </c>
      <c r="B595" s="8" t="s">
        <v>47</v>
      </c>
      <c r="C595" s="8" t="s">
        <v>70</v>
      </c>
      <c r="D595" s="8">
        <v>442.79</v>
      </c>
      <c r="E595" s="18">
        <v>155</v>
      </c>
      <c r="F595" s="8">
        <v>3</v>
      </c>
      <c r="G595" s="1" t="str">
        <f t="shared" si="9"/>
        <v>KATIRALANI1553</v>
      </c>
      <c r="H595" s="8"/>
      <c r="I595" s="9" t="e">
        <f>IF(VLOOKUP(G595,'Bereketli Satış'!J:AK,5,0)="","",VLOOKUP(G595,'Bereketli Satış'!J:AK,5,0))</f>
        <v>#N/A</v>
      </c>
      <c r="J595" s="9" t="e">
        <f>IF(VLOOKUP(G595,'Bereketli Satış'!J:AK,28,0)="","",VLOOKUP(G595,'Bereketli Satış'!J:AK,28,0))</f>
        <v>#N/A</v>
      </c>
      <c r="K595" s="100"/>
      <c r="L595" s="128"/>
      <c r="M595" s="100" t="e">
        <f>IF(VLOOKUP(G595,'Bereketli Satış'!J:AK,30,0)="","",VLOOKUP(G595,'Bereketli Satış'!J:AK,30,0))</f>
        <v>#N/A</v>
      </c>
      <c r="N595" s="100"/>
      <c r="O595" s="100"/>
      <c r="P595" s="9" t="e">
        <f>IF(VLOOKUP(G595,'Bereketli Satış'!J:AK,32,0)="","",VLOOKUP(G595,'Bereketli Satış'!J:AK,32,0))</f>
        <v>#N/A</v>
      </c>
      <c r="Q595" s="100"/>
      <c r="R595" s="100"/>
    </row>
    <row r="596" spans="1:18">
      <c r="A596" s="8" t="s">
        <v>46</v>
      </c>
      <c r="B596" s="8" t="s">
        <v>47</v>
      </c>
      <c r="C596" s="8" t="s">
        <v>70</v>
      </c>
      <c r="D596" s="8">
        <v>464.42</v>
      </c>
      <c r="E596" s="18">
        <v>155</v>
      </c>
      <c r="F596" s="8">
        <v>4</v>
      </c>
      <c r="G596" s="1" t="str">
        <f t="shared" si="9"/>
        <v>KATIRALANI1554</v>
      </c>
      <c r="H596" s="8"/>
      <c r="I596" s="9" t="e">
        <f>IF(VLOOKUP(G596,'Bereketli Satış'!J:AK,5,0)="","",VLOOKUP(G596,'Bereketli Satış'!J:AK,5,0))</f>
        <v>#N/A</v>
      </c>
      <c r="J596" s="9" t="e">
        <f>IF(VLOOKUP(G596,'Bereketli Satış'!J:AK,28,0)="","",VLOOKUP(G596,'Bereketli Satış'!J:AK,28,0))</f>
        <v>#N/A</v>
      </c>
      <c r="K596" s="100"/>
      <c r="L596" s="128"/>
      <c r="M596" s="100" t="e">
        <f>IF(VLOOKUP(G596,'Bereketli Satış'!J:AK,30,0)="","",VLOOKUP(G596,'Bereketli Satış'!J:AK,30,0))</f>
        <v>#N/A</v>
      </c>
      <c r="N596" s="100"/>
      <c r="O596" s="100"/>
      <c r="P596" s="9" t="e">
        <f>IF(VLOOKUP(G596,'Bereketli Satış'!J:AK,32,0)="","",VLOOKUP(G596,'Bereketli Satış'!J:AK,32,0))</f>
        <v>#N/A</v>
      </c>
      <c r="Q596" s="100"/>
      <c r="R596" s="100"/>
    </row>
    <row r="597" spans="1:18">
      <c r="A597" s="8" t="s">
        <v>46</v>
      </c>
      <c r="B597" s="8" t="s">
        <v>47</v>
      </c>
      <c r="C597" s="8" t="s">
        <v>70</v>
      </c>
      <c r="D597" s="8">
        <v>479.53</v>
      </c>
      <c r="E597" s="18">
        <v>155</v>
      </c>
      <c r="F597" s="8">
        <v>5</v>
      </c>
      <c r="G597" s="1" t="str">
        <f t="shared" si="9"/>
        <v>KATIRALANI1555</v>
      </c>
      <c r="H597" s="8"/>
      <c r="I597" s="9" t="e">
        <f>IF(VLOOKUP(G597,'Bereketli Satış'!J:AK,5,0)="","",VLOOKUP(G597,'Bereketli Satış'!J:AK,5,0))</f>
        <v>#N/A</v>
      </c>
      <c r="J597" s="9" t="e">
        <f>IF(VLOOKUP(G597,'Bereketli Satış'!J:AK,28,0)="","",VLOOKUP(G597,'Bereketli Satış'!J:AK,28,0))</f>
        <v>#N/A</v>
      </c>
      <c r="K597" s="100"/>
      <c r="L597" s="128"/>
      <c r="M597" s="100" t="e">
        <f>IF(VLOOKUP(G597,'Bereketli Satış'!J:AK,30,0)="","",VLOOKUP(G597,'Bereketli Satış'!J:AK,30,0))</f>
        <v>#N/A</v>
      </c>
      <c r="N597" s="9"/>
      <c r="O597" s="9"/>
      <c r="P597" s="9" t="e">
        <f>IF(VLOOKUP(G597,'Bereketli Satış'!J:AK,32,0)="","",VLOOKUP(G597,'Bereketli Satış'!J:AK,32,0))</f>
        <v>#N/A</v>
      </c>
      <c r="Q597" s="9"/>
      <c r="R597" s="9"/>
    </row>
    <row r="598" spans="1:18">
      <c r="A598" s="8" t="s">
        <v>46</v>
      </c>
      <c r="B598" s="8" t="s">
        <v>47</v>
      </c>
      <c r="C598" s="8" t="s">
        <v>70</v>
      </c>
      <c r="D598" s="8">
        <v>444.86</v>
      </c>
      <c r="E598" s="18">
        <v>150</v>
      </c>
      <c r="F598" s="8">
        <v>10</v>
      </c>
      <c r="G598" s="1" t="str">
        <f t="shared" si="9"/>
        <v>KATIRALANI15010</v>
      </c>
      <c r="H598" s="8"/>
      <c r="I598" s="9" t="e">
        <f>IF(VLOOKUP(G598,'Bereketli Satış'!J:AK,5,0)="","",VLOOKUP(G598,'Bereketli Satış'!J:AK,5,0))</f>
        <v>#N/A</v>
      </c>
      <c r="J598" s="9" t="e">
        <f>IF(VLOOKUP(G598,'Bereketli Satış'!J:AK,28,0)="","",VLOOKUP(G598,'Bereketli Satış'!J:AK,28,0))</f>
        <v>#N/A</v>
      </c>
      <c r="K598" s="9"/>
      <c r="L598" s="128"/>
      <c r="M598" s="100" t="e">
        <f>IF(VLOOKUP(G598,'Bereketli Satış'!J:AK,30,0)="","",VLOOKUP(G598,'Bereketli Satış'!J:AK,30,0))</f>
        <v>#N/A</v>
      </c>
      <c r="N598" s="9"/>
      <c r="O598" s="9"/>
      <c r="P598" s="9" t="e">
        <f>IF(VLOOKUP(G598,'Bereketli Satış'!J:AK,32,0)="","",VLOOKUP(G598,'Bereketli Satış'!J:AK,32,0))</f>
        <v>#N/A</v>
      </c>
      <c r="Q598" s="9"/>
      <c r="R598" s="9"/>
    </row>
    <row r="599" spans="1:18">
      <c r="A599" s="8" t="s">
        <v>81</v>
      </c>
      <c r="B599" s="8" t="s">
        <v>102</v>
      </c>
      <c r="C599" s="8" t="s">
        <v>103</v>
      </c>
      <c r="D599" s="8">
        <v>650</v>
      </c>
      <c r="E599" s="18">
        <v>6404</v>
      </c>
      <c r="F599" s="8">
        <v>19</v>
      </c>
      <c r="G599" s="1" t="str">
        <f t="shared" si="9"/>
        <v>KAYAPA640419</v>
      </c>
      <c r="H599" s="8"/>
      <c r="I599" s="9" t="e">
        <f>IF(VLOOKUP(G599,'Bereketli Satış'!J:AK,5,0)="","",VLOOKUP(G599,'Bereketli Satış'!J:AK,5,0))</f>
        <v>#N/A</v>
      </c>
      <c r="J599" s="9" t="e">
        <f>IF(VLOOKUP(G599,'Bereketli Satış'!J:AK,28,0)="","",VLOOKUP(G599,'Bereketli Satış'!J:AK,28,0))</f>
        <v>#N/A</v>
      </c>
      <c r="K599" s="9"/>
      <c r="L599" s="128"/>
      <c r="M599" s="100" t="e">
        <f>IF(VLOOKUP(G599,'Bereketli Satış'!J:AK,30,0)="","",VLOOKUP(G599,'Bereketli Satış'!J:AK,30,0))</f>
        <v>#N/A</v>
      </c>
      <c r="N599" s="100"/>
      <c r="O599" s="100"/>
      <c r="P599" s="9" t="e">
        <f>IF(VLOOKUP(G599,'Bereketli Satış'!J:AK,32,0)="","",VLOOKUP(G599,'Bereketli Satış'!J:AK,32,0))</f>
        <v>#N/A</v>
      </c>
      <c r="Q599" s="100"/>
      <c r="R599" s="100"/>
    </row>
    <row r="600" spans="1:18">
      <c r="A600" s="8" t="s">
        <v>17</v>
      </c>
      <c r="B600" s="8" t="s">
        <v>21</v>
      </c>
      <c r="C600" s="8" t="s">
        <v>52</v>
      </c>
      <c r="D600" s="8">
        <v>475</v>
      </c>
      <c r="E600" s="18">
        <v>102</v>
      </c>
      <c r="F600" s="8">
        <v>1</v>
      </c>
      <c r="G600" s="1" t="str">
        <f t="shared" si="9"/>
        <v>KEMALİYE1021</v>
      </c>
      <c r="H600" s="8"/>
      <c r="I600" s="9" t="e">
        <f>IF(VLOOKUP(G600,'Bereketli Satış'!J:AK,5,0)="","",VLOOKUP(G600,'Bereketli Satış'!J:AK,5,0))</f>
        <v>#N/A</v>
      </c>
      <c r="J600" s="9" t="e">
        <f>IF(VLOOKUP(G600,'Bereketli Satış'!J:AK,28,0)="","",VLOOKUP(G600,'Bereketli Satış'!J:AK,28,0))</f>
        <v>#N/A</v>
      </c>
      <c r="K600" s="100"/>
      <c r="L600" s="128"/>
      <c r="M600" s="100" t="e">
        <f>IF(VLOOKUP(G600,'Bereketli Satış'!J:AK,30,0)="","",VLOOKUP(G600,'Bereketli Satış'!J:AK,30,0))</f>
        <v>#N/A</v>
      </c>
      <c r="N600" s="100"/>
      <c r="O600" s="100"/>
      <c r="P600" s="9" t="e">
        <f>IF(VLOOKUP(G600,'Bereketli Satış'!J:AK,32,0)="","",VLOOKUP(G600,'Bereketli Satış'!J:AK,32,0))</f>
        <v>#N/A</v>
      </c>
      <c r="Q600" s="100"/>
      <c r="R600" s="100"/>
    </row>
    <row r="601" spans="1:18">
      <c r="A601" s="8" t="s">
        <v>17</v>
      </c>
      <c r="B601" s="8" t="s">
        <v>21</v>
      </c>
      <c r="C601" s="8" t="s">
        <v>52</v>
      </c>
      <c r="D601" s="8">
        <v>446</v>
      </c>
      <c r="E601" s="18">
        <v>105</v>
      </c>
      <c r="F601" s="8">
        <v>19</v>
      </c>
      <c r="G601" s="1" t="str">
        <f t="shared" si="9"/>
        <v>KEMALİYE10519</v>
      </c>
      <c r="H601" s="8"/>
      <c r="I601" s="9" t="e">
        <f>IF(VLOOKUP(G601,'Bereketli Satış'!J:AK,5,0)="","",VLOOKUP(G601,'Bereketli Satış'!J:AK,5,0))</f>
        <v>#N/A</v>
      </c>
      <c r="J601" s="9" t="e">
        <f>IF(VLOOKUP(G601,'Bereketli Satış'!J:AK,28,0)="","",VLOOKUP(G601,'Bereketli Satış'!J:AK,28,0))</f>
        <v>#N/A</v>
      </c>
      <c r="K601" s="100"/>
      <c r="L601" s="128"/>
      <c r="M601" s="100" t="e">
        <f>IF(VLOOKUP(G601,'Bereketli Satış'!J:AK,30,0)="","",VLOOKUP(G601,'Bereketli Satış'!J:AK,30,0))</f>
        <v>#N/A</v>
      </c>
      <c r="N601" s="100"/>
      <c r="O601" s="100"/>
      <c r="P601" s="9" t="e">
        <f>IF(VLOOKUP(G601,'Bereketli Satış'!J:AK,32,0)="","",VLOOKUP(G601,'Bereketli Satış'!J:AK,32,0))</f>
        <v>#N/A</v>
      </c>
      <c r="Q601" s="100"/>
      <c r="R601" s="100"/>
    </row>
    <row r="602" spans="1:18">
      <c r="A602" s="8" t="s">
        <v>17</v>
      </c>
      <c r="B602" s="8" t="s">
        <v>21</v>
      </c>
      <c r="C602" s="8" t="s">
        <v>52</v>
      </c>
      <c r="D602" s="8">
        <v>415</v>
      </c>
      <c r="E602" s="18">
        <v>132</v>
      </c>
      <c r="F602" s="8">
        <v>4</v>
      </c>
      <c r="G602" s="1" t="str">
        <f t="shared" si="9"/>
        <v>KEMALİYE1324</v>
      </c>
      <c r="H602" s="8"/>
      <c r="I602" s="9" t="e">
        <f>IF(VLOOKUP(G602,'Bereketli Satış'!J:AK,5,0)="","",VLOOKUP(G602,'Bereketli Satış'!J:AK,5,0))</f>
        <v>#N/A</v>
      </c>
      <c r="J602" s="9" t="e">
        <f>IF(VLOOKUP(G602,'Bereketli Satış'!J:AK,28,0)="","",VLOOKUP(G602,'Bereketli Satış'!J:AK,28,0))</f>
        <v>#N/A</v>
      </c>
      <c r="K602" s="100"/>
      <c r="L602" s="128"/>
      <c r="M602" s="100" t="e">
        <f>IF(VLOOKUP(G602,'Bereketli Satış'!J:AK,30,0)="","",VLOOKUP(G602,'Bereketli Satış'!J:AK,30,0))</f>
        <v>#N/A</v>
      </c>
      <c r="N602" s="100"/>
      <c r="O602" s="100"/>
      <c r="P602" s="9" t="e">
        <f>IF(VLOOKUP(G602,'Bereketli Satış'!J:AK,32,0)="","",VLOOKUP(G602,'Bereketli Satış'!J:AK,32,0))</f>
        <v>#N/A</v>
      </c>
      <c r="Q602" s="100"/>
      <c r="R602" s="100"/>
    </row>
    <row r="603" spans="1:18">
      <c r="A603" s="8" t="s">
        <v>17</v>
      </c>
      <c r="B603" s="8" t="s">
        <v>21</v>
      </c>
      <c r="C603" s="8" t="s">
        <v>22</v>
      </c>
      <c r="D603" s="8">
        <v>432</v>
      </c>
      <c r="E603" s="18">
        <v>236</v>
      </c>
      <c r="F603" s="8">
        <v>6</v>
      </c>
      <c r="G603" s="1" t="str">
        <f t="shared" si="9"/>
        <v>KİLLİK2366</v>
      </c>
      <c r="H603" s="8"/>
      <c r="I603" s="9" t="e">
        <f>IF(VLOOKUP(G603,'Bereketli Satış'!J:AK,5,0)="","",VLOOKUP(G603,'Bereketli Satış'!J:AK,5,0))</f>
        <v>#N/A</v>
      </c>
      <c r="J603" s="9" t="e">
        <f>IF(VLOOKUP(G603,'Bereketli Satış'!J:AK,28,0)="","",VLOOKUP(G603,'Bereketli Satış'!J:AK,28,0))</f>
        <v>#N/A</v>
      </c>
      <c r="K603" s="100"/>
      <c r="L603" s="128"/>
      <c r="M603" s="100" t="e">
        <f>IF(VLOOKUP(G603,'Bereketli Satış'!J:AK,30,0)="","",VLOOKUP(G603,'Bereketli Satış'!J:AK,30,0))</f>
        <v>#N/A</v>
      </c>
      <c r="N603" s="100"/>
      <c r="O603" s="100"/>
      <c r="P603" s="9" t="e">
        <f>IF(VLOOKUP(G603,'Bereketli Satış'!J:AK,32,0)="","",VLOOKUP(G603,'Bereketli Satış'!J:AK,32,0))</f>
        <v>#N/A</v>
      </c>
      <c r="Q603" s="100"/>
      <c r="R603" s="100"/>
    </row>
    <row r="604" spans="1:18">
      <c r="A604" s="8" t="s">
        <v>17</v>
      </c>
      <c r="B604" s="8" t="s">
        <v>21</v>
      </c>
      <c r="C604" s="8" t="s">
        <v>22</v>
      </c>
      <c r="D604" s="8">
        <v>430</v>
      </c>
      <c r="E604" s="18">
        <v>205</v>
      </c>
      <c r="F604" s="8">
        <v>9</v>
      </c>
      <c r="G604" s="1" t="str">
        <f t="shared" si="9"/>
        <v>KİLLİK2059</v>
      </c>
      <c r="H604" s="8"/>
      <c r="I604" s="9" t="e">
        <f>IF(VLOOKUP(G604,'Bereketli Satış'!J:AK,5,0)="","",VLOOKUP(G604,'Bereketli Satış'!J:AK,5,0))</f>
        <v>#N/A</v>
      </c>
      <c r="J604" s="9" t="e">
        <f>IF(VLOOKUP(G604,'Bereketli Satış'!J:AK,28,0)="","",VLOOKUP(G604,'Bereketli Satış'!J:AK,28,0))</f>
        <v>#N/A</v>
      </c>
      <c r="K604" s="100"/>
      <c r="L604" s="128"/>
      <c r="M604" s="100" t="e">
        <f>IF(VLOOKUP(G604,'Bereketli Satış'!J:AK,30,0)="","",VLOOKUP(G604,'Bereketli Satış'!J:AK,30,0))</f>
        <v>#N/A</v>
      </c>
      <c r="N604" s="9"/>
      <c r="O604" s="9"/>
      <c r="P604" s="9" t="e">
        <f>IF(VLOOKUP(G604,'Bereketli Satış'!J:AK,32,0)="","",VLOOKUP(G604,'Bereketli Satış'!J:AK,32,0))</f>
        <v>#N/A</v>
      </c>
      <c r="Q604" s="9"/>
      <c r="R604" s="9"/>
    </row>
    <row r="605" spans="1:18">
      <c r="A605" s="8" t="s">
        <v>17</v>
      </c>
      <c r="B605" s="8" t="s">
        <v>57</v>
      </c>
      <c r="C605" s="8" t="s">
        <v>104</v>
      </c>
      <c r="D605" s="8">
        <v>418</v>
      </c>
      <c r="E605" s="8">
        <v>234</v>
      </c>
      <c r="F605" s="3">
        <v>1</v>
      </c>
      <c r="G605" s="1" t="str">
        <f t="shared" si="9"/>
        <v>KOCAKAĞAN2341</v>
      </c>
      <c r="H605" s="3"/>
      <c r="I605" s="9" t="e">
        <f>IF(VLOOKUP(G605,'Bereketli Satış'!J:AK,5,0)="","",VLOOKUP(G605,'Bereketli Satış'!J:AK,5,0))</f>
        <v>#N/A</v>
      </c>
      <c r="J605" s="9" t="e">
        <f>IF(VLOOKUP(G605,'Bereketli Satış'!J:AK,28,0)="","",VLOOKUP(G605,'Bereketli Satış'!J:AK,28,0))</f>
        <v>#N/A</v>
      </c>
      <c r="K605" s="9"/>
      <c r="L605" s="128"/>
      <c r="M605" s="100" t="e">
        <f>IF(VLOOKUP(G605,'Bereketli Satış'!J:AK,30,0)="","",VLOOKUP(G605,'Bereketli Satış'!J:AK,30,0))</f>
        <v>#N/A</v>
      </c>
      <c r="N605" s="9"/>
      <c r="O605" s="9"/>
      <c r="P605" s="9" t="e">
        <f>IF(VLOOKUP(G605,'Bereketli Satış'!J:AK,32,0)="","",VLOOKUP(G605,'Bereketli Satış'!J:AK,32,0))</f>
        <v>#N/A</v>
      </c>
      <c r="Q605" s="9"/>
      <c r="R605" s="9"/>
    </row>
    <row r="606" spans="1:18">
      <c r="A606" s="8" t="s">
        <v>17</v>
      </c>
      <c r="B606" s="8" t="s">
        <v>57</v>
      </c>
      <c r="C606" s="8" t="s">
        <v>104</v>
      </c>
      <c r="D606" s="8">
        <v>335</v>
      </c>
      <c r="E606" s="8">
        <v>234</v>
      </c>
      <c r="F606" s="3">
        <v>2</v>
      </c>
      <c r="G606" s="1" t="str">
        <f t="shared" si="9"/>
        <v>KOCAKAĞAN2342</v>
      </c>
      <c r="H606" s="3"/>
      <c r="I606" s="9" t="e">
        <f>IF(VLOOKUP(G606,'Bereketli Satış'!J:AK,5,0)="","",VLOOKUP(G606,'Bereketli Satış'!J:AK,5,0))</f>
        <v>#N/A</v>
      </c>
      <c r="J606" s="9" t="e">
        <f>IF(VLOOKUP(G606,'Bereketli Satış'!J:AK,28,0)="","",VLOOKUP(G606,'Bereketli Satış'!J:AK,28,0))</f>
        <v>#N/A</v>
      </c>
      <c r="K606" s="9"/>
      <c r="L606" s="128"/>
      <c r="M606" s="100" t="e">
        <f>IF(VLOOKUP(G606,'Bereketli Satış'!J:AK,30,0)="","",VLOOKUP(G606,'Bereketli Satış'!J:AK,30,0))</f>
        <v>#N/A</v>
      </c>
      <c r="N606" s="100"/>
      <c r="O606" s="100"/>
      <c r="P606" s="9" t="e">
        <f>IF(VLOOKUP(G606,'Bereketli Satış'!J:AK,32,0)="","",VLOOKUP(G606,'Bereketli Satış'!J:AK,32,0))</f>
        <v>#N/A</v>
      </c>
      <c r="Q606" s="100"/>
      <c r="R606" s="100"/>
    </row>
    <row r="607" spans="1:18">
      <c r="A607" s="8" t="s">
        <v>14</v>
      </c>
      <c r="B607" s="8" t="s">
        <v>33</v>
      </c>
      <c r="C607" s="8" t="s">
        <v>105</v>
      </c>
      <c r="D607" s="8">
        <v>467.94</v>
      </c>
      <c r="E607" s="8">
        <v>146</v>
      </c>
      <c r="F607" s="8">
        <v>6</v>
      </c>
      <c r="G607" s="1" t="str">
        <f t="shared" si="9"/>
        <v>KOCASİNAN1466</v>
      </c>
      <c r="H607" s="8"/>
      <c r="I607" s="9" t="e">
        <f>IF(VLOOKUP(G607,'Bereketli Satış'!J:AK,5,0)="","",VLOOKUP(G607,'Bereketli Satış'!J:AK,5,0))</f>
        <v>#N/A</v>
      </c>
      <c r="J607" s="9" t="e">
        <f>IF(VLOOKUP(G607,'Bereketli Satış'!J:AK,28,0)="","",VLOOKUP(G607,'Bereketli Satış'!J:AK,28,0))</f>
        <v>#N/A</v>
      </c>
      <c r="K607" s="100"/>
      <c r="L607" s="128"/>
      <c r="M607" s="100" t="e">
        <f>IF(VLOOKUP(G607,'Bereketli Satış'!J:AK,30,0)="","",VLOOKUP(G607,'Bereketli Satış'!J:AK,30,0))</f>
        <v>#N/A</v>
      </c>
      <c r="N607" s="9"/>
      <c r="O607" s="9"/>
      <c r="P607" s="9" t="e">
        <f>IF(VLOOKUP(G607,'Bereketli Satış'!J:AK,32,0)="","",VLOOKUP(G607,'Bereketli Satış'!J:AK,32,0))</f>
        <v>#N/A</v>
      </c>
      <c r="Q607" s="9"/>
      <c r="R607" s="9"/>
    </row>
    <row r="608" spans="1:18">
      <c r="A608" s="8" t="s">
        <v>14</v>
      </c>
      <c r="B608" s="8" t="s">
        <v>23</v>
      </c>
      <c r="C608" s="8" t="s">
        <v>56</v>
      </c>
      <c r="D608" s="8">
        <v>291.48</v>
      </c>
      <c r="E608" s="109">
        <v>12481</v>
      </c>
      <c r="F608" s="3">
        <v>12</v>
      </c>
      <c r="G608" s="1" t="str">
        <f t="shared" si="9"/>
        <v>KUVAYİ MİLLİYE1248112</v>
      </c>
      <c r="H608" s="3"/>
      <c r="I608" s="9" t="e">
        <f>IF(VLOOKUP(G608,'Bereketli Satış'!J:AK,5,0)="","",VLOOKUP(G608,'Bereketli Satış'!J:AK,5,0))</f>
        <v>#N/A</v>
      </c>
      <c r="J608" s="9" t="e">
        <f>IF(VLOOKUP(G608,'Bereketli Satış'!J:AK,28,0)="","",VLOOKUP(G608,'Bereketli Satış'!J:AK,28,0))</f>
        <v>#N/A</v>
      </c>
      <c r="K608" s="9"/>
      <c r="L608" s="128"/>
      <c r="M608" s="100" t="e">
        <f>IF(VLOOKUP(G608,'Bereketli Satış'!J:AK,30,0)="","",VLOOKUP(G608,'Bereketli Satış'!J:AK,30,0))</f>
        <v>#N/A</v>
      </c>
      <c r="N608" s="9"/>
      <c r="O608" s="9"/>
      <c r="P608" s="9" t="e">
        <f>IF(VLOOKUP(G608,'Bereketli Satış'!J:AK,32,0)="","",VLOOKUP(G608,'Bereketli Satış'!J:AK,32,0))</f>
        <v>#N/A</v>
      </c>
      <c r="Q608" s="9"/>
      <c r="R608" s="9"/>
    </row>
    <row r="609" spans="1:18">
      <c r="A609" s="8" t="s">
        <v>14</v>
      </c>
      <c r="B609" s="8" t="s">
        <v>23</v>
      </c>
      <c r="C609" s="8" t="s">
        <v>56</v>
      </c>
      <c r="D609" s="8">
        <v>307.07</v>
      </c>
      <c r="E609" s="109">
        <v>12481</v>
      </c>
      <c r="F609" s="3">
        <v>13</v>
      </c>
      <c r="G609" s="1" t="str">
        <f t="shared" si="9"/>
        <v>KUVAYİ MİLLİYE1248113</v>
      </c>
      <c r="H609" s="3"/>
      <c r="I609" s="9" t="e">
        <f>IF(VLOOKUP(G609,'Bereketli Satış'!J:AK,5,0)="","",VLOOKUP(G609,'Bereketli Satış'!J:AK,5,0))</f>
        <v>#N/A</v>
      </c>
      <c r="J609" s="9" t="e">
        <f>IF(VLOOKUP(G609,'Bereketli Satış'!J:AK,28,0)="","",VLOOKUP(G609,'Bereketli Satış'!J:AK,28,0))</f>
        <v>#N/A</v>
      </c>
      <c r="K609" s="9"/>
      <c r="L609" s="128"/>
      <c r="M609" s="100" t="e">
        <f>IF(VLOOKUP(G609,'Bereketli Satış'!J:AK,30,0)="","",VLOOKUP(G609,'Bereketli Satış'!J:AK,30,0))</f>
        <v>#N/A</v>
      </c>
      <c r="N609" s="112"/>
      <c r="O609" s="112"/>
      <c r="P609" s="9" t="e">
        <f>IF(VLOOKUP(G609,'Bereketli Satış'!J:AK,32,0)="","",VLOOKUP(G609,'Bereketli Satış'!J:AK,32,0))</f>
        <v>#N/A</v>
      </c>
      <c r="Q609" s="112"/>
      <c r="R609" s="112"/>
    </row>
    <row r="610" spans="1:18">
      <c r="A610" s="96" t="s">
        <v>14</v>
      </c>
      <c r="B610" s="96" t="s">
        <v>23</v>
      </c>
      <c r="C610" s="96" t="s">
        <v>56</v>
      </c>
      <c r="D610" s="96">
        <v>273.02</v>
      </c>
      <c r="E610" s="113">
        <v>12655</v>
      </c>
      <c r="F610" s="96">
        <v>4</v>
      </c>
      <c r="G610" s="1" t="str">
        <f t="shared" si="9"/>
        <v>KUVAYİ MİLLİYE126554</v>
      </c>
      <c r="H610" s="96"/>
      <c r="I610" s="9" t="e">
        <f>IF(VLOOKUP(G610,'Bereketli Satış'!J:AK,5,0)="","",VLOOKUP(G610,'Bereketli Satış'!J:AK,5,0))</f>
        <v>#N/A</v>
      </c>
      <c r="J610" s="9" t="e">
        <f>IF(VLOOKUP(G610,'Bereketli Satış'!J:AK,28,0)="","",VLOOKUP(G610,'Bereketli Satış'!J:AK,28,0))</f>
        <v>#N/A</v>
      </c>
      <c r="K610" s="112"/>
      <c r="L610" s="129"/>
      <c r="M610" s="100" t="e">
        <f>IF(VLOOKUP(G610,'Bereketli Satış'!J:AK,30,0)="","",VLOOKUP(G610,'Bereketli Satış'!J:AK,30,0))</f>
        <v>#N/A</v>
      </c>
      <c r="N610" s="9"/>
      <c r="O610" s="9"/>
      <c r="P610" s="9" t="e">
        <f>IF(VLOOKUP(G610,'Bereketli Satış'!J:AK,32,0)="","",VLOOKUP(G610,'Bereketli Satış'!J:AK,32,0))</f>
        <v>#N/A</v>
      </c>
      <c r="Q610" s="9"/>
      <c r="R610" s="9"/>
    </row>
    <row r="611" spans="1:18">
      <c r="A611" s="8" t="s">
        <v>14</v>
      </c>
      <c r="B611" s="8" t="s">
        <v>43</v>
      </c>
      <c r="C611" s="8" t="s">
        <v>106</v>
      </c>
      <c r="D611" s="8">
        <v>5272.68</v>
      </c>
      <c r="E611" s="18">
        <v>193</v>
      </c>
      <c r="F611" s="8">
        <v>485</v>
      </c>
      <c r="G611" s="1" t="str">
        <f t="shared" si="9"/>
        <v>KÜÇÜKKATRANCI193485</v>
      </c>
      <c r="H611" s="8"/>
      <c r="I611" s="9" t="e">
        <f>IF(VLOOKUP(G611,'Bereketli Satış'!J:AK,5,0)="","",VLOOKUP(G611,'Bereketli Satış'!J:AK,5,0))</f>
        <v>#N/A</v>
      </c>
      <c r="J611" s="9" t="e">
        <f>IF(VLOOKUP(G611,'Bereketli Satış'!J:AK,28,0)="","",VLOOKUP(G611,'Bereketli Satış'!J:AK,28,0))</f>
        <v>#N/A</v>
      </c>
      <c r="K611" s="9"/>
      <c r="L611" s="128"/>
      <c r="M611" s="100" t="e">
        <f>IF(VLOOKUP(G611,'Bereketli Satış'!J:AK,30,0)="","",VLOOKUP(G611,'Bereketli Satış'!J:AK,30,0))</f>
        <v>#N/A</v>
      </c>
      <c r="N611" s="100"/>
      <c r="O611" s="100"/>
      <c r="P611" s="9" t="e">
        <f>IF(VLOOKUP(G611,'Bereketli Satış'!J:AK,32,0)="","",VLOOKUP(G611,'Bereketli Satış'!J:AK,32,0))</f>
        <v>#N/A</v>
      </c>
      <c r="Q611" s="100"/>
      <c r="R611" s="100"/>
    </row>
    <row r="612" spans="1:18">
      <c r="A612" s="8" t="s">
        <v>14</v>
      </c>
      <c r="B612" s="8" t="s">
        <v>79</v>
      </c>
      <c r="C612" s="8" t="s">
        <v>107</v>
      </c>
      <c r="D612" s="8">
        <v>804.23</v>
      </c>
      <c r="E612" s="18">
        <v>156</v>
      </c>
      <c r="F612" s="8">
        <v>1</v>
      </c>
      <c r="G612" s="1" t="str">
        <f t="shared" si="9"/>
        <v>KÜRSE1561</v>
      </c>
      <c r="H612" s="8"/>
      <c r="I612" s="9" t="e">
        <f>IF(VLOOKUP(G612,'Bereketli Satış'!J:AK,5,0)="","",VLOOKUP(G612,'Bereketli Satış'!J:AK,5,0))</f>
        <v>#N/A</v>
      </c>
      <c r="J612" s="9" t="e">
        <f>IF(VLOOKUP(G612,'Bereketli Satış'!J:AK,28,0)="","",VLOOKUP(G612,'Bereketli Satış'!J:AK,28,0))</f>
        <v>#N/A</v>
      </c>
      <c r="K612" s="100"/>
      <c r="L612" s="128"/>
      <c r="M612" s="100" t="e">
        <f>IF(VLOOKUP(G612,'Bereketli Satış'!J:AK,30,0)="","",VLOOKUP(G612,'Bereketli Satış'!J:AK,30,0))</f>
        <v>#N/A</v>
      </c>
      <c r="N612" s="100"/>
      <c r="O612" s="100"/>
      <c r="P612" s="9" t="e">
        <f>IF(VLOOKUP(G612,'Bereketli Satış'!J:AK,32,0)="","",VLOOKUP(G612,'Bereketli Satış'!J:AK,32,0))</f>
        <v>#N/A</v>
      </c>
      <c r="Q612" s="100"/>
      <c r="R612" s="100"/>
    </row>
    <row r="613" spans="1:18">
      <c r="A613" s="8" t="s">
        <v>14</v>
      </c>
      <c r="B613" s="8" t="s">
        <v>79</v>
      </c>
      <c r="C613" s="8" t="s">
        <v>107</v>
      </c>
      <c r="D613" s="8">
        <v>974.58</v>
      </c>
      <c r="E613" s="18">
        <v>156</v>
      </c>
      <c r="F613" s="8">
        <v>2</v>
      </c>
      <c r="G613" s="1" t="str">
        <f t="shared" si="9"/>
        <v>KÜRSE1562</v>
      </c>
      <c r="H613" s="8"/>
      <c r="I613" s="9" t="e">
        <f>IF(VLOOKUP(G613,'Bereketli Satış'!J:AK,5,0)="","",VLOOKUP(G613,'Bereketli Satış'!J:AK,5,0))</f>
        <v>#N/A</v>
      </c>
      <c r="J613" s="9" t="e">
        <f>IF(VLOOKUP(G613,'Bereketli Satış'!J:AK,28,0)="","",VLOOKUP(G613,'Bereketli Satış'!J:AK,28,0))</f>
        <v>#N/A</v>
      </c>
      <c r="K613" s="100"/>
      <c r="L613" s="128"/>
      <c r="M613" s="100" t="e">
        <f>IF(VLOOKUP(G613,'Bereketli Satış'!J:AK,30,0)="","",VLOOKUP(G613,'Bereketli Satış'!J:AK,30,0))</f>
        <v>#N/A</v>
      </c>
      <c r="N613" s="9"/>
      <c r="O613" s="9"/>
      <c r="P613" s="9" t="e">
        <f>IF(VLOOKUP(G613,'Bereketli Satış'!J:AK,32,0)="","",VLOOKUP(G613,'Bereketli Satış'!J:AK,32,0))</f>
        <v>#N/A</v>
      </c>
      <c r="Q613" s="9"/>
      <c r="R613" s="9"/>
    </row>
    <row r="614" spans="1:18">
      <c r="A614" s="8" t="s">
        <v>14</v>
      </c>
      <c r="B614" s="8" t="s">
        <v>15</v>
      </c>
      <c r="C614" s="8" t="s">
        <v>63</v>
      </c>
      <c r="D614" s="8">
        <v>622.82000000000005</v>
      </c>
      <c r="E614" s="8">
        <v>0</v>
      </c>
      <c r="F614" s="1">
        <v>992</v>
      </c>
      <c r="G614" s="1" t="str">
        <f t="shared" si="9"/>
        <v>ILICABOĞAZI0992</v>
      </c>
      <c r="H614" s="1"/>
      <c r="I614" s="9" t="e">
        <f>IF(VLOOKUP(G614,'Bereketli Satış'!J:AK,5,0)="","",VLOOKUP(G614,'Bereketli Satış'!J:AK,5,0))</f>
        <v>#N/A</v>
      </c>
      <c r="J614" s="9" t="e">
        <f>IF(VLOOKUP(G614,'Bereketli Satış'!J:AK,28,0)="","",VLOOKUP(G614,'Bereketli Satış'!J:AK,28,0))</f>
        <v>#N/A</v>
      </c>
      <c r="K614" s="9"/>
      <c r="L614" s="128"/>
      <c r="M614" s="100" t="e">
        <f>IF(VLOOKUP(G614,'Bereketli Satış'!J:AK,30,0)="","",VLOOKUP(G614,'Bereketli Satış'!J:AK,30,0))</f>
        <v>#N/A</v>
      </c>
      <c r="N614" s="9"/>
      <c r="O614" s="9"/>
      <c r="P614" s="9" t="e">
        <f>IF(VLOOKUP(G614,'Bereketli Satış'!J:AK,32,0)="","",VLOOKUP(G614,'Bereketli Satış'!J:AK,32,0))</f>
        <v>#N/A</v>
      </c>
      <c r="Q614" s="9"/>
      <c r="R614" s="9"/>
    </row>
    <row r="615" spans="1:18">
      <c r="A615" s="8" t="s">
        <v>14</v>
      </c>
      <c r="B615" s="108" t="s">
        <v>28</v>
      </c>
      <c r="C615" s="8" t="s">
        <v>108</v>
      </c>
      <c r="D615" s="8">
        <v>758.42</v>
      </c>
      <c r="E615" s="8">
        <v>102</v>
      </c>
      <c r="F615" s="3">
        <v>1</v>
      </c>
      <c r="G615" s="1" t="str">
        <f t="shared" si="9"/>
        <v>SELİMAĞA1021</v>
      </c>
      <c r="H615" s="3"/>
      <c r="I615" s="9" t="e">
        <f>IF(VLOOKUP(G615,'Bereketli Satış'!J:AK,5,0)="","",VLOOKUP(G615,'Bereketli Satış'!J:AK,5,0))</f>
        <v>#N/A</v>
      </c>
      <c r="J615" s="9" t="e">
        <f>IF(VLOOKUP(G615,'Bereketli Satış'!J:AK,28,0)="","",VLOOKUP(G615,'Bereketli Satış'!J:AK,28,0))</f>
        <v>#N/A</v>
      </c>
      <c r="K615" s="9"/>
      <c r="L615" s="128"/>
      <c r="M615" s="100" t="e">
        <f>IF(VLOOKUP(G615,'Bereketli Satış'!J:AK,30,0)="","",VLOOKUP(G615,'Bereketli Satış'!J:AK,30,0))</f>
        <v>#N/A</v>
      </c>
      <c r="N615" s="9"/>
      <c r="O615" s="9"/>
      <c r="P615" s="9" t="e">
        <f>IF(VLOOKUP(G615,'Bereketli Satış'!J:AK,32,0)="","",VLOOKUP(G615,'Bereketli Satış'!J:AK,32,0))</f>
        <v>#N/A</v>
      </c>
      <c r="Q615" s="9"/>
      <c r="R615" s="9"/>
    </row>
    <row r="616" spans="1:18">
      <c r="A616" s="8" t="s">
        <v>14</v>
      </c>
      <c r="B616" s="108" t="s">
        <v>28</v>
      </c>
      <c r="C616" s="8" t="s">
        <v>108</v>
      </c>
      <c r="D616" s="8">
        <v>605.88</v>
      </c>
      <c r="E616" s="8">
        <v>102</v>
      </c>
      <c r="F616" s="3">
        <v>3</v>
      </c>
      <c r="G616" s="1" t="str">
        <f t="shared" si="9"/>
        <v>SELİMAĞA1023</v>
      </c>
      <c r="H616" s="3"/>
      <c r="I616" s="9" t="e">
        <f>IF(VLOOKUP(G616,'Bereketli Satış'!J:AK,5,0)="","",VLOOKUP(G616,'Bereketli Satış'!J:AK,5,0))</f>
        <v>#N/A</v>
      </c>
      <c r="J616" s="9" t="e">
        <f>IF(VLOOKUP(G616,'Bereketli Satış'!J:AK,28,0)="","",VLOOKUP(G616,'Bereketli Satış'!J:AK,28,0))</f>
        <v>#N/A</v>
      </c>
      <c r="K616" s="9"/>
      <c r="L616" s="128"/>
      <c r="M616" s="100" t="e">
        <f>IF(VLOOKUP(G616,'Bereketli Satış'!J:AK,30,0)="","",VLOOKUP(G616,'Bereketli Satış'!J:AK,30,0))</f>
        <v>#N/A</v>
      </c>
      <c r="N616" s="9"/>
      <c r="O616" s="9"/>
      <c r="P616" s="9" t="e">
        <f>IF(VLOOKUP(G616,'Bereketli Satış'!J:AK,32,0)="","",VLOOKUP(G616,'Bereketli Satış'!J:AK,32,0))</f>
        <v>#N/A</v>
      </c>
      <c r="Q616" s="9"/>
      <c r="R616" s="9"/>
    </row>
    <row r="617" spans="1:18">
      <c r="A617" s="8" t="s">
        <v>14</v>
      </c>
      <c r="B617" s="8" t="s">
        <v>28</v>
      </c>
      <c r="C617" s="8" t="s">
        <v>108</v>
      </c>
      <c r="D617" s="8">
        <v>593.98</v>
      </c>
      <c r="E617" s="8">
        <v>112</v>
      </c>
      <c r="F617" s="1">
        <v>4</v>
      </c>
      <c r="G617" s="1" t="str">
        <f t="shared" si="9"/>
        <v>SELİMAĞA1124</v>
      </c>
      <c r="H617" s="1"/>
      <c r="I617" s="9" t="e">
        <f>IF(VLOOKUP(G617,'Bereketli Satış'!J:AK,5,0)="","",VLOOKUP(G617,'Bereketli Satış'!J:AK,5,0))</f>
        <v>#N/A</v>
      </c>
      <c r="J617" s="9" t="e">
        <f>IF(VLOOKUP(G617,'Bereketli Satış'!J:AK,28,0)="","",VLOOKUP(G617,'Bereketli Satış'!J:AK,28,0))</f>
        <v>#N/A</v>
      </c>
      <c r="K617" s="9"/>
      <c r="L617" s="128"/>
      <c r="M617" s="100" t="e">
        <f>IF(VLOOKUP(G617,'Bereketli Satış'!J:AK,30,0)="","",VLOOKUP(G617,'Bereketli Satış'!J:AK,30,0))</f>
        <v>#N/A</v>
      </c>
      <c r="N617" s="9"/>
      <c r="O617" s="9"/>
      <c r="P617" s="9" t="e">
        <f>IF(VLOOKUP(G617,'Bereketli Satış'!J:AK,32,0)="","",VLOOKUP(G617,'Bereketli Satış'!J:AK,32,0))</f>
        <v>#N/A</v>
      </c>
      <c r="Q617" s="9"/>
      <c r="R617" s="9"/>
    </row>
    <row r="618" spans="1:18">
      <c r="A618" s="8" t="s">
        <v>14</v>
      </c>
      <c r="B618" s="8" t="s">
        <v>28</v>
      </c>
      <c r="C618" s="8" t="s">
        <v>108</v>
      </c>
      <c r="D618" s="8">
        <v>581.96</v>
      </c>
      <c r="E618" s="8">
        <v>112</v>
      </c>
      <c r="F618" s="1">
        <v>5</v>
      </c>
      <c r="G618" s="1" t="str">
        <f t="shared" si="9"/>
        <v>SELİMAĞA1125</v>
      </c>
      <c r="H618" s="1"/>
      <c r="I618" s="9" t="e">
        <f>IF(VLOOKUP(G618,'Bereketli Satış'!J:AK,5,0)="","",VLOOKUP(G618,'Bereketli Satış'!J:AK,5,0))</f>
        <v>#N/A</v>
      </c>
      <c r="J618" s="9" t="e">
        <f>IF(VLOOKUP(G618,'Bereketli Satış'!J:AK,28,0)="","",VLOOKUP(G618,'Bereketli Satış'!J:AK,28,0))</f>
        <v>#N/A</v>
      </c>
      <c r="K618" s="9"/>
      <c r="L618" s="128"/>
      <c r="M618" s="100" t="e">
        <f>IF(VLOOKUP(G618,'Bereketli Satış'!J:AK,30,0)="","",VLOOKUP(G618,'Bereketli Satış'!J:AK,30,0))</f>
        <v>#N/A</v>
      </c>
      <c r="N618" s="9"/>
      <c r="O618" s="9"/>
      <c r="P618" s="9" t="e">
        <f>IF(VLOOKUP(G618,'Bereketli Satış'!J:AK,32,0)="","",VLOOKUP(G618,'Bereketli Satış'!J:AK,32,0))</f>
        <v>#N/A</v>
      </c>
      <c r="Q618" s="9"/>
      <c r="R618" s="9"/>
    </row>
    <row r="619" spans="1:18">
      <c r="A619" s="8" t="s">
        <v>14</v>
      </c>
      <c r="B619" s="8" t="s">
        <v>28</v>
      </c>
      <c r="C619" s="8" t="s">
        <v>108</v>
      </c>
      <c r="D619" s="8">
        <v>380.81</v>
      </c>
      <c r="E619" s="8">
        <v>112</v>
      </c>
      <c r="F619" s="1">
        <v>6</v>
      </c>
      <c r="G619" s="1" t="str">
        <f t="shared" si="9"/>
        <v>SELİMAĞA1126</v>
      </c>
      <c r="H619" s="1"/>
      <c r="I619" s="9" t="e">
        <f>IF(VLOOKUP(G619,'Bereketli Satış'!J:AK,5,0)="","",VLOOKUP(G619,'Bereketli Satış'!J:AK,5,0))</f>
        <v>#N/A</v>
      </c>
      <c r="J619" s="9" t="e">
        <f>IF(VLOOKUP(G619,'Bereketli Satış'!J:AK,28,0)="","",VLOOKUP(G619,'Bereketli Satış'!J:AK,28,0))</f>
        <v>#N/A</v>
      </c>
      <c r="K619" s="9"/>
      <c r="L619" s="128"/>
      <c r="M619" s="100" t="e">
        <f>IF(VLOOKUP(G619,'Bereketli Satış'!J:AK,30,0)="","",VLOOKUP(G619,'Bereketli Satış'!J:AK,30,0))</f>
        <v>#N/A</v>
      </c>
      <c r="N619" s="9"/>
      <c r="O619" s="9"/>
      <c r="P619" s="9" t="e">
        <f>IF(VLOOKUP(G619,'Bereketli Satış'!J:AK,32,0)="","",VLOOKUP(G619,'Bereketli Satış'!J:AK,32,0))</f>
        <v>#N/A</v>
      </c>
      <c r="Q619" s="9"/>
      <c r="R619" s="9"/>
    </row>
    <row r="620" spans="1:18">
      <c r="A620" s="8" t="s">
        <v>14</v>
      </c>
      <c r="B620" s="8" t="s">
        <v>28</v>
      </c>
      <c r="C620" s="8" t="s">
        <v>108</v>
      </c>
      <c r="D620" s="8">
        <v>380.8</v>
      </c>
      <c r="E620" s="8">
        <v>112</v>
      </c>
      <c r="F620" s="1">
        <v>7</v>
      </c>
      <c r="G620" s="1" t="str">
        <f t="shared" si="9"/>
        <v>SELİMAĞA1127</v>
      </c>
      <c r="H620" s="1"/>
      <c r="I620" s="9" t="e">
        <f>IF(VLOOKUP(G620,'Bereketli Satış'!J:AK,5,0)="","",VLOOKUP(G620,'Bereketli Satış'!J:AK,5,0))</f>
        <v>#N/A</v>
      </c>
      <c r="J620" s="9" t="e">
        <f>IF(VLOOKUP(G620,'Bereketli Satış'!J:AK,28,0)="","",VLOOKUP(G620,'Bereketli Satış'!J:AK,28,0))</f>
        <v>#N/A</v>
      </c>
      <c r="K620" s="9"/>
      <c r="L620" s="128"/>
      <c r="M620" s="100" t="e">
        <f>IF(VLOOKUP(G620,'Bereketli Satış'!J:AK,30,0)="","",VLOOKUP(G620,'Bereketli Satış'!J:AK,30,0))</f>
        <v>#N/A</v>
      </c>
      <c r="N620" s="9"/>
      <c r="O620" s="9"/>
      <c r="P620" s="9" t="e">
        <f>IF(VLOOKUP(G620,'Bereketli Satış'!J:AK,32,0)="","",VLOOKUP(G620,'Bereketli Satış'!J:AK,32,0))</f>
        <v>#N/A</v>
      </c>
      <c r="Q620" s="9"/>
      <c r="R620" s="9"/>
    </row>
    <row r="621" spans="1:18">
      <c r="A621" s="8" t="s">
        <v>14</v>
      </c>
      <c r="B621" s="8" t="s">
        <v>28</v>
      </c>
      <c r="C621" s="8" t="s">
        <v>108</v>
      </c>
      <c r="D621" s="8">
        <v>455.74</v>
      </c>
      <c r="E621" s="8">
        <v>112</v>
      </c>
      <c r="F621" s="1">
        <v>9</v>
      </c>
      <c r="G621" s="1" t="str">
        <f t="shared" si="9"/>
        <v>SELİMAĞA1129</v>
      </c>
      <c r="H621" s="1"/>
      <c r="I621" s="9" t="e">
        <f>IF(VLOOKUP(G621,'Bereketli Satış'!J:AK,5,0)="","",VLOOKUP(G621,'Bereketli Satış'!J:AK,5,0))</f>
        <v>#N/A</v>
      </c>
      <c r="J621" s="9" t="e">
        <f>IF(VLOOKUP(G621,'Bereketli Satış'!J:AK,28,0)="","",VLOOKUP(G621,'Bereketli Satış'!J:AK,28,0))</f>
        <v>#N/A</v>
      </c>
      <c r="K621" s="9"/>
      <c r="L621" s="128"/>
      <c r="M621" s="100" t="e">
        <f>IF(VLOOKUP(G621,'Bereketli Satış'!J:AK,30,0)="","",VLOOKUP(G621,'Bereketli Satış'!J:AK,30,0))</f>
        <v>#N/A</v>
      </c>
      <c r="N621" s="9"/>
      <c r="O621" s="9"/>
      <c r="P621" s="9" t="e">
        <f>IF(VLOOKUP(G621,'Bereketli Satış'!J:AK,32,0)="","",VLOOKUP(G621,'Bereketli Satış'!J:AK,32,0))</f>
        <v>#N/A</v>
      </c>
      <c r="Q621" s="9"/>
      <c r="R621" s="9"/>
    </row>
    <row r="622" spans="1:18">
      <c r="A622" s="8" t="s">
        <v>14</v>
      </c>
      <c r="B622" s="8" t="s">
        <v>28</v>
      </c>
      <c r="C622" s="8" t="s">
        <v>108</v>
      </c>
      <c r="D622" s="8">
        <v>455.74</v>
      </c>
      <c r="E622" s="8">
        <v>112</v>
      </c>
      <c r="F622" s="1">
        <v>10</v>
      </c>
      <c r="G622" s="1" t="str">
        <f t="shared" si="9"/>
        <v>SELİMAĞA11210</v>
      </c>
      <c r="H622" s="1"/>
      <c r="I622" s="9" t="e">
        <f>IF(VLOOKUP(G622,'Bereketli Satış'!J:AK,5,0)="","",VLOOKUP(G622,'Bereketli Satış'!J:AK,5,0))</f>
        <v>#N/A</v>
      </c>
      <c r="J622" s="9" t="e">
        <f>IF(VLOOKUP(G622,'Bereketli Satış'!J:AK,28,0)="","",VLOOKUP(G622,'Bereketli Satış'!J:AK,28,0))</f>
        <v>#N/A</v>
      </c>
      <c r="K622" s="9"/>
      <c r="L622" s="128"/>
      <c r="M622" s="100" t="e">
        <f>IF(VLOOKUP(G622,'Bereketli Satış'!J:AK,30,0)="","",VLOOKUP(G622,'Bereketli Satış'!J:AK,30,0))</f>
        <v>#N/A</v>
      </c>
      <c r="N622" s="9"/>
      <c r="O622" s="9"/>
      <c r="P622" s="9" t="e">
        <f>IF(VLOOKUP(G622,'Bereketli Satış'!J:AK,32,0)="","",VLOOKUP(G622,'Bereketli Satış'!J:AK,32,0))</f>
        <v>#N/A</v>
      </c>
      <c r="Q622" s="9"/>
      <c r="R622" s="9"/>
    </row>
    <row r="623" spans="1:18">
      <c r="A623" s="8" t="s">
        <v>14</v>
      </c>
      <c r="B623" s="8" t="s">
        <v>28</v>
      </c>
      <c r="C623" s="8" t="s">
        <v>108</v>
      </c>
      <c r="D623" s="8">
        <v>455.74</v>
      </c>
      <c r="E623" s="8">
        <v>112</v>
      </c>
      <c r="F623" s="1">
        <v>11</v>
      </c>
      <c r="G623" s="1" t="str">
        <f t="shared" si="9"/>
        <v>SELİMAĞA11211</v>
      </c>
      <c r="H623" s="1"/>
      <c r="I623" s="9" t="e">
        <f>IF(VLOOKUP(G623,'Bereketli Satış'!J:AK,5,0)="","",VLOOKUP(G623,'Bereketli Satış'!J:AK,5,0))</f>
        <v>#N/A</v>
      </c>
      <c r="J623" s="9" t="e">
        <f>IF(VLOOKUP(G623,'Bereketli Satış'!J:AK,28,0)="","",VLOOKUP(G623,'Bereketli Satış'!J:AK,28,0))</f>
        <v>#N/A</v>
      </c>
      <c r="K623" s="9"/>
      <c r="L623" s="128"/>
      <c r="M623" s="100" t="e">
        <f>IF(VLOOKUP(G623,'Bereketli Satış'!J:AK,30,0)="","",VLOOKUP(G623,'Bereketli Satış'!J:AK,30,0))</f>
        <v>#N/A</v>
      </c>
      <c r="N623" s="9"/>
      <c r="O623" s="9"/>
      <c r="P623" s="9" t="e">
        <f>IF(VLOOKUP(G623,'Bereketli Satış'!J:AK,32,0)="","",VLOOKUP(G623,'Bereketli Satış'!J:AK,32,0))</f>
        <v>#N/A</v>
      </c>
      <c r="Q623" s="9"/>
      <c r="R623" s="9"/>
    </row>
    <row r="624" spans="1:18">
      <c r="A624" s="8" t="s">
        <v>14</v>
      </c>
      <c r="B624" s="8" t="s">
        <v>28</v>
      </c>
      <c r="C624" s="8" t="s">
        <v>108</v>
      </c>
      <c r="D624" s="8">
        <v>599.99</v>
      </c>
      <c r="E624" s="8">
        <v>113</v>
      </c>
      <c r="F624" s="1">
        <v>7</v>
      </c>
      <c r="G624" s="1" t="str">
        <f t="shared" si="9"/>
        <v>SELİMAĞA1137</v>
      </c>
      <c r="H624" s="1"/>
      <c r="I624" s="9" t="e">
        <f>IF(VLOOKUP(G624,'Bereketli Satış'!J:AK,5,0)="","",VLOOKUP(G624,'Bereketli Satış'!J:AK,5,0))</f>
        <v>#N/A</v>
      </c>
      <c r="J624" s="9" t="e">
        <f>IF(VLOOKUP(G624,'Bereketli Satış'!J:AK,28,0)="","",VLOOKUP(G624,'Bereketli Satış'!J:AK,28,0))</f>
        <v>#N/A</v>
      </c>
      <c r="K624" s="9"/>
      <c r="L624" s="128"/>
      <c r="M624" s="100" t="e">
        <f>IF(VLOOKUP(G624,'Bereketli Satış'!J:AK,30,0)="","",VLOOKUP(G624,'Bereketli Satış'!J:AK,30,0))</f>
        <v>#N/A</v>
      </c>
      <c r="N624" s="9"/>
      <c r="O624" s="9"/>
      <c r="P624" s="9" t="e">
        <f>IF(VLOOKUP(G624,'Bereketli Satış'!J:AK,32,0)="","",VLOOKUP(G624,'Bereketli Satış'!J:AK,32,0))</f>
        <v>#N/A</v>
      </c>
      <c r="Q624" s="9"/>
      <c r="R624" s="9"/>
    </row>
    <row r="625" spans="1:18">
      <c r="A625" s="8" t="s">
        <v>14</v>
      </c>
      <c r="B625" s="8" t="s">
        <v>28</v>
      </c>
      <c r="C625" s="8" t="s">
        <v>108</v>
      </c>
      <c r="D625" s="8">
        <v>599.99</v>
      </c>
      <c r="E625" s="8">
        <v>113</v>
      </c>
      <c r="F625" s="1">
        <v>8</v>
      </c>
      <c r="G625" s="1" t="str">
        <f t="shared" si="9"/>
        <v>SELİMAĞA1138</v>
      </c>
      <c r="H625" s="1"/>
      <c r="I625" s="9" t="e">
        <f>IF(VLOOKUP(G625,'Bereketli Satış'!J:AK,5,0)="","",VLOOKUP(G625,'Bereketli Satış'!J:AK,5,0))</f>
        <v>#N/A</v>
      </c>
      <c r="J625" s="9" t="e">
        <f>IF(VLOOKUP(G625,'Bereketli Satış'!J:AK,28,0)="","",VLOOKUP(G625,'Bereketli Satış'!J:AK,28,0))</f>
        <v>#N/A</v>
      </c>
      <c r="K625" s="9"/>
      <c r="L625" s="128"/>
      <c r="M625" s="100" t="e">
        <f>IF(VLOOKUP(G625,'Bereketli Satış'!J:AK,30,0)="","",VLOOKUP(G625,'Bereketli Satış'!J:AK,30,0))</f>
        <v>#N/A</v>
      </c>
      <c r="N625" s="9"/>
      <c r="O625" s="9"/>
      <c r="P625" s="9" t="e">
        <f>IF(VLOOKUP(G625,'Bereketli Satış'!J:AK,32,0)="","",VLOOKUP(G625,'Bereketli Satış'!J:AK,32,0))</f>
        <v>#N/A</v>
      </c>
      <c r="Q625" s="9"/>
      <c r="R625" s="9"/>
    </row>
    <row r="626" spans="1:18">
      <c r="A626" s="8" t="s">
        <v>14</v>
      </c>
      <c r="B626" s="8" t="s">
        <v>28</v>
      </c>
      <c r="C626" s="8" t="s">
        <v>108</v>
      </c>
      <c r="D626" s="8">
        <v>401.76</v>
      </c>
      <c r="E626" s="8">
        <v>113</v>
      </c>
      <c r="F626" s="1">
        <v>10</v>
      </c>
      <c r="G626" s="1" t="str">
        <f t="shared" si="9"/>
        <v>SELİMAĞA11310</v>
      </c>
      <c r="H626" s="1"/>
      <c r="I626" s="9" t="e">
        <f>IF(VLOOKUP(G626,'Bereketli Satış'!J:AK,5,0)="","",VLOOKUP(G626,'Bereketli Satış'!J:AK,5,0))</f>
        <v>#N/A</v>
      </c>
      <c r="J626" s="9" t="e">
        <f>IF(VLOOKUP(G626,'Bereketli Satış'!J:AK,28,0)="","",VLOOKUP(G626,'Bereketli Satış'!J:AK,28,0))</f>
        <v>#N/A</v>
      </c>
      <c r="K626" s="9"/>
      <c r="L626" s="128"/>
      <c r="M626" s="100" t="e">
        <f>IF(VLOOKUP(G626,'Bereketli Satış'!J:AK,30,0)="","",VLOOKUP(G626,'Bereketli Satış'!J:AK,30,0))</f>
        <v>#N/A</v>
      </c>
      <c r="N626" s="9"/>
      <c r="O626" s="9"/>
      <c r="P626" s="9" t="e">
        <f>IF(VLOOKUP(G626,'Bereketli Satış'!J:AK,32,0)="","",VLOOKUP(G626,'Bereketli Satış'!J:AK,32,0))</f>
        <v>#N/A</v>
      </c>
      <c r="Q626" s="9"/>
      <c r="R626" s="9"/>
    </row>
    <row r="627" spans="1:18">
      <c r="A627" s="8" t="s">
        <v>14</v>
      </c>
      <c r="B627" s="8" t="s">
        <v>28</v>
      </c>
      <c r="C627" s="8" t="s">
        <v>108</v>
      </c>
      <c r="D627" s="8">
        <v>401.76</v>
      </c>
      <c r="E627" s="8">
        <v>113</v>
      </c>
      <c r="F627" s="1">
        <v>11</v>
      </c>
      <c r="G627" s="1" t="str">
        <f t="shared" si="9"/>
        <v>SELİMAĞA11311</v>
      </c>
      <c r="H627" s="1"/>
      <c r="I627" s="9" t="e">
        <f>IF(VLOOKUP(G627,'Bereketli Satış'!J:AK,5,0)="","",VLOOKUP(G627,'Bereketli Satış'!J:AK,5,0))</f>
        <v>#N/A</v>
      </c>
      <c r="J627" s="9" t="e">
        <f>IF(VLOOKUP(G627,'Bereketli Satış'!J:AK,28,0)="","",VLOOKUP(G627,'Bereketli Satış'!J:AK,28,0))</f>
        <v>#N/A</v>
      </c>
      <c r="K627" s="9"/>
      <c r="L627" s="128"/>
      <c r="M627" s="100" t="e">
        <f>IF(VLOOKUP(G627,'Bereketli Satış'!J:AK,30,0)="","",VLOOKUP(G627,'Bereketli Satış'!J:AK,30,0))</f>
        <v>#N/A</v>
      </c>
      <c r="N627" s="9"/>
      <c r="O627" s="9"/>
      <c r="P627" s="9" t="e">
        <f>IF(VLOOKUP(G627,'Bereketli Satış'!J:AK,32,0)="","",VLOOKUP(G627,'Bereketli Satış'!J:AK,32,0))</f>
        <v>#N/A</v>
      </c>
      <c r="Q627" s="9"/>
      <c r="R627" s="9"/>
    </row>
    <row r="628" spans="1:18">
      <c r="A628" s="8" t="s">
        <v>14</v>
      </c>
      <c r="B628" s="8" t="s">
        <v>28</v>
      </c>
      <c r="C628" s="8" t="s">
        <v>108</v>
      </c>
      <c r="D628" s="8">
        <v>559.02</v>
      </c>
      <c r="E628" s="8">
        <v>113</v>
      </c>
      <c r="F628" s="1">
        <v>12</v>
      </c>
      <c r="G628" s="1" t="str">
        <f t="shared" si="9"/>
        <v>SELİMAĞA11312</v>
      </c>
      <c r="H628" s="1"/>
      <c r="I628" s="9" t="e">
        <f>IF(VLOOKUP(G628,'Bereketli Satış'!J:AK,5,0)="","",VLOOKUP(G628,'Bereketli Satış'!J:AK,5,0))</f>
        <v>#N/A</v>
      </c>
      <c r="J628" s="9" t="e">
        <f>IF(VLOOKUP(G628,'Bereketli Satış'!J:AK,28,0)="","",VLOOKUP(G628,'Bereketli Satış'!J:AK,28,0))</f>
        <v>#N/A</v>
      </c>
      <c r="K628" s="9"/>
      <c r="L628" s="128"/>
      <c r="M628" s="100" t="e">
        <f>IF(VLOOKUP(G628,'Bereketli Satış'!J:AK,30,0)="","",VLOOKUP(G628,'Bereketli Satış'!J:AK,30,0))</f>
        <v>#N/A</v>
      </c>
      <c r="N628" s="9"/>
      <c r="O628" s="9"/>
      <c r="P628" s="9" t="e">
        <f>IF(VLOOKUP(G628,'Bereketli Satış'!J:AK,32,0)="","",VLOOKUP(G628,'Bereketli Satış'!J:AK,32,0))</f>
        <v>#N/A</v>
      </c>
      <c r="Q628" s="9"/>
      <c r="R628" s="9"/>
    </row>
    <row r="629" spans="1:18">
      <c r="A629" s="8" t="s">
        <v>14</v>
      </c>
      <c r="B629" s="8" t="s">
        <v>28</v>
      </c>
      <c r="C629" s="8" t="s">
        <v>108</v>
      </c>
      <c r="D629" s="8">
        <v>559.02</v>
      </c>
      <c r="E629" s="8">
        <v>113</v>
      </c>
      <c r="F629" s="1">
        <v>13</v>
      </c>
      <c r="G629" s="1" t="str">
        <f t="shared" si="9"/>
        <v>SELİMAĞA11313</v>
      </c>
      <c r="H629" s="1"/>
      <c r="I629" s="9" t="e">
        <f>IF(VLOOKUP(G629,'Bereketli Satış'!J:AK,5,0)="","",VLOOKUP(G629,'Bereketli Satış'!J:AK,5,0))</f>
        <v>#N/A</v>
      </c>
      <c r="J629" s="9" t="e">
        <f>IF(VLOOKUP(G629,'Bereketli Satış'!J:AK,28,0)="","",VLOOKUP(G629,'Bereketli Satış'!J:AK,28,0))</f>
        <v>#N/A</v>
      </c>
      <c r="K629" s="9"/>
      <c r="L629" s="128"/>
      <c r="M629" s="100" t="e">
        <f>IF(VLOOKUP(G629,'Bereketli Satış'!J:AK,30,0)="","",VLOOKUP(G629,'Bereketli Satış'!J:AK,30,0))</f>
        <v>#N/A</v>
      </c>
      <c r="N629" s="9"/>
      <c r="O629" s="9"/>
      <c r="P629" s="9" t="e">
        <f>IF(VLOOKUP(G629,'Bereketli Satış'!J:AK,32,0)="","",VLOOKUP(G629,'Bereketli Satış'!J:AK,32,0))</f>
        <v>#N/A</v>
      </c>
      <c r="Q629" s="9"/>
      <c r="R629" s="9"/>
    </row>
    <row r="630" spans="1:18">
      <c r="A630" s="8" t="s">
        <v>14</v>
      </c>
      <c r="B630" s="8" t="s">
        <v>28</v>
      </c>
      <c r="C630" s="8" t="s">
        <v>108</v>
      </c>
      <c r="D630" s="8">
        <v>507.45</v>
      </c>
      <c r="E630" s="8">
        <v>113</v>
      </c>
      <c r="F630" s="1">
        <v>15</v>
      </c>
      <c r="G630" s="1" t="str">
        <f t="shared" si="9"/>
        <v>SELİMAĞA11315</v>
      </c>
      <c r="H630" s="1"/>
      <c r="I630" s="9" t="e">
        <f>IF(VLOOKUP(G630,'Bereketli Satış'!J:AK,5,0)="","",VLOOKUP(G630,'Bereketli Satış'!J:AK,5,0))</f>
        <v>#N/A</v>
      </c>
      <c r="J630" s="9" t="e">
        <f>IF(VLOOKUP(G630,'Bereketli Satış'!J:AK,28,0)="","",VLOOKUP(G630,'Bereketli Satış'!J:AK,28,0))</f>
        <v>#N/A</v>
      </c>
      <c r="K630" s="9"/>
      <c r="L630" s="128"/>
      <c r="M630" s="100" t="e">
        <f>IF(VLOOKUP(G630,'Bereketli Satış'!J:AK,30,0)="","",VLOOKUP(G630,'Bereketli Satış'!J:AK,30,0))</f>
        <v>#N/A</v>
      </c>
      <c r="N630" s="9"/>
      <c r="O630" s="9"/>
      <c r="P630" s="9" t="e">
        <f>IF(VLOOKUP(G630,'Bereketli Satış'!J:AK,32,0)="","",VLOOKUP(G630,'Bereketli Satış'!J:AK,32,0))</f>
        <v>#N/A</v>
      </c>
      <c r="Q630" s="9"/>
      <c r="R630" s="9"/>
    </row>
    <row r="631" spans="1:18">
      <c r="A631" s="8" t="s">
        <v>14</v>
      </c>
      <c r="B631" s="8" t="s">
        <v>28</v>
      </c>
      <c r="C631" s="8" t="s">
        <v>108</v>
      </c>
      <c r="D631" s="8">
        <v>507.45</v>
      </c>
      <c r="E631" s="8">
        <v>113</v>
      </c>
      <c r="F631" s="1">
        <v>16</v>
      </c>
      <c r="G631" s="1" t="str">
        <f t="shared" si="9"/>
        <v>SELİMAĞA11316</v>
      </c>
      <c r="H631" s="1"/>
      <c r="I631" s="9" t="e">
        <f>IF(VLOOKUP(G631,'Bereketli Satış'!J:AK,5,0)="","",VLOOKUP(G631,'Bereketli Satış'!J:AK,5,0))</f>
        <v>#N/A</v>
      </c>
      <c r="J631" s="9" t="e">
        <f>IF(VLOOKUP(G631,'Bereketli Satış'!J:AK,28,0)="","",VLOOKUP(G631,'Bereketli Satış'!J:AK,28,0))</f>
        <v>#N/A</v>
      </c>
      <c r="K631" s="9"/>
      <c r="L631" s="128"/>
      <c r="M631" s="100" t="e">
        <f>IF(VLOOKUP(G631,'Bereketli Satış'!J:AK,30,0)="","",VLOOKUP(G631,'Bereketli Satış'!J:AK,30,0))</f>
        <v>#N/A</v>
      </c>
      <c r="N631" s="9"/>
      <c r="O631" s="9"/>
      <c r="P631" s="9" t="e">
        <f>IF(VLOOKUP(G631,'Bereketli Satış'!J:AK,32,0)="","",VLOOKUP(G631,'Bereketli Satış'!J:AK,32,0))</f>
        <v>#N/A</v>
      </c>
      <c r="Q631" s="9"/>
      <c r="R631" s="9"/>
    </row>
    <row r="632" spans="1:18">
      <c r="A632" s="8" t="s">
        <v>14</v>
      </c>
      <c r="B632" s="8" t="s">
        <v>28</v>
      </c>
      <c r="C632" s="8" t="s">
        <v>108</v>
      </c>
      <c r="D632" s="8">
        <v>507.45</v>
      </c>
      <c r="E632" s="8">
        <v>113</v>
      </c>
      <c r="F632" s="1">
        <v>17</v>
      </c>
      <c r="G632" s="1" t="str">
        <f t="shared" si="9"/>
        <v>SELİMAĞA11317</v>
      </c>
      <c r="H632" s="1"/>
      <c r="I632" s="9" t="e">
        <f>IF(VLOOKUP(G632,'Bereketli Satış'!J:AK,5,0)="","",VLOOKUP(G632,'Bereketli Satış'!J:AK,5,0))</f>
        <v>#N/A</v>
      </c>
      <c r="J632" s="9" t="e">
        <f>IF(VLOOKUP(G632,'Bereketli Satış'!J:AK,28,0)="","",VLOOKUP(G632,'Bereketli Satış'!J:AK,28,0))</f>
        <v>#N/A</v>
      </c>
      <c r="K632" s="9"/>
      <c r="L632" s="128"/>
      <c r="M632" s="100" t="e">
        <f>IF(VLOOKUP(G632,'Bereketli Satış'!J:AK,30,0)="","",VLOOKUP(G632,'Bereketli Satış'!J:AK,30,0))</f>
        <v>#N/A</v>
      </c>
      <c r="N632" s="9"/>
      <c r="O632" s="9"/>
      <c r="P632" s="9" t="e">
        <f>IF(VLOOKUP(G632,'Bereketli Satış'!J:AK,32,0)="","",VLOOKUP(G632,'Bereketli Satış'!J:AK,32,0))</f>
        <v>#N/A</v>
      </c>
      <c r="Q632" s="9"/>
      <c r="R632" s="9"/>
    </row>
    <row r="633" spans="1:18">
      <c r="A633" s="8" t="s">
        <v>14</v>
      </c>
      <c r="B633" s="8" t="s">
        <v>28</v>
      </c>
      <c r="C633" s="8" t="s">
        <v>108</v>
      </c>
      <c r="D633" s="8">
        <v>507.45</v>
      </c>
      <c r="E633" s="8">
        <v>113</v>
      </c>
      <c r="F633" s="1">
        <v>18</v>
      </c>
      <c r="G633" s="1" t="str">
        <f t="shared" si="9"/>
        <v>SELİMAĞA11318</v>
      </c>
      <c r="H633" s="1"/>
      <c r="I633" s="9" t="e">
        <f>IF(VLOOKUP(G633,'Bereketli Satış'!J:AK,5,0)="","",VLOOKUP(G633,'Bereketli Satış'!J:AK,5,0))</f>
        <v>#N/A</v>
      </c>
      <c r="J633" s="9" t="e">
        <f>IF(VLOOKUP(G633,'Bereketli Satış'!J:AK,28,0)="","",VLOOKUP(G633,'Bereketli Satış'!J:AK,28,0))</f>
        <v>#N/A</v>
      </c>
      <c r="K633" s="9"/>
      <c r="L633" s="128"/>
      <c r="M633" s="100" t="e">
        <f>IF(VLOOKUP(G633,'Bereketli Satış'!J:AK,30,0)="","",VLOOKUP(G633,'Bereketli Satış'!J:AK,30,0))</f>
        <v>#N/A</v>
      </c>
      <c r="N633" s="9"/>
      <c r="O633" s="9"/>
      <c r="P633" s="9" t="e">
        <f>IF(VLOOKUP(G633,'Bereketli Satış'!J:AK,32,0)="","",VLOOKUP(G633,'Bereketli Satış'!J:AK,32,0))</f>
        <v>#N/A</v>
      </c>
      <c r="Q633" s="9"/>
      <c r="R633" s="9"/>
    </row>
    <row r="634" spans="1:18">
      <c r="A634" s="8" t="s">
        <v>14</v>
      </c>
      <c r="B634" s="108" t="s">
        <v>28</v>
      </c>
      <c r="C634" s="8" t="s">
        <v>108</v>
      </c>
      <c r="D634" s="8">
        <v>599.51</v>
      </c>
      <c r="E634" s="8">
        <v>120</v>
      </c>
      <c r="F634" s="3">
        <v>3</v>
      </c>
      <c r="G634" s="1" t="str">
        <f t="shared" si="9"/>
        <v>SELİMAĞA1203</v>
      </c>
      <c r="H634" s="3"/>
      <c r="I634" s="9" t="e">
        <f>IF(VLOOKUP(G634,'Bereketli Satış'!J:AK,5,0)="","",VLOOKUP(G634,'Bereketli Satış'!J:AK,5,0))</f>
        <v>#N/A</v>
      </c>
      <c r="J634" s="9" t="e">
        <f>IF(VLOOKUP(G634,'Bereketli Satış'!J:AK,28,0)="","",VLOOKUP(G634,'Bereketli Satış'!J:AK,28,0))</f>
        <v>#N/A</v>
      </c>
      <c r="K634" s="9"/>
      <c r="L634" s="128"/>
      <c r="M634" s="100" t="e">
        <f>IF(VLOOKUP(G634,'Bereketli Satış'!J:AK,30,0)="","",VLOOKUP(G634,'Bereketli Satış'!J:AK,30,0))</f>
        <v>#N/A</v>
      </c>
      <c r="N634" s="9"/>
      <c r="O634" s="9"/>
      <c r="P634" s="9" t="e">
        <f>IF(VLOOKUP(G634,'Bereketli Satış'!J:AK,32,0)="","",VLOOKUP(G634,'Bereketli Satış'!J:AK,32,0))</f>
        <v>#N/A</v>
      </c>
      <c r="Q634" s="9"/>
      <c r="R634" s="9"/>
    </row>
    <row r="635" spans="1:18">
      <c r="A635" s="8" t="s">
        <v>14</v>
      </c>
      <c r="B635" s="108" t="s">
        <v>28</v>
      </c>
      <c r="C635" s="8" t="s">
        <v>108</v>
      </c>
      <c r="D635" s="8">
        <v>598.52</v>
      </c>
      <c r="E635" s="8">
        <v>120</v>
      </c>
      <c r="F635" s="3">
        <v>4</v>
      </c>
      <c r="G635" s="1" t="str">
        <f t="shared" si="9"/>
        <v>SELİMAĞA1204</v>
      </c>
      <c r="H635" s="3"/>
      <c r="I635" s="9" t="e">
        <f>IF(VLOOKUP(G635,'Bereketli Satış'!J:AK,5,0)="","",VLOOKUP(G635,'Bereketli Satış'!J:AK,5,0))</f>
        <v>#N/A</v>
      </c>
      <c r="J635" s="9" t="e">
        <f>IF(VLOOKUP(G635,'Bereketli Satış'!J:AK,28,0)="","",VLOOKUP(G635,'Bereketli Satış'!J:AK,28,0))</f>
        <v>#N/A</v>
      </c>
      <c r="K635" s="9"/>
      <c r="L635" s="128"/>
      <c r="M635" s="100" t="e">
        <f>IF(VLOOKUP(G635,'Bereketli Satış'!J:AK,30,0)="","",VLOOKUP(G635,'Bereketli Satış'!J:AK,30,0))</f>
        <v>#N/A</v>
      </c>
      <c r="N635" s="9"/>
      <c r="O635" s="9"/>
      <c r="P635" s="9" t="e">
        <f>IF(VLOOKUP(G635,'Bereketli Satış'!J:AK,32,0)="","",VLOOKUP(G635,'Bereketli Satış'!J:AK,32,0))</f>
        <v>#N/A</v>
      </c>
      <c r="Q635" s="9"/>
      <c r="R635" s="9"/>
    </row>
    <row r="636" spans="1:18">
      <c r="A636" s="8" t="s">
        <v>14</v>
      </c>
      <c r="B636" s="8" t="s">
        <v>79</v>
      </c>
      <c r="C636" s="8" t="s">
        <v>109</v>
      </c>
      <c r="D636" s="111">
        <v>561.91</v>
      </c>
      <c r="E636" s="18">
        <v>128</v>
      </c>
      <c r="F636" s="8">
        <v>2</v>
      </c>
      <c r="G636" s="1" t="str">
        <f t="shared" si="9"/>
        <v>SELİMİYE1282</v>
      </c>
      <c r="H636" s="8"/>
      <c r="I636" s="9" t="e">
        <f>IF(VLOOKUP(G636,'Bereketli Satış'!J:AK,5,0)="","",VLOOKUP(G636,'Bereketli Satış'!J:AK,5,0))</f>
        <v>#N/A</v>
      </c>
      <c r="J636" s="9" t="e">
        <f>IF(VLOOKUP(G636,'Bereketli Satış'!J:AK,28,0)="","",VLOOKUP(G636,'Bereketli Satış'!J:AK,28,0))</f>
        <v>#N/A</v>
      </c>
      <c r="K636" s="9"/>
      <c r="L636" s="128"/>
      <c r="M636" s="100" t="e">
        <f>IF(VLOOKUP(G636,'Bereketli Satış'!J:AK,30,0)="","",VLOOKUP(G636,'Bereketli Satış'!J:AK,30,0))</f>
        <v>#N/A</v>
      </c>
      <c r="N636" s="9"/>
      <c r="O636" s="9"/>
      <c r="P636" s="9" t="e">
        <f>IF(VLOOKUP(G636,'Bereketli Satış'!J:AK,32,0)="","",VLOOKUP(G636,'Bereketli Satış'!J:AK,32,0))</f>
        <v>#N/A</v>
      </c>
      <c r="Q636" s="9"/>
      <c r="R636" s="9"/>
    </row>
    <row r="637" spans="1:18">
      <c r="A637" s="8" t="s">
        <v>14</v>
      </c>
      <c r="B637" s="8" t="s">
        <v>79</v>
      </c>
      <c r="C637" s="8" t="s">
        <v>109</v>
      </c>
      <c r="D637" s="8">
        <v>558.39</v>
      </c>
      <c r="E637" s="18">
        <v>128</v>
      </c>
      <c r="F637" s="8">
        <v>3</v>
      </c>
      <c r="G637" s="1" t="str">
        <f t="shared" si="9"/>
        <v>SELİMİYE1283</v>
      </c>
      <c r="H637" s="8"/>
      <c r="I637" s="9" t="e">
        <f>IF(VLOOKUP(G637,'Bereketli Satış'!J:AK,5,0)="","",VLOOKUP(G637,'Bereketli Satış'!J:AK,5,0))</f>
        <v>#N/A</v>
      </c>
      <c r="J637" s="9" t="e">
        <f>IF(VLOOKUP(G637,'Bereketli Satış'!J:AK,28,0)="","",VLOOKUP(G637,'Bereketli Satış'!J:AK,28,0))</f>
        <v>#N/A</v>
      </c>
      <c r="K637" s="9"/>
      <c r="L637" s="128"/>
      <c r="M637" s="100" t="e">
        <f>IF(VLOOKUP(G637,'Bereketli Satış'!J:AK,30,0)="","",VLOOKUP(G637,'Bereketli Satış'!J:AK,30,0))</f>
        <v>#N/A</v>
      </c>
      <c r="N637" s="9"/>
      <c r="O637" s="9"/>
      <c r="P637" s="9" t="e">
        <f>IF(VLOOKUP(G637,'Bereketli Satış'!J:AK,32,0)="","",VLOOKUP(G637,'Bereketli Satış'!J:AK,32,0))</f>
        <v>#N/A</v>
      </c>
      <c r="Q637" s="9"/>
      <c r="R637" s="9"/>
    </row>
    <row r="638" spans="1:18">
      <c r="A638" s="8" t="s">
        <v>14</v>
      </c>
      <c r="B638" s="8" t="s">
        <v>79</v>
      </c>
      <c r="C638" s="8" t="s">
        <v>109</v>
      </c>
      <c r="D638" s="8">
        <v>570.64</v>
      </c>
      <c r="E638" s="114">
        <v>140</v>
      </c>
      <c r="F638" s="8">
        <v>2</v>
      </c>
      <c r="G638" s="1" t="str">
        <f t="shared" si="9"/>
        <v>SELİMİYE1402</v>
      </c>
      <c r="H638" s="8"/>
      <c r="I638" s="9" t="e">
        <f>IF(VLOOKUP(G638,'Bereketli Satış'!J:AK,5,0)="","",VLOOKUP(G638,'Bereketli Satış'!J:AK,5,0))</f>
        <v>#N/A</v>
      </c>
      <c r="J638" s="9" t="e">
        <f>IF(VLOOKUP(G638,'Bereketli Satış'!J:AK,28,0)="","",VLOOKUP(G638,'Bereketli Satış'!J:AK,28,0))</f>
        <v>#N/A</v>
      </c>
      <c r="K638" s="9"/>
      <c r="L638" s="128"/>
      <c r="M638" s="100" t="e">
        <f>IF(VLOOKUP(G638,'Bereketli Satış'!J:AK,30,0)="","",VLOOKUP(G638,'Bereketli Satış'!J:AK,30,0))</f>
        <v>#N/A</v>
      </c>
      <c r="N638" s="9"/>
      <c r="O638" s="9"/>
      <c r="P638" s="9" t="e">
        <f>IF(VLOOKUP(G638,'Bereketli Satış'!J:AK,32,0)="","",VLOOKUP(G638,'Bereketli Satış'!J:AK,32,0))</f>
        <v>#N/A</v>
      </c>
      <c r="Q638" s="9"/>
      <c r="R638" s="9"/>
    </row>
    <row r="639" spans="1:18">
      <c r="A639" s="8" t="s">
        <v>14</v>
      </c>
      <c r="B639" s="8" t="s">
        <v>15</v>
      </c>
      <c r="C639" s="8" t="s">
        <v>75</v>
      </c>
      <c r="D639" s="8">
        <v>670.4</v>
      </c>
      <c r="E639" s="8">
        <v>0</v>
      </c>
      <c r="F639" s="8">
        <v>978</v>
      </c>
      <c r="G639" s="1" t="str">
        <f t="shared" si="9"/>
        <v>Sultançayır0978</v>
      </c>
      <c r="H639" s="8"/>
      <c r="I639" s="9" t="e">
        <f>IF(VLOOKUP(G639,'Bereketli Satış'!J:AK,5,0)="","",VLOOKUP(G639,'Bereketli Satış'!J:AK,5,0))</f>
        <v>#N/A</v>
      </c>
      <c r="J639" s="9" t="e">
        <f>IF(VLOOKUP(G639,'Bereketli Satış'!J:AK,28,0)="","",VLOOKUP(G639,'Bereketli Satış'!J:AK,28,0))</f>
        <v>#N/A</v>
      </c>
      <c r="K639" s="9"/>
      <c r="L639" s="128"/>
      <c r="M639" s="100" t="e">
        <f>IF(VLOOKUP(G639,'Bereketli Satış'!J:AK,30,0)="","",VLOOKUP(G639,'Bereketli Satış'!J:AK,30,0))</f>
        <v>#N/A</v>
      </c>
      <c r="N639" s="9"/>
      <c r="O639" s="9"/>
      <c r="P639" s="9" t="e">
        <f>IF(VLOOKUP(G639,'Bereketli Satış'!J:AK,32,0)="","",VLOOKUP(G639,'Bereketli Satış'!J:AK,32,0))</f>
        <v>#N/A</v>
      </c>
      <c r="Q639" s="9"/>
      <c r="R639" s="9"/>
    </row>
    <row r="640" spans="1:18">
      <c r="A640" s="8" t="s">
        <v>14</v>
      </c>
      <c r="B640" s="8" t="s">
        <v>15</v>
      </c>
      <c r="C640" s="8" t="s">
        <v>75</v>
      </c>
      <c r="D640" s="8">
        <v>615.79</v>
      </c>
      <c r="E640" s="8">
        <v>0</v>
      </c>
      <c r="F640" s="8">
        <v>979</v>
      </c>
      <c r="G640" s="1" t="str">
        <f t="shared" si="9"/>
        <v>Sultançayır0979</v>
      </c>
      <c r="H640" s="8"/>
      <c r="I640" s="9" t="e">
        <f>IF(VLOOKUP(G640,'Bereketli Satış'!J:AK,5,0)="","",VLOOKUP(G640,'Bereketli Satış'!J:AK,5,0))</f>
        <v>#N/A</v>
      </c>
      <c r="J640" s="9" t="e">
        <f>IF(VLOOKUP(G640,'Bereketli Satış'!J:AK,28,0)="","",VLOOKUP(G640,'Bereketli Satış'!J:AK,28,0))</f>
        <v>#N/A</v>
      </c>
      <c r="K640" s="9"/>
      <c r="L640" s="128"/>
      <c r="M640" s="100" t="e">
        <f>IF(VLOOKUP(G640,'Bereketli Satış'!J:AK,30,0)="","",VLOOKUP(G640,'Bereketli Satış'!J:AK,30,0))</f>
        <v>#N/A</v>
      </c>
      <c r="N640" s="9"/>
      <c r="O640" s="9"/>
      <c r="P640" s="9" t="e">
        <f>IF(VLOOKUP(G640,'Bereketli Satış'!J:AK,32,0)="","",VLOOKUP(G640,'Bereketli Satış'!J:AK,32,0))</f>
        <v>#N/A</v>
      </c>
      <c r="Q640" s="9"/>
      <c r="R640" s="9"/>
    </row>
    <row r="641" spans="1:18">
      <c r="A641" s="8" t="s">
        <v>17</v>
      </c>
      <c r="B641" s="8" t="s">
        <v>76</v>
      </c>
      <c r="C641" s="8" t="s">
        <v>77</v>
      </c>
      <c r="D641" s="8">
        <v>612.5</v>
      </c>
      <c r="E641" s="18">
        <v>101</v>
      </c>
      <c r="F641" s="8">
        <v>10</v>
      </c>
      <c r="G641" s="1" t="str">
        <f t="shared" si="9"/>
        <v>TEPECİK10110</v>
      </c>
      <c r="H641" s="8"/>
      <c r="I641" s="9" t="e">
        <f>IF(VLOOKUP(G641,'Bereketli Satış'!J:AK,5,0)="","",VLOOKUP(G641,'Bereketli Satış'!J:AK,5,0))</f>
        <v>#N/A</v>
      </c>
      <c r="J641" s="9" t="e">
        <f>IF(VLOOKUP(G641,'Bereketli Satış'!J:AK,28,0)="","",VLOOKUP(G641,'Bereketli Satış'!J:AK,28,0))</f>
        <v>#N/A</v>
      </c>
      <c r="K641" s="9"/>
      <c r="L641" s="128"/>
      <c r="M641" s="100" t="e">
        <f>IF(VLOOKUP(G641,'Bereketli Satış'!J:AK,30,0)="","",VLOOKUP(G641,'Bereketli Satış'!J:AK,30,0))</f>
        <v>#N/A</v>
      </c>
      <c r="N641" s="9"/>
      <c r="O641" s="9"/>
      <c r="P641" s="9" t="e">
        <f>IF(VLOOKUP(G641,'Bereketli Satış'!J:AK,32,0)="","",VLOOKUP(G641,'Bereketli Satış'!J:AK,32,0))</f>
        <v>#N/A</v>
      </c>
      <c r="Q641" s="9"/>
      <c r="R641" s="9"/>
    </row>
    <row r="642" spans="1:18">
      <c r="A642" s="8" t="s">
        <v>17</v>
      </c>
      <c r="B642" s="8" t="s">
        <v>76</v>
      </c>
      <c r="C642" s="8" t="s">
        <v>77</v>
      </c>
      <c r="D642" s="8">
        <v>612.5</v>
      </c>
      <c r="E642" s="18">
        <v>102</v>
      </c>
      <c r="F642" s="8">
        <v>4</v>
      </c>
      <c r="G642" s="1" t="str">
        <f t="shared" si="9"/>
        <v>TEPECİK1024</v>
      </c>
      <c r="H642" s="8"/>
      <c r="I642" s="9" t="e">
        <f>IF(VLOOKUP(G642,'Bereketli Satış'!J:AK,5,0)="","",VLOOKUP(G642,'Bereketli Satış'!J:AK,5,0))</f>
        <v>#N/A</v>
      </c>
      <c r="J642" s="9" t="e">
        <f>IF(VLOOKUP(G642,'Bereketli Satış'!J:AK,28,0)="","",VLOOKUP(G642,'Bereketli Satış'!J:AK,28,0))</f>
        <v>#N/A</v>
      </c>
      <c r="K642" s="9"/>
      <c r="L642" s="128"/>
      <c r="M642" s="100" t="e">
        <f>IF(VLOOKUP(G642,'Bereketli Satış'!J:AK,30,0)="","",VLOOKUP(G642,'Bereketli Satış'!J:AK,30,0))</f>
        <v>#N/A</v>
      </c>
      <c r="N642" s="9"/>
      <c r="O642" s="9"/>
      <c r="P642" s="9" t="e">
        <f>IF(VLOOKUP(G642,'Bereketli Satış'!J:AK,32,0)="","",VLOOKUP(G642,'Bereketli Satış'!J:AK,32,0))</f>
        <v>#N/A</v>
      </c>
      <c r="Q642" s="9"/>
      <c r="R642" s="9"/>
    </row>
    <row r="643" spans="1:18">
      <c r="A643" s="8" t="s">
        <v>17</v>
      </c>
      <c r="B643" s="8" t="s">
        <v>76</v>
      </c>
      <c r="C643" s="8" t="s">
        <v>77</v>
      </c>
      <c r="D643" s="8">
        <v>612.5</v>
      </c>
      <c r="E643" s="18">
        <v>102</v>
      </c>
      <c r="F643" s="8">
        <v>8</v>
      </c>
      <c r="G643" s="1" t="str">
        <f t="shared" ref="G643:G706" si="10">C643&amp;E643&amp;F643</f>
        <v>TEPECİK1028</v>
      </c>
      <c r="H643" s="8"/>
      <c r="I643" s="9" t="e">
        <f>IF(VLOOKUP(G643,'Bereketli Satış'!J:AK,5,0)="","",VLOOKUP(G643,'Bereketli Satış'!J:AK,5,0))</f>
        <v>#N/A</v>
      </c>
      <c r="J643" s="9" t="e">
        <f>IF(VLOOKUP(G643,'Bereketli Satış'!J:AK,28,0)="","",VLOOKUP(G643,'Bereketli Satış'!J:AK,28,0))</f>
        <v>#N/A</v>
      </c>
      <c r="K643" s="9"/>
      <c r="L643" s="128"/>
      <c r="M643" s="100" t="e">
        <f>IF(VLOOKUP(G643,'Bereketli Satış'!J:AK,30,0)="","",VLOOKUP(G643,'Bereketli Satış'!J:AK,30,0))</f>
        <v>#N/A</v>
      </c>
      <c r="N643" s="9"/>
      <c r="O643" s="9"/>
      <c r="P643" s="9" t="e">
        <f>IF(VLOOKUP(G643,'Bereketli Satış'!J:AK,32,0)="","",VLOOKUP(G643,'Bereketli Satış'!J:AK,32,0))</f>
        <v>#N/A</v>
      </c>
      <c r="Q643" s="9"/>
      <c r="R643" s="9"/>
    </row>
    <row r="644" spans="1:18">
      <c r="A644" s="8" t="s">
        <v>14</v>
      </c>
      <c r="B644" s="8" t="s">
        <v>23</v>
      </c>
      <c r="C644" s="115" t="s">
        <v>60</v>
      </c>
      <c r="D644" s="24">
        <v>615.04999999999995</v>
      </c>
      <c r="E644" s="18">
        <v>138</v>
      </c>
      <c r="F644" s="8">
        <v>4</v>
      </c>
      <c r="G644" s="1" t="str">
        <f t="shared" si="10"/>
        <v>TURPLU1384</v>
      </c>
      <c r="H644" s="8"/>
      <c r="I644" s="9" t="e">
        <f>IF(VLOOKUP(G644,'Bereketli Satış'!J:AK,5,0)="","",VLOOKUP(G644,'Bereketli Satış'!J:AK,5,0))</f>
        <v>#N/A</v>
      </c>
      <c r="J644" s="9" t="e">
        <f>IF(VLOOKUP(G644,'Bereketli Satış'!J:AK,28,0)="","",VLOOKUP(G644,'Bereketli Satış'!J:AK,28,0))</f>
        <v>#N/A</v>
      </c>
      <c r="K644" s="9"/>
      <c r="L644" s="128"/>
      <c r="M644" s="100" t="e">
        <f>IF(VLOOKUP(G644,'Bereketli Satış'!J:AK,30,0)="","",VLOOKUP(G644,'Bereketli Satış'!J:AK,30,0))</f>
        <v>#N/A</v>
      </c>
      <c r="N644" s="9"/>
      <c r="O644" s="9"/>
      <c r="P644" s="9" t="e">
        <f>IF(VLOOKUP(G644,'Bereketli Satış'!J:AK,32,0)="","",VLOOKUP(G644,'Bereketli Satış'!J:AK,32,0))</f>
        <v>#N/A</v>
      </c>
      <c r="Q644" s="9"/>
      <c r="R644" s="9"/>
    </row>
    <row r="645" spans="1:18">
      <c r="A645" s="8" t="s">
        <v>14</v>
      </c>
      <c r="B645" s="8" t="s">
        <v>23</v>
      </c>
      <c r="C645" s="8" t="s">
        <v>60</v>
      </c>
      <c r="D645" s="8">
        <v>419.81</v>
      </c>
      <c r="E645" s="18">
        <v>141</v>
      </c>
      <c r="F645" s="8">
        <v>3</v>
      </c>
      <c r="G645" s="1" t="str">
        <f t="shared" si="10"/>
        <v>TURPLU1413</v>
      </c>
      <c r="H645" s="8"/>
      <c r="I645" s="9" t="e">
        <f>IF(VLOOKUP(G645,'Bereketli Satış'!J:AK,5,0)="","",VLOOKUP(G645,'Bereketli Satış'!J:AK,5,0))</f>
        <v>#N/A</v>
      </c>
      <c r="J645" s="9" t="e">
        <f>IF(VLOOKUP(G645,'Bereketli Satış'!J:AK,28,0)="","",VLOOKUP(G645,'Bereketli Satış'!J:AK,28,0))</f>
        <v>#N/A</v>
      </c>
      <c r="K645" s="9"/>
      <c r="L645" s="128"/>
      <c r="M645" s="100" t="e">
        <f>IF(VLOOKUP(G645,'Bereketli Satış'!J:AK,30,0)="","",VLOOKUP(G645,'Bereketli Satış'!J:AK,30,0))</f>
        <v>#N/A</v>
      </c>
      <c r="N645" s="9"/>
      <c r="O645" s="9"/>
      <c r="P645" s="9" t="e">
        <f>IF(VLOOKUP(G645,'Bereketli Satış'!J:AK,32,0)="","",VLOOKUP(G645,'Bereketli Satış'!J:AK,32,0))</f>
        <v>#N/A</v>
      </c>
      <c r="Q645" s="9"/>
      <c r="R645" s="9"/>
    </row>
    <row r="646" spans="1:18">
      <c r="A646" s="8" t="s">
        <v>14</v>
      </c>
      <c r="B646" s="8" t="s">
        <v>23</v>
      </c>
      <c r="C646" s="8" t="s">
        <v>110</v>
      </c>
      <c r="D646" s="8">
        <v>905.42</v>
      </c>
      <c r="E646" s="18">
        <v>141</v>
      </c>
      <c r="F646" s="8">
        <v>6</v>
      </c>
      <c r="G646" s="1" t="str">
        <f t="shared" si="10"/>
        <v>YAYLACIK1416</v>
      </c>
      <c r="H646" s="8"/>
      <c r="I646" s="9" t="e">
        <f>IF(VLOOKUP(G646,'Bereketli Satış'!J:AK,5,0)="","",VLOOKUP(G646,'Bereketli Satış'!J:AK,5,0))</f>
        <v>#N/A</v>
      </c>
      <c r="J646" s="9" t="e">
        <f>IF(VLOOKUP(G646,'Bereketli Satış'!J:AK,28,0)="","",VLOOKUP(G646,'Bereketli Satış'!J:AK,28,0))</f>
        <v>#N/A</v>
      </c>
      <c r="K646" s="9"/>
      <c r="L646" s="128"/>
      <c r="M646" s="100" t="e">
        <f>IF(VLOOKUP(G646,'Bereketli Satış'!J:AK,30,0)="","",VLOOKUP(G646,'Bereketli Satış'!J:AK,30,0))</f>
        <v>#N/A</v>
      </c>
      <c r="N646" s="9"/>
      <c r="O646" s="9"/>
      <c r="P646" s="9" t="e">
        <f>IF(VLOOKUP(G646,'Bereketli Satış'!J:AK,32,0)="","",VLOOKUP(G646,'Bereketli Satış'!J:AK,32,0))</f>
        <v>#N/A</v>
      </c>
      <c r="Q646" s="9"/>
      <c r="R646" s="9"/>
    </row>
    <row r="647" spans="1:18">
      <c r="A647" s="8" t="s">
        <v>17</v>
      </c>
      <c r="B647" s="8" t="s">
        <v>21</v>
      </c>
      <c r="C647" s="8" t="s">
        <v>111</v>
      </c>
      <c r="D647" s="8">
        <v>395</v>
      </c>
      <c r="E647" s="18">
        <v>313</v>
      </c>
      <c r="F647" s="8">
        <v>8</v>
      </c>
      <c r="G647" s="1" t="str">
        <f t="shared" si="10"/>
        <v>YEŞİLYURT3138</v>
      </c>
      <c r="H647" s="8"/>
      <c r="I647" s="9" t="e">
        <f>IF(VLOOKUP(G647,'Bereketli Satış'!J:AK,5,0)="","",VLOOKUP(G647,'Bereketli Satış'!J:AK,5,0))</f>
        <v>#N/A</v>
      </c>
      <c r="J647" s="9" t="e">
        <f>IF(VLOOKUP(G647,'Bereketli Satış'!J:AK,28,0)="","",VLOOKUP(G647,'Bereketli Satış'!J:AK,28,0))</f>
        <v>#N/A</v>
      </c>
      <c r="K647" s="9"/>
      <c r="L647" s="128"/>
      <c r="M647" s="100" t="e">
        <f>IF(VLOOKUP(G647,'Bereketli Satış'!J:AK,30,0)="","",VLOOKUP(G647,'Bereketli Satış'!J:AK,30,0))</f>
        <v>#N/A</v>
      </c>
      <c r="N647" s="9"/>
      <c r="O647" s="9"/>
      <c r="P647" s="9" t="e">
        <f>IF(VLOOKUP(G647,'Bereketli Satış'!J:AK,32,0)="","",VLOOKUP(G647,'Bereketli Satış'!J:AK,32,0))</f>
        <v>#N/A</v>
      </c>
      <c r="Q647" s="9"/>
      <c r="R647" s="9"/>
    </row>
    <row r="648" spans="1:18">
      <c r="A648" s="8" t="s">
        <v>17</v>
      </c>
      <c r="B648" s="8" t="s">
        <v>21</v>
      </c>
      <c r="C648" s="8" t="s">
        <v>111</v>
      </c>
      <c r="D648" s="8">
        <v>395</v>
      </c>
      <c r="E648" s="18">
        <v>313</v>
      </c>
      <c r="F648" s="8">
        <v>9</v>
      </c>
      <c r="G648" s="1" t="str">
        <f t="shared" si="10"/>
        <v>YEŞİLYURT3139</v>
      </c>
      <c r="H648" s="8"/>
      <c r="I648" s="9" t="e">
        <f>IF(VLOOKUP(G648,'Bereketli Satış'!J:AK,5,0)="","",VLOOKUP(G648,'Bereketli Satış'!J:AK,5,0))</f>
        <v>#N/A</v>
      </c>
      <c r="J648" s="9" t="e">
        <f>IF(VLOOKUP(G648,'Bereketli Satış'!J:AK,28,0)="","",VLOOKUP(G648,'Bereketli Satış'!J:AK,28,0))</f>
        <v>#N/A</v>
      </c>
      <c r="K648" s="9"/>
      <c r="L648" s="128"/>
      <c r="M648" s="100" t="e">
        <f>IF(VLOOKUP(G648,'Bereketli Satış'!J:AK,30,0)="","",VLOOKUP(G648,'Bereketli Satış'!J:AK,30,0))</f>
        <v>#N/A</v>
      </c>
      <c r="N648" s="9"/>
      <c r="O648" s="9"/>
      <c r="P648" s="9" t="e">
        <f>IF(VLOOKUP(G648,'Bereketli Satış'!J:AK,32,0)="","",VLOOKUP(G648,'Bereketli Satış'!J:AK,32,0))</f>
        <v>#N/A</v>
      </c>
      <c r="Q648" s="9"/>
      <c r="R648" s="9"/>
    </row>
    <row r="649" spans="1:18">
      <c r="A649" s="8" t="s">
        <v>17</v>
      </c>
      <c r="B649" s="8" t="s">
        <v>21</v>
      </c>
      <c r="C649" s="8" t="s">
        <v>111</v>
      </c>
      <c r="D649" s="8">
        <v>413</v>
      </c>
      <c r="E649" s="18">
        <v>315</v>
      </c>
      <c r="F649" s="8">
        <v>31</v>
      </c>
      <c r="G649" s="1" t="str">
        <f t="shared" si="10"/>
        <v>YEŞİLYURT31531</v>
      </c>
      <c r="H649" s="8"/>
      <c r="I649" s="9" t="e">
        <f>IF(VLOOKUP(G649,'Bereketli Satış'!J:AK,5,0)="","",VLOOKUP(G649,'Bereketli Satış'!J:AK,5,0))</f>
        <v>#N/A</v>
      </c>
      <c r="J649" s="9" t="e">
        <f>IF(VLOOKUP(G649,'Bereketli Satış'!J:AK,28,0)="","",VLOOKUP(G649,'Bereketli Satış'!J:AK,28,0))</f>
        <v>#N/A</v>
      </c>
      <c r="K649" s="9"/>
      <c r="L649" s="128"/>
      <c r="M649" s="100" t="e">
        <f>IF(VLOOKUP(G649,'Bereketli Satış'!J:AK,30,0)="","",VLOOKUP(G649,'Bereketli Satış'!J:AK,30,0))</f>
        <v>#N/A</v>
      </c>
      <c r="N649" s="9"/>
      <c r="O649" s="9"/>
      <c r="P649" s="9" t="e">
        <f>IF(VLOOKUP(G649,'Bereketli Satış'!J:AK,32,0)="","",VLOOKUP(G649,'Bereketli Satış'!J:AK,32,0))</f>
        <v>#N/A</v>
      </c>
      <c r="Q649" s="9"/>
      <c r="R649" s="9"/>
    </row>
    <row r="650" spans="1:18">
      <c r="A650" s="8" t="s">
        <v>17</v>
      </c>
      <c r="B650" s="8" t="s">
        <v>21</v>
      </c>
      <c r="C650" s="8" t="s">
        <v>111</v>
      </c>
      <c r="D650" s="8">
        <v>340</v>
      </c>
      <c r="E650" s="18">
        <v>319</v>
      </c>
      <c r="F650" s="8">
        <v>10</v>
      </c>
      <c r="G650" s="1" t="str">
        <f t="shared" si="10"/>
        <v>YEŞİLYURT31910</v>
      </c>
      <c r="H650" s="8"/>
      <c r="I650" s="9" t="e">
        <f>IF(VLOOKUP(G650,'Bereketli Satış'!J:AK,5,0)="","",VLOOKUP(G650,'Bereketli Satış'!J:AK,5,0))</f>
        <v>#N/A</v>
      </c>
      <c r="J650" s="9" t="e">
        <f>IF(VLOOKUP(G650,'Bereketli Satış'!J:AK,28,0)="","",VLOOKUP(G650,'Bereketli Satış'!J:AK,28,0))</f>
        <v>#N/A</v>
      </c>
      <c r="K650" s="9"/>
      <c r="L650" s="128"/>
      <c r="M650" s="100" t="e">
        <f>IF(VLOOKUP(G650,'Bereketli Satış'!J:AK,30,0)="","",VLOOKUP(G650,'Bereketli Satış'!J:AK,30,0))</f>
        <v>#N/A</v>
      </c>
      <c r="N650" s="9"/>
      <c r="O650" s="9"/>
      <c r="P650" s="9" t="e">
        <f>IF(VLOOKUP(G650,'Bereketli Satış'!J:AK,32,0)="","",VLOOKUP(G650,'Bereketli Satış'!J:AK,32,0))</f>
        <v>#N/A</v>
      </c>
      <c r="Q650" s="9"/>
      <c r="R650" s="9"/>
    </row>
    <row r="651" spans="1:18">
      <c r="A651" s="8" t="s">
        <v>17</v>
      </c>
      <c r="B651" s="8" t="s">
        <v>21</v>
      </c>
      <c r="C651" s="8" t="s">
        <v>111</v>
      </c>
      <c r="D651" s="8">
        <v>470</v>
      </c>
      <c r="E651" s="18">
        <v>319</v>
      </c>
      <c r="F651" s="8">
        <v>12</v>
      </c>
      <c r="G651" s="1" t="str">
        <f t="shared" si="10"/>
        <v>YEŞİLYURT31912</v>
      </c>
      <c r="H651" s="8"/>
      <c r="I651" s="9" t="e">
        <f>IF(VLOOKUP(G651,'Bereketli Satış'!J:AK,5,0)="","",VLOOKUP(G651,'Bereketli Satış'!J:AK,5,0))</f>
        <v>#N/A</v>
      </c>
      <c r="J651" s="9" t="e">
        <f>IF(VLOOKUP(G651,'Bereketli Satış'!J:AK,28,0)="","",VLOOKUP(G651,'Bereketli Satış'!J:AK,28,0))</f>
        <v>#N/A</v>
      </c>
      <c r="K651" s="9"/>
      <c r="L651" s="128"/>
      <c r="M651" s="100" t="e">
        <f>IF(VLOOKUP(G651,'Bereketli Satış'!J:AK,30,0)="","",VLOOKUP(G651,'Bereketli Satış'!J:AK,30,0))</f>
        <v>#N/A</v>
      </c>
      <c r="N651" s="9"/>
      <c r="O651" s="9"/>
      <c r="P651" s="9" t="e">
        <f>IF(VLOOKUP(G651,'Bereketli Satış'!J:AK,32,0)="","",VLOOKUP(G651,'Bereketli Satış'!J:AK,32,0))</f>
        <v>#N/A</v>
      </c>
      <c r="Q651" s="9"/>
      <c r="R651" s="9"/>
    </row>
    <row r="652" spans="1:18">
      <c r="A652" s="8" t="s">
        <v>14</v>
      </c>
      <c r="B652" s="8" t="s">
        <v>15</v>
      </c>
      <c r="C652" s="8" t="s">
        <v>63</v>
      </c>
      <c r="D652" s="8">
        <v>619.11</v>
      </c>
      <c r="E652" s="8">
        <v>0</v>
      </c>
      <c r="F652" s="1">
        <v>993</v>
      </c>
      <c r="G652" s="1" t="str">
        <f t="shared" si="10"/>
        <v>ILICABOĞAZI0993</v>
      </c>
      <c r="H652" s="1"/>
      <c r="I652" s="9" t="e">
        <f>IF(VLOOKUP(G652,'Bereketli Satış'!J:AK,5,0)="","",VLOOKUP(G652,'Bereketli Satış'!J:AK,5,0))</f>
        <v>#N/A</v>
      </c>
      <c r="J652" s="9" t="e">
        <f>IF(VLOOKUP(G652,'Bereketli Satış'!J:AK,28,0)="","",VLOOKUP(G652,'Bereketli Satış'!J:AK,28,0))</f>
        <v>#N/A</v>
      </c>
      <c r="K652" s="9"/>
      <c r="L652" s="128"/>
      <c r="M652" s="100" t="e">
        <f>IF(VLOOKUP(G652,'Bereketli Satış'!J:AK,30,0)="","",VLOOKUP(G652,'Bereketli Satış'!J:AK,30,0))</f>
        <v>#N/A</v>
      </c>
      <c r="N652" s="9"/>
      <c r="O652" s="9"/>
      <c r="P652" s="9" t="e">
        <f>IF(VLOOKUP(G652,'Bereketli Satış'!J:AK,32,0)="","",VLOOKUP(G652,'Bereketli Satış'!J:AK,32,0))</f>
        <v>#N/A</v>
      </c>
      <c r="Q652" s="9"/>
      <c r="R652" s="9"/>
    </row>
    <row r="653" spans="1:18">
      <c r="A653" s="102" t="s">
        <v>87</v>
      </c>
      <c r="B653" s="8" t="s">
        <v>88</v>
      </c>
      <c r="C653" s="8" t="s">
        <v>89</v>
      </c>
      <c r="D653" s="8">
        <v>259</v>
      </c>
      <c r="E653" s="8">
        <v>247</v>
      </c>
      <c r="F653" s="1">
        <v>1</v>
      </c>
      <c r="G653" s="1" t="str">
        <f t="shared" si="10"/>
        <v>Camikebir2471</v>
      </c>
      <c r="H653" s="1"/>
      <c r="I653" s="9" t="e">
        <f>IF(VLOOKUP(G653,'Bereketli Satış'!J:AK,5,0)="","",VLOOKUP(G653,'Bereketli Satış'!J:AK,5,0))</f>
        <v>#N/A</v>
      </c>
      <c r="J653" s="9" t="e">
        <f>IF(VLOOKUP(G653,'Bereketli Satış'!J:AK,28,0)="","",VLOOKUP(G653,'Bereketli Satış'!J:AK,28,0))</f>
        <v>#N/A</v>
      </c>
      <c r="K653" s="9"/>
      <c r="L653" s="128"/>
      <c r="M653" s="100" t="e">
        <f>IF(VLOOKUP(G653,'Bereketli Satış'!J:AK,30,0)="","",VLOOKUP(G653,'Bereketli Satış'!J:AK,30,0))</f>
        <v>#N/A</v>
      </c>
      <c r="N653" s="9"/>
      <c r="O653" s="9"/>
      <c r="P653" s="9" t="e">
        <f>IF(VLOOKUP(G653,'Bereketli Satış'!J:AK,32,0)="","",VLOOKUP(G653,'Bereketli Satış'!J:AK,32,0))</f>
        <v>#N/A</v>
      </c>
      <c r="Q653" s="9"/>
      <c r="R653" s="9"/>
    </row>
    <row r="654" spans="1:18">
      <c r="A654" s="102" t="s">
        <v>30</v>
      </c>
      <c r="B654" s="8" t="s">
        <v>31</v>
      </c>
      <c r="C654" s="8" t="s">
        <v>32</v>
      </c>
      <c r="D654" s="8">
        <v>272.02</v>
      </c>
      <c r="E654" s="8">
        <v>316</v>
      </c>
      <c r="F654" s="1">
        <v>15</v>
      </c>
      <c r="G654" s="1" t="str">
        <f t="shared" si="10"/>
        <v>CAMİKEBİR31615</v>
      </c>
      <c r="H654" s="1"/>
      <c r="I654" s="9" t="e">
        <f>IF(VLOOKUP(G654,'Bereketli Satış'!J:AK,5,0)="","",VLOOKUP(G654,'Bereketli Satış'!J:AK,5,0))</f>
        <v>#N/A</v>
      </c>
      <c r="J654" s="9" t="e">
        <f>IF(VLOOKUP(G654,'Bereketli Satış'!J:AK,28,0)="","",VLOOKUP(G654,'Bereketli Satış'!J:AK,28,0))</f>
        <v>#N/A</v>
      </c>
      <c r="K654" s="9"/>
      <c r="L654" s="128"/>
      <c r="M654" s="100" t="e">
        <f>IF(VLOOKUP(G654,'Bereketli Satış'!J:AK,30,0)="","",VLOOKUP(G654,'Bereketli Satış'!J:AK,30,0))</f>
        <v>#N/A</v>
      </c>
      <c r="N654" s="9"/>
      <c r="O654" s="9"/>
      <c r="P654" s="9" t="e">
        <f>IF(VLOOKUP(G654,'Bereketli Satış'!J:AK,32,0)="","",VLOOKUP(G654,'Bereketli Satış'!J:AK,32,0))</f>
        <v>#N/A</v>
      </c>
      <c r="Q654" s="9"/>
      <c r="R654" s="9"/>
    </row>
    <row r="655" spans="1:18">
      <c r="A655" s="102" t="s">
        <v>14</v>
      </c>
      <c r="B655" s="8" t="s">
        <v>15</v>
      </c>
      <c r="C655" s="8" t="s">
        <v>63</v>
      </c>
      <c r="D655" s="8">
        <v>329.14</v>
      </c>
      <c r="E655" s="8">
        <v>103</v>
      </c>
      <c r="F655" s="1">
        <v>78</v>
      </c>
      <c r="G655" s="1" t="str">
        <f t="shared" si="10"/>
        <v>ILICABOĞAZI10378</v>
      </c>
      <c r="H655" s="1"/>
      <c r="I655" s="9" t="e">
        <f>IF(VLOOKUP(G655,'Bereketli Satış'!J:AK,5,0)="","",VLOOKUP(G655,'Bereketli Satış'!J:AK,5,0))</f>
        <v>#N/A</v>
      </c>
      <c r="J655" s="9" t="e">
        <f>IF(VLOOKUP(G655,'Bereketli Satış'!J:AK,28,0)="","",VLOOKUP(G655,'Bereketli Satış'!J:AK,28,0))</f>
        <v>#N/A</v>
      </c>
      <c r="K655" s="9"/>
      <c r="L655" s="128"/>
      <c r="M655" s="100" t="e">
        <f>IF(VLOOKUP(G655,'Bereketli Satış'!J:AK,30,0)="","",VLOOKUP(G655,'Bereketli Satış'!J:AK,30,0))</f>
        <v>#N/A</v>
      </c>
      <c r="N655" s="116"/>
      <c r="O655" s="116"/>
      <c r="P655" s="9" t="e">
        <f>IF(VLOOKUP(G655,'Bereketli Satış'!J:AK,32,0)="","",VLOOKUP(G655,'Bereketli Satış'!J:AK,32,0))</f>
        <v>#N/A</v>
      </c>
      <c r="Q655" s="116"/>
      <c r="R655" s="116"/>
    </row>
    <row r="656" spans="1:18">
      <c r="A656" s="103" t="s">
        <v>14</v>
      </c>
      <c r="B656" s="117" t="s">
        <v>15</v>
      </c>
      <c r="C656" s="117" t="s">
        <v>63</v>
      </c>
      <c r="D656" s="117">
        <v>417.43</v>
      </c>
      <c r="E656" s="117">
        <v>103</v>
      </c>
      <c r="F656" s="104">
        <v>79</v>
      </c>
      <c r="G656" s="1" t="str">
        <f t="shared" si="10"/>
        <v>ILICABOĞAZI10379</v>
      </c>
      <c r="H656" s="104"/>
      <c r="I656" s="9" t="e">
        <f>IF(VLOOKUP(G656,'Bereketli Satış'!J:AK,5,0)="","",VLOOKUP(G656,'Bereketli Satış'!J:AK,5,0))</f>
        <v>#N/A</v>
      </c>
      <c r="J656" s="9" t="e">
        <f>IF(VLOOKUP(G656,'Bereketli Satış'!J:AK,28,0)="","",VLOOKUP(G656,'Bereketli Satış'!J:AK,28,0))</f>
        <v>#N/A</v>
      </c>
      <c r="K656" s="116"/>
      <c r="L656" s="131"/>
      <c r="M656" s="100" t="e">
        <f>IF(VLOOKUP(G656,'Bereketli Satış'!J:AK,30,0)="","",VLOOKUP(G656,'Bereketli Satış'!J:AK,30,0))</f>
        <v>#N/A</v>
      </c>
      <c r="N656" s="99"/>
      <c r="O656" s="99"/>
      <c r="P656" s="9" t="e">
        <f>IF(VLOOKUP(G656,'Bereketli Satış'!J:AK,32,0)="","",VLOOKUP(G656,'Bereketli Satış'!J:AK,32,0))</f>
        <v>#N/A</v>
      </c>
      <c r="Q656" s="99"/>
      <c r="R656" s="99"/>
    </row>
    <row r="657" spans="1:18">
      <c r="A657" s="16" t="s">
        <v>81</v>
      </c>
      <c r="B657" s="16" t="s">
        <v>112</v>
      </c>
      <c r="C657" s="16" t="s">
        <v>69</v>
      </c>
      <c r="D657" s="16">
        <v>819.19</v>
      </c>
      <c r="E657" s="16">
        <v>102</v>
      </c>
      <c r="F657" s="16">
        <v>1</v>
      </c>
      <c r="G657" s="1" t="str">
        <f t="shared" si="10"/>
        <v>KARAKÖY1021</v>
      </c>
      <c r="H657" s="99"/>
      <c r="I657" s="9" t="e">
        <f>IF(VLOOKUP(G657,'Bereketli Satış'!J:AK,5,0)="","",VLOOKUP(G657,'Bereketli Satış'!J:AK,5,0))</f>
        <v>#N/A</v>
      </c>
      <c r="J657" s="9" t="e">
        <f>IF(VLOOKUP(G657,'Bereketli Satış'!J:AK,28,0)="","",VLOOKUP(G657,'Bereketli Satış'!J:AK,28,0))</f>
        <v>#N/A</v>
      </c>
      <c r="K657" s="99"/>
      <c r="L657" s="132"/>
      <c r="M657" s="100" t="e">
        <f>IF(VLOOKUP(G657,'Bereketli Satış'!J:AK,30,0)="","",VLOOKUP(G657,'Bereketli Satış'!J:AK,30,0))</f>
        <v>#N/A</v>
      </c>
      <c r="N657" s="99"/>
      <c r="O657" s="99"/>
      <c r="P657" s="9" t="e">
        <f>IF(VLOOKUP(G657,'Bereketli Satış'!J:AK,32,0)="","",VLOOKUP(G657,'Bereketli Satış'!J:AK,32,0))</f>
        <v>#N/A</v>
      </c>
      <c r="Q657" s="99"/>
      <c r="R657" s="99"/>
    </row>
    <row r="658" spans="1:18">
      <c r="A658" s="16" t="s">
        <v>81</v>
      </c>
      <c r="B658" s="16" t="s">
        <v>112</v>
      </c>
      <c r="C658" s="16" t="s">
        <v>69</v>
      </c>
      <c r="D658" s="16">
        <v>811.85</v>
      </c>
      <c r="E658" s="16">
        <v>102</v>
      </c>
      <c r="F658" s="16">
        <v>2</v>
      </c>
      <c r="G658" s="1" t="str">
        <f t="shared" si="10"/>
        <v>KARAKÖY1022</v>
      </c>
      <c r="H658" s="99"/>
      <c r="I658" s="9" t="e">
        <f>IF(VLOOKUP(G658,'Bereketli Satış'!J:AK,5,0)="","",VLOOKUP(G658,'Bereketli Satış'!J:AK,5,0))</f>
        <v>#N/A</v>
      </c>
      <c r="J658" s="9" t="e">
        <f>IF(VLOOKUP(G658,'Bereketli Satış'!J:AK,28,0)="","",VLOOKUP(G658,'Bereketli Satış'!J:AK,28,0))</f>
        <v>#N/A</v>
      </c>
      <c r="K658" s="99"/>
      <c r="L658" s="132"/>
      <c r="M658" s="100" t="e">
        <f>IF(VLOOKUP(G658,'Bereketli Satış'!J:AK,30,0)="","",VLOOKUP(G658,'Bereketli Satış'!J:AK,30,0))</f>
        <v>#N/A</v>
      </c>
      <c r="N658" s="99"/>
      <c r="O658" s="99"/>
      <c r="P658" s="9" t="e">
        <f>IF(VLOOKUP(G658,'Bereketli Satış'!J:AK,32,0)="","",VLOOKUP(G658,'Bereketli Satış'!J:AK,32,0))</f>
        <v>#N/A</v>
      </c>
      <c r="Q658" s="99"/>
      <c r="R658" s="99"/>
    </row>
    <row r="659" spans="1:18">
      <c r="A659" s="16" t="s">
        <v>81</v>
      </c>
      <c r="B659" s="16" t="s">
        <v>112</v>
      </c>
      <c r="C659" s="16" t="s">
        <v>69</v>
      </c>
      <c r="D659" s="16">
        <v>812.48</v>
      </c>
      <c r="E659" s="16">
        <v>102</v>
      </c>
      <c r="F659" s="16">
        <v>3</v>
      </c>
      <c r="G659" s="1" t="str">
        <f t="shared" si="10"/>
        <v>KARAKÖY1023</v>
      </c>
      <c r="H659" s="99"/>
      <c r="I659" s="9" t="e">
        <f>IF(VLOOKUP(G659,'Bereketli Satış'!J:AK,5,0)="","",VLOOKUP(G659,'Bereketli Satış'!J:AK,5,0))</f>
        <v>#N/A</v>
      </c>
      <c r="J659" s="9" t="e">
        <f>IF(VLOOKUP(G659,'Bereketli Satış'!J:AK,28,0)="","",VLOOKUP(G659,'Bereketli Satış'!J:AK,28,0))</f>
        <v>#N/A</v>
      </c>
      <c r="K659" s="99"/>
      <c r="L659" s="132"/>
      <c r="M659" s="100" t="e">
        <f>IF(VLOOKUP(G659,'Bereketli Satış'!J:AK,30,0)="","",VLOOKUP(G659,'Bereketli Satış'!J:AK,30,0))</f>
        <v>#N/A</v>
      </c>
      <c r="N659" s="99"/>
      <c r="O659" s="99"/>
      <c r="P659" s="9" t="e">
        <f>IF(VLOOKUP(G659,'Bereketli Satış'!J:AK,32,0)="","",VLOOKUP(G659,'Bereketli Satış'!J:AK,32,0))</f>
        <v>#N/A</v>
      </c>
      <c r="Q659" s="99"/>
      <c r="R659" s="99"/>
    </row>
    <row r="660" spans="1:18">
      <c r="A660" s="16" t="s">
        <v>81</v>
      </c>
      <c r="B660" s="16" t="s">
        <v>112</v>
      </c>
      <c r="C660" s="16" t="s">
        <v>69</v>
      </c>
      <c r="D660" s="16">
        <v>810.6</v>
      </c>
      <c r="E660" s="16">
        <v>102</v>
      </c>
      <c r="F660" s="16">
        <v>4</v>
      </c>
      <c r="G660" s="1" t="str">
        <f t="shared" si="10"/>
        <v>KARAKÖY1024</v>
      </c>
      <c r="H660" s="99"/>
      <c r="I660" s="9" t="e">
        <f>IF(VLOOKUP(G660,'Bereketli Satış'!J:AK,5,0)="","",VLOOKUP(G660,'Bereketli Satış'!J:AK,5,0))</f>
        <v>#N/A</v>
      </c>
      <c r="J660" s="9" t="e">
        <f>IF(VLOOKUP(G660,'Bereketli Satış'!J:AK,28,0)="","",VLOOKUP(G660,'Bereketli Satış'!J:AK,28,0))</f>
        <v>#N/A</v>
      </c>
      <c r="K660" s="99"/>
      <c r="L660" s="132"/>
      <c r="M660" s="100" t="e">
        <f>IF(VLOOKUP(G660,'Bereketli Satış'!J:AK,30,0)="","",VLOOKUP(G660,'Bereketli Satış'!J:AK,30,0))</f>
        <v>#N/A</v>
      </c>
      <c r="N660" s="99"/>
      <c r="O660" s="99"/>
      <c r="P660" s="9" t="e">
        <f>IF(VLOOKUP(G660,'Bereketli Satış'!J:AK,32,0)="","",VLOOKUP(G660,'Bereketli Satış'!J:AK,32,0))</f>
        <v>#N/A</v>
      </c>
      <c r="Q660" s="99"/>
      <c r="R660" s="99"/>
    </row>
    <row r="661" spans="1:18">
      <c r="A661" s="16" t="s">
        <v>81</v>
      </c>
      <c r="B661" s="16" t="s">
        <v>112</v>
      </c>
      <c r="C661" s="16" t="s">
        <v>69</v>
      </c>
      <c r="D661" s="16">
        <v>771.29</v>
      </c>
      <c r="E661" s="16">
        <v>102</v>
      </c>
      <c r="F661" s="16">
        <v>6</v>
      </c>
      <c r="G661" s="1" t="str">
        <f t="shared" si="10"/>
        <v>KARAKÖY1026</v>
      </c>
      <c r="H661" s="99"/>
      <c r="I661" s="9" t="e">
        <f>IF(VLOOKUP(G661,'Bereketli Satış'!J:AK,5,0)="","",VLOOKUP(G661,'Bereketli Satış'!J:AK,5,0))</f>
        <v>#N/A</v>
      </c>
      <c r="J661" s="9" t="e">
        <f>IF(VLOOKUP(G661,'Bereketli Satış'!J:AK,28,0)="","",VLOOKUP(G661,'Bereketli Satış'!J:AK,28,0))</f>
        <v>#N/A</v>
      </c>
      <c r="K661" s="99"/>
      <c r="L661" s="132"/>
      <c r="M661" s="100" t="e">
        <f>IF(VLOOKUP(G661,'Bereketli Satış'!J:AK,30,0)="","",VLOOKUP(G661,'Bereketli Satış'!J:AK,30,0))</f>
        <v>#N/A</v>
      </c>
      <c r="N661" s="99"/>
      <c r="O661" s="99"/>
      <c r="P661" s="9" t="e">
        <f>IF(VLOOKUP(G661,'Bereketli Satış'!J:AK,32,0)="","",VLOOKUP(G661,'Bereketli Satış'!J:AK,32,0))</f>
        <v>#N/A</v>
      </c>
      <c r="Q661" s="99"/>
      <c r="R661" s="99"/>
    </row>
    <row r="662" spans="1:18">
      <c r="A662" s="16" t="s">
        <v>81</v>
      </c>
      <c r="B662" s="16" t="s">
        <v>112</v>
      </c>
      <c r="C662" s="16" t="s">
        <v>69</v>
      </c>
      <c r="D662" s="16">
        <v>653.33000000000004</v>
      </c>
      <c r="E662" s="16">
        <v>102</v>
      </c>
      <c r="F662" s="16">
        <v>7</v>
      </c>
      <c r="G662" s="1" t="str">
        <f t="shared" si="10"/>
        <v>KARAKÖY1027</v>
      </c>
      <c r="H662" s="99"/>
      <c r="I662" s="9" t="e">
        <f>IF(VLOOKUP(G662,'Bereketli Satış'!J:AK,5,0)="","",VLOOKUP(G662,'Bereketli Satış'!J:AK,5,0))</f>
        <v>#N/A</v>
      </c>
      <c r="J662" s="9" t="e">
        <f>IF(VLOOKUP(G662,'Bereketli Satış'!J:AK,28,0)="","",VLOOKUP(G662,'Bereketli Satış'!J:AK,28,0))</f>
        <v>#N/A</v>
      </c>
      <c r="K662" s="99"/>
      <c r="L662" s="132"/>
      <c r="M662" s="100" t="e">
        <f>IF(VLOOKUP(G662,'Bereketli Satış'!J:AK,30,0)="","",VLOOKUP(G662,'Bereketli Satış'!J:AK,30,0))</f>
        <v>#N/A</v>
      </c>
      <c r="N662" s="99"/>
      <c r="O662" s="99"/>
      <c r="P662" s="9" t="e">
        <f>IF(VLOOKUP(G662,'Bereketli Satış'!J:AK,32,0)="","",VLOOKUP(G662,'Bereketli Satış'!J:AK,32,0))</f>
        <v>#N/A</v>
      </c>
      <c r="Q662" s="99"/>
      <c r="R662" s="99"/>
    </row>
    <row r="663" spans="1:18">
      <c r="A663" s="16" t="s">
        <v>81</v>
      </c>
      <c r="B663" s="16" t="s">
        <v>112</v>
      </c>
      <c r="C663" s="16" t="s">
        <v>69</v>
      </c>
      <c r="D663" s="16">
        <v>870.54</v>
      </c>
      <c r="E663" s="16">
        <v>103</v>
      </c>
      <c r="F663" s="16">
        <v>1</v>
      </c>
      <c r="G663" s="1" t="str">
        <f t="shared" si="10"/>
        <v>KARAKÖY1031</v>
      </c>
      <c r="H663" s="99"/>
      <c r="I663" s="9" t="e">
        <f>IF(VLOOKUP(G663,'Bereketli Satış'!J:AK,5,0)="","",VLOOKUP(G663,'Bereketli Satış'!J:AK,5,0))</f>
        <v>#N/A</v>
      </c>
      <c r="J663" s="9" t="e">
        <f>IF(VLOOKUP(G663,'Bereketli Satış'!J:AK,28,0)="","",VLOOKUP(G663,'Bereketli Satış'!J:AK,28,0))</f>
        <v>#N/A</v>
      </c>
      <c r="K663" s="99"/>
      <c r="L663" s="132"/>
      <c r="M663" s="100" t="e">
        <f>IF(VLOOKUP(G663,'Bereketli Satış'!J:AK,30,0)="","",VLOOKUP(G663,'Bereketli Satış'!J:AK,30,0))</f>
        <v>#N/A</v>
      </c>
      <c r="N663" s="99"/>
      <c r="O663" s="99"/>
      <c r="P663" s="9" t="e">
        <f>IF(VLOOKUP(G663,'Bereketli Satış'!J:AK,32,0)="","",VLOOKUP(G663,'Bereketli Satış'!J:AK,32,0))</f>
        <v>#N/A</v>
      </c>
      <c r="Q663" s="99"/>
      <c r="R663" s="99"/>
    </row>
    <row r="664" spans="1:18">
      <c r="A664" s="16" t="s">
        <v>81</v>
      </c>
      <c r="B664" s="16" t="s">
        <v>112</v>
      </c>
      <c r="C664" s="16" t="s">
        <v>69</v>
      </c>
      <c r="D664" s="16">
        <v>788.92</v>
      </c>
      <c r="E664" s="16">
        <v>103</v>
      </c>
      <c r="F664" s="16">
        <v>2</v>
      </c>
      <c r="G664" s="1" t="str">
        <f t="shared" si="10"/>
        <v>KARAKÖY1032</v>
      </c>
      <c r="H664" s="99"/>
      <c r="I664" s="9" t="e">
        <f>IF(VLOOKUP(G664,'Bereketli Satış'!J:AK,5,0)="","",VLOOKUP(G664,'Bereketli Satış'!J:AK,5,0))</f>
        <v>#N/A</v>
      </c>
      <c r="J664" s="9" t="e">
        <f>IF(VLOOKUP(G664,'Bereketli Satış'!J:AK,28,0)="","",VLOOKUP(G664,'Bereketli Satış'!J:AK,28,0))</f>
        <v>#N/A</v>
      </c>
      <c r="K664" s="99"/>
      <c r="L664" s="132"/>
      <c r="M664" s="100" t="e">
        <f>IF(VLOOKUP(G664,'Bereketli Satış'!J:AK,30,0)="","",VLOOKUP(G664,'Bereketli Satış'!J:AK,30,0))</f>
        <v>#N/A</v>
      </c>
      <c r="N664" s="99"/>
      <c r="O664" s="99"/>
      <c r="P664" s="9" t="e">
        <f>IF(VLOOKUP(G664,'Bereketli Satış'!J:AK,32,0)="","",VLOOKUP(G664,'Bereketli Satış'!J:AK,32,0))</f>
        <v>#N/A</v>
      </c>
      <c r="Q664" s="99"/>
      <c r="R664" s="99"/>
    </row>
    <row r="665" spans="1:18">
      <c r="A665" s="16" t="s">
        <v>81</v>
      </c>
      <c r="B665" s="16" t="s">
        <v>112</v>
      </c>
      <c r="C665" s="16" t="s">
        <v>69</v>
      </c>
      <c r="D665" s="16">
        <v>792.88</v>
      </c>
      <c r="E665" s="16">
        <v>103</v>
      </c>
      <c r="F665" s="16">
        <v>3</v>
      </c>
      <c r="G665" s="1" t="str">
        <f t="shared" si="10"/>
        <v>KARAKÖY1033</v>
      </c>
      <c r="H665" s="99"/>
      <c r="I665" s="9" t="e">
        <f>IF(VLOOKUP(G665,'Bereketli Satış'!J:AK,5,0)="","",VLOOKUP(G665,'Bereketli Satış'!J:AK,5,0))</f>
        <v>#N/A</v>
      </c>
      <c r="J665" s="9" t="e">
        <f>IF(VLOOKUP(G665,'Bereketli Satış'!J:AK,28,0)="","",VLOOKUP(G665,'Bereketli Satış'!J:AK,28,0))</f>
        <v>#N/A</v>
      </c>
      <c r="K665" s="99"/>
      <c r="L665" s="132"/>
      <c r="M665" s="100" t="e">
        <f>IF(VLOOKUP(G665,'Bereketli Satış'!J:AK,30,0)="","",VLOOKUP(G665,'Bereketli Satış'!J:AK,30,0))</f>
        <v>#N/A</v>
      </c>
      <c r="N665" s="99"/>
      <c r="O665" s="99"/>
      <c r="P665" s="9" t="e">
        <f>IF(VLOOKUP(G665,'Bereketli Satış'!J:AK,32,0)="","",VLOOKUP(G665,'Bereketli Satış'!J:AK,32,0))</f>
        <v>#N/A</v>
      </c>
      <c r="Q665" s="99"/>
      <c r="R665" s="99"/>
    </row>
    <row r="666" spans="1:18">
      <c r="A666" s="16" t="s">
        <v>81</v>
      </c>
      <c r="B666" s="16" t="s">
        <v>112</v>
      </c>
      <c r="C666" s="16" t="s">
        <v>69</v>
      </c>
      <c r="D666" s="16">
        <v>736.04</v>
      </c>
      <c r="E666" s="16">
        <v>104</v>
      </c>
      <c r="F666" s="16">
        <v>3</v>
      </c>
      <c r="G666" s="1" t="str">
        <f t="shared" si="10"/>
        <v>KARAKÖY1043</v>
      </c>
      <c r="H666" s="99"/>
      <c r="I666" s="9" t="e">
        <f>IF(VLOOKUP(G666,'Bereketli Satış'!J:AK,5,0)="","",VLOOKUP(G666,'Bereketli Satış'!J:AK,5,0))</f>
        <v>#N/A</v>
      </c>
      <c r="J666" s="9" t="e">
        <f>IF(VLOOKUP(G666,'Bereketli Satış'!J:AK,28,0)="","",VLOOKUP(G666,'Bereketli Satış'!J:AK,28,0))</f>
        <v>#N/A</v>
      </c>
      <c r="K666" s="99"/>
      <c r="L666" s="132"/>
      <c r="M666" s="100" t="e">
        <f>IF(VLOOKUP(G666,'Bereketli Satış'!J:AK,30,0)="","",VLOOKUP(G666,'Bereketli Satış'!J:AK,30,0))</f>
        <v>#N/A</v>
      </c>
      <c r="N666" s="99"/>
      <c r="O666" s="99"/>
      <c r="P666" s="9" t="e">
        <f>IF(VLOOKUP(G666,'Bereketli Satış'!J:AK,32,0)="","",VLOOKUP(G666,'Bereketli Satış'!J:AK,32,0))</f>
        <v>#N/A</v>
      </c>
      <c r="Q666" s="99"/>
      <c r="R666" s="99"/>
    </row>
    <row r="667" spans="1:18">
      <c r="A667" s="16" t="s">
        <v>81</v>
      </c>
      <c r="B667" s="16" t="s">
        <v>112</v>
      </c>
      <c r="C667" s="16" t="s">
        <v>69</v>
      </c>
      <c r="D667" s="16">
        <v>735.96</v>
      </c>
      <c r="E667" s="16">
        <v>104</v>
      </c>
      <c r="F667" s="16">
        <v>8</v>
      </c>
      <c r="G667" s="1" t="str">
        <f t="shared" si="10"/>
        <v>KARAKÖY1048</v>
      </c>
      <c r="H667" s="99"/>
      <c r="I667" s="9" t="e">
        <f>IF(VLOOKUP(G667,'Bereketli Satış'!J:AK,5,0)="","",VLOOKUP(G667,'Bereketli Satış'!J:AK,5,0))</f>
        <v>#N/A</v>
      </c>
      <c r="J667" s="9" t="e">
        <f>IF(VLOOKUP(G667,'Bereketli Satış'!J:AK,28,0)="","",VLOOKUP(G667,'Bereketli Satış'!J:AK,28,0))</f>
        <v>#N/A</v>
      </c>
      <c r="K667" s="99"/>
      <c r="L667" s="132"/>
      <c r="M667" s="100" t="e">
        <f>IF(VLOOKUP(G667,'Bereketli Satış'!J:AK,30,0)="","",VLOOKUP(G667,'Bereketli Satış'!J:AK,30,0))</f>
        <v>#N/A</v>
      </c>
      <c r="N667" s="99"/>
      <c r="O667" s="99"/>
      <c r="P667" s="9" t="e">
        <f>IF(VLOOKUP(G667,'Bereketli Satış'!J:AK,32,0)="","",VLOOKUP(G667,'Bereketli Satış'!J:AK,32,0))</f>
        <v>#N/A</v>
      </c>
      <c r="Q667" s="99"/>
      <c r="R667" s="99"/>
    </row>
    <row r="668" spans="1:18">
      <c r="A668" s="16" t="s">
        <v>81</v>
      </c>
      <c r="B668" s="16" t="s">
        <v>112</v>
      </c>
      <c r="C668" s="16" t="s">
        <v>69</v>
      </c>
      <c r="D668" s="16">
        <v>759.96</v>
      </c>
      <c r="E668" s="16">
        <v>107</v>
      </c>
      <c r="F668" s="16">
        <v>1</v>
      </c>
      <c r="G668" s="1" t="str">
        <f t="shared" si="10"/>
        <v>KARAKÖY1071</v>
      </c>
      <c r="H668" s="99"/>
      <c r="I668" s="9" t="e">
        <f>IF(VLOOKUP(G668,'Bereketli Satış'!J:AK,5,0)="","",VLOOKUP(G668,'Bereketli Satış'!J:AK,5,0))</f>
        <v>#N/A</v>
      </c>
      <c r="J668" s="9" t="e">
        <f>IF(VLOOKUP(G668,'Bereketli Satış'!J:AK,28,0)="","",VLOOKUP(G668,'Bereketli Satış'!J:AK,28,0))</f>
        <v>#N/A</v>
      </c>
      <c r="K668" s="99"/>
      <c r="L668" s="132"/>
      <c r="M668" s="100" t="e">
        <f>IF(VLOOKUP(G668,'Bereketli Satış'!J:AK,30,0)="","",VLOOKUP(G668,'Bereketli Satış'!J:AK,30,0))</f>
        <v>#N/A</v>
      </c>
      <c r="N668" s="99"/>
      <c r="O668" s="99"/>
      <c r="P668" s="9" t="e">
        <f>IF(VLOOKUP(G668,'Bereketli Satış'!J:AK,32,0)="","",VLOOKUP(G668,'Bereketli Satış'!J:AK,32,0))</f>
        <v>#N/A</v>
      </c>
      <c r="Q668" s="99"/>
      <c r="R668" s="99"/>
    </row>
    <row r="669" spans="1:18">
      <c r="A669" s="16" t="s">
        <v>81</v>
      </c>
      <c r="B669" s="16" t="s">
        <v>112</v>
      </c>
      <c r="C669" s="16" t="s">
        <v>69</v>
      </c>
      <c r="D669" s="16">
        <v>760.15</v>
      </c>
      <c r="E669" s="16">
        <v>107</v>
      </c>
      <c r="F669" s="16">
        <v>2</v>
      </c>
      <c r="G669" s="1" t="str">
        <f t="shared" si="10"/>
        <v>KARAKÖY1072</v>
      </c>
      <c r="H669" s="99"/>
      <c r="I669" s="9" t="e">
        <f>IF(VLOOKUP(G669,'Bereketli Satış'!J:AK,5,0)="","",VLOOKUP(G669,'Bereketli Satış'!J:AK,5,0))</f>
        <v>#N/A</v>
      </c>
      <c r="J669" s="9" t="e">
        <f>IF(VLOOKUP(G669,'Bereketli Satış'!J:AK,28,0)="","",VLOOKUP(G669,'Bereketli Satış'!J:AK,28,0))</f>
        <v>#N/A</v>
      </c>
      <c r="K669" s="99"/>
      <c r="L669" s="132"/>
      <c r="M669" s="100" t="e">
        <f>IF(VLOOKUP(G669,'Bereketli Satış'!J:AK,30,0)="","",VLOOKUP(G669,'Bereketli Satış'!J:AK,30,0))</f>
        <v>#N/A</v>
      </c>
      <c r="N669" s="99"/>
      <c r="O669" s="99"/>
      <c r="P669" s="9" t="e">
        <f>IF(VLOOKUP(G669,'Bereketli Satış'!J:AK,32,0)="","",VLOOKUP(G669,'Bereketli Satış'!J:AK,32,0))</f>
        <v>#N/A</v>
      </c>
      <c r="Q669" s="99"/>
      <c r="R669" s="99"/>
    </row>
    <row r="670" spans="1:18">
      <c r="A670" s="16" t="s">
        <v>81</v>
      </c>
      <c r="B670" s="16" t="s">
        <v>112</v>
      </c>
      <c r="C670" s="16" t="s">
        <v>69</v>
      </c>
      <c r="D670" s="16">
        <v>768.12</v>
      </c>
      <c r="E670" s="16">
        <v>107</v>
      </c>
      <c r="F670" s="16">
        <v>3</v>
      </c>
      <c r="G670" s="1" t="str">
        <f t="shared" si="10"/>
        <v>KARAKÖY1073</v>
      </c>
      <c r="H670" s="99"/>
      <c r="I670" s="9" t="e">
        <f>IF(VLOOKUP(G670,'Bereketli Satış'!J:AK,5,0)="","",VLOOKUP(G670,'Bereketli Satış'!J:AK,5,0))</f>
        <v>#N/A</v>
      </c>
      <c r="J670" s="9" t="e">
        <f>IF(VLOOKUP(G670,'Bereketli Satış'!J:AK,28,0)="","",VLOOKUP(G670,'Bereketli Satış'!J:AK,28,0))</f>
        <v>#N/A</v>
      </c>
      <c r="K670" s="99"/>
      <c r="L670" s="132"/>
      <c r="M670" s="100" t="e">
        <f>IF(VLOOKUP(G670,'Bereketli Satış'!J:AK,30,0)="","",VLOOKUP(G670,'Bereketli Satış'!J:AK,30,0))</f>
        <v>#N/A</v>
      </c>
      <c r="N670" s="99"/>
      <c r="O670" s="99"/>
      <c r="P670" s="9" t="e">
        <f>IF(VLOOKUP(G670,'Bereketli Satış'!J:AK,32,0)="","",VLOOKUP(G670,'Bereketli Satış'!J:AK,32,0))</f>
        <v>#N/A</v>
      </c>
      <c r="Q670" s="99"/>
      <c r="R670" s="99"/>
    </row>
    <row r="671" spans="1:18">
      <c r="A671" s="16" t="s">
        <v>81</v>
      </c>
      <c r="B671" s="16" t="s">
        <v>112</v>
      </c>
      <c r="C671" s="16" t="s">
        <v>69</v>
      </c>
      <c r="D671" s="16">
        <v>768.01</v>
      </c>
      <c r="E671" s="16">
        <v>107</v>
      </c>
      <c r="F671" s="16">
        <v>7</v>
      </c>
      <c r="G671" s="1" t="str">
        <f t="shared" si="10"/>
        <v>KARAKÖY1077</v>
      </c>
      <c r="H671" s="99"/>
      <c r="I671" s="9" t="e">
        <f>IF(VLOOKUP(G671,'Bereketli Satış'!J:AK,5,0)="","",VLOOKUP(G671,'Bereketli Satış'!J:AK,5,0))</f>
        <v>#N/A</v>
      </c>
      <c r="J671" s="9" t="e">
        <f>IF(VLOOKUP(G671,'Bereketli Satış'!J:AK,28,0)="","",VLOOKUP(G671,'Bereketli Satış'!J:AK,28,0))</f>
        <v>#N/A</v>
      </c>
      <c r="K671" s="99"/>
      <c r="L671" s="132"/>
      <c r="M671" s="100" t="e">
        <f>IF(VLOOKUP(G671,'Bereketli Satış'!J:AK,30,0)="","",VLOOKUP(G671,'Bereketli Satış'!J:AK,30,0))</f>
        <v>#N/A</v>
      </c>
      <c r="N671" s="99"/>
      <c r="O671" s="99"/>
      <c r="P671" s="9" t="e">
        <f>IF(VLOOKUP(G671,'Bereketli Satış'!J:AK,32,0)="","",VLOOKUP(G671,'Bereketli Satış'!J:AK,32,0))</f>
        <v>#N/A</v>
      </c>
      <c r="Q671" s="99"/>
      <c r="R671" s="99"/>
    </row>
    <row r="672" spans="1:18">
      <c r="A672" s="16" t="s">
        <v>81</v>
      </c>
      <c r="B672" s="16" t="s">
        <v>112</v>
      </c>
      <c r="C672" s="16" t="s">
        <v>69</v>
      </c>
      <c r="D672" s="16">
        <v>767.99</v>
      </c>
      <c r="E672" s="16">
        <v>107</v>
      </c>
      <c r="F672" s="16">
        <v>8</v>
      </c>
      <c r="G672" s="1" t="str">
        <f t="shared" si="10"/>
        <v>KARAKÖY1078</v>
      </c>
      <c r="H672" s="99"/>
      <c r="I672" s="9" t="e">
        <f>IF(VLOOKUP(G672,'Bereketli Satış'!J:AK,5,0)="","",VLOOKUP(G672,'Bereketli Satış'!J:AK,5,0))</f>
        <v>#N/A</v>
      </c>
      <c r="J672" s="9" t="e">
        <f>IF(VLOOKUP(G672,'Bereketli Satış'!J:AK,28,0)="","",VLOOKUP(G672,'Bereketli Satış'!J:AK,28,0))</f>
        <v>#N/A</v>
      </c>
      <c r="K672" s="99"/>
      <c r="L672" s="132"/>
      <c r="M672" s="100" t="e">
        <f>IF(VLOOKUP(G672,'Bereketli Satış'!J:AK,30,0)="","",VLOOKUP(G672,'Bereketli Satış'!J:AK,30,0))</f>
        <v>#N/A</v>
      </c>
      <c r="N672" s="99"/>
      <c r="O672" s="99"/>
      <c r="P672" s="9" t="e">
        <f>IF(VLOOKUP(G672,'Bereketli Satış'!J:AK,32,0)="","",VLOOKUP(G672,'Bereketli Satış'!J:AK,32,0))</f>
        <v>#N/A</v>
      </c>
      <c r="Q672" s="99"/>
      <c r="R672" s="99"/>
    </row>
    <row r="673" spans="1:18">
      <c r="A673" s="16" t="s">
        <v>81</v>
      </c>
      <c r="B673" s="16" t="s">
        <v>112</v>
      </c>
      <c r="C673" s="16" t="s">
        <v>69</v>
      </c>
      <c r="D673" s="16">
        <v>816.46</v>
      </c>
      <c r="E673" s="16">
        <v>108</v>
      </c>
      <c r="F673" s="16">
        <v>1</v>
      </c>
      <c r="G673" s="1" t="str">
        <f t="shared" si="10"/>
        <v>KARAKÖY1081</v>
      </c>
      <c r="H673" s="99"/>
      <c r="I673" s="9" t="e">
        <f>IF(VLOOKUP(G673,'Bereketli Satış'!J:AK,5,0)="","",VLOOKUP(G673,'Bereketli Satış'!J:AK,5,0))</f>
        <v>#N/A</v>
      </c>
      <c r="J673" s="9" t="e">
        <f>IF(VLOOKUP(G673,'Bereketli Satış'!J:AK,28,0)="","",VLOOKUP(G673,'Bereketli Satış'!J:AK,28,0))</f>
        <v>#N/A</v>
      </c>
      <c r="K673" s="99"/>
      <c r="L673" s="132"/>
      <c r="M673" s="100" t="e">
        <f>IF(VLOOKUP(G673,'Bereketli Satış'!J:AK,30,0)="","",VLOOKUP(G673,'Bereketli Satış'!J:AK,30,0))</f>
        <v>#N/A</v>
      </c>
      <c r="N673" s="99"/>
      <c r="O673" s="99"/>
      <c r="P673" s="9" t="e">
        <f>IF(VLOOKUP(G673,'Bereketli Satış'!J:AK,32,0)="","",VLOOKUP(G673,'Bereketli Satış'!J:AK,32,0))</f>
        <v>#N/A</v>
      </c>
      <c r="Q673" s="99"/>
      <c r="R673" s="99"/>
    </row>
    <row r="674" spans="1:18">
      <c r="A674" s="16" t="s">
        <v>81</v>
      </c>
      <c r="B674" s="16" t="s">
        <v>112</v>
      </c>
      <c r="C674" s="16" t="s">
        <v>69</v>
      </c>
      <c r="D674" s="16">
        <v>782.19</v>
      </c>
      <c r="E674" s="16">
        <v>108</v>
      </c>
      <c r="F674" s="16">
        <v>2</v>
      </c>
      <c r="G674" s="1" t="str">
        <f t="shared" si="10"/>
        <v>KARAKÖY1082</v>
      </c>
      <c r="H674" s="99"/>
      <c r="I674" s="9" t="e">
        <f>IF(VLOOKUP(G674,'Bereketli Satış'!J:AK,5,0)="","",VLOOKUP(G674,'Bereketli Satış'!J:AK,5,0))</f>
        <v>#N/A</v>
      </c>
      <c r="J674" s="9" t="e">
        <f>IF(VLOOKUP(G674,'Bereketli Satış'!J:AK,28,0)="","",VLOOKUP(G674,'Bereketli Satış'!J:AK,28,0))</f>
        <v>#N/A</v>
      </c>
      <c r="K674" s="99"/>
      <c r="L674" s="132"/>
      <c r="M674" s="100" t="e">
        <f>IF(VLOOKUP(G674,'Bereketli Satış'!J:AK,30,0)="","",VLOOKUP(G674,'Bereketli Satış'!J:AK,30,0))</f>
        <v>#N/A</v>
      </c>
      <c r="N674" s="99"/>
      <c r="O674" s="99"/>
      <c r="P674" s="9" t="e">
        <f>IF(VLOOKUP(G674,'Bereketli Satış'!J:AK,32,0)="","",VLOOKUP(G674,'Bereketli Satış'!J:AK,32,0))</f>
        <v>#N/A</v>
      </c>
      <c r="Q674" s="99"/>
      <c r="R674" s="99"/>
    </row>
    <row r="675" spans="1:18">
      <c r="A675" s="16" t="s">
        <v>81</v>
      </c>
      <c r="B675" s="16" t="s">
        <v>112</v>
      </c>
      <c r="C675" s="16" t="s">
        <v>69</v>
      </c>
      <c r="D675" s="16">
        <v>647.69000000000005</v>
      </c>
      <c r="E675" s="16">
        <v>108</v>
      </c>
      <c r="F675" s="16">
        <v>3</v>
      </c>
      <c r="G675" s="1" t="str">
        <f t="shared" si="10"/>
        <v>KARAKÖY1083</v>
      </c>
      <c r="H675" s="99"/>
      <c r="I675" s="9" t="e">
        <f>IF(VLOOKUP(G675,'Bereketli Satış'!J:AK,5,0)="","",VLOOKUP(G675,'Bereketli Satış'!J:AK,5,0))</f>
        <v>#N/A</v>
      </c>
      <c r="J675" s="9" t="e">
        <f>IF(VLOOKUP(G675,'Bereketli Satış'!J:AK,28,0)="","",VLOOKUP(G675,'Bereketli Satış'!J:AK,28,0))</f>
        <v>#N/A</v>
      </c>
      <c r="K675" s="99"/>
      <c r="L675" s="132"/>
      <c r="M675" s="100" t="e">
        <f>IF(VLOOKUP(G675,'Bereketli Satış'!J:AK,30,0)="","",VLOOKUP(G675,'Bereketli Satış'!J:AK,30,0))</f>
        <v>#N/A</v>
      </c>
      <c r="N675" s="99"/>
      <c r="O675" s="99"/>
      <c r="P675" s="9" t="e">
        <f>IF(VLOOKUP(G675,'Bereketli Satış'!J:AK,32,0)="","",VLOOKUP(G675,'Bereketli Satış'!J:AK,32,0))</f>
        <v>#N/A</v>
      </c>
      <c r="Q675" s="99"/>
      <c r="R675" s="99"/>
    </row>
    <row r="676" spans="1:18">
      <c r="A676" s="16" t="s">
        <v>81</v>
      </c>
      <c r="B676" s="16" t="s">
        <v>112</v>
      </c>
      <c r="C676" s="16" t="s">
        <v>69</v>
      </c>
      <c r="D676" s="16">
        <v>678.72</v>
      </c>
      <c r="E676" s="16">
        <v>108</v>
      </c>
      <c r="F676" s="16">
        <v>4</v>
      </c>
      <c r="G676" s="1" t="str">
        <f t="shared" si="10"/>
        <v>KARAKÖY1084</v>
      </c>
      <c r="H676" s="99"/>
      <c r="I676" s="9" t="e">
        <f>IF(VLOOKUP(G676,'Bereketli Satış'!J:AK,5,0)="","",VLOOKUP(G676,'Bereketli Satış'!J:AK,5,0))</f>
        <v>#N/A</v>
      </c>
      <c r="J676" s="9" t="e">
        <f>IF(VLOOKUP(G676,'Bereketli Satış'!J:AK,28,0)="","",VLOOKUP(G676,'Bereketli Satış'!J:AK,28,0))</f>
        <v>#N/A</v>
      </c>
      <c r="K676" s="99"/>
      <c r="L676" s="132"/>
      <c r="M676" s="100" t="e">
        <f>IF(VLOOKUP(G676,'Bereketli Satış'!J:AK,30,0)="","",VLOOKUP(G676,'Bereketli Satış'!J:AK,30,0))</f>
        <v>#N/A</v>
      </c>
      <c r="N676" s="99"/>
      <c r="O676" s="99"/>
      <c r="P676" s="9" t="e">
        <f>IF(VLOOKUP(G676,'Bereketli Satış'!J:AK,32,0)="","",VLOOKUP(G676,'Bereketli Satış'!J:AK,32,0))</f>
        <v>#N/A</v>
      </c>
      <c r="Q676" s="99"/>
      <c r="R676" s="99"/>
    </row>
    <row r="677" spans="1:18">
      <c r="A677" s="16" t="s">
        <v>81</v>
      </c>
      <c r="B677" s="16" t="s">
        <v>112</v>
      </c>
      <c r="C677" s="16" t="s">
        <v>69</v>
      </c>
      <c r="D677" s="16">
        <v>783.27</v>
      </c>
      <c r="E677" s="16">
        <v>108</v>
      </c>
      <c r="F677" s="16">
        <v>5</v>
      </c>
      <c r="G677" s="1" t="str">
        <f t="shared" si="10"/>
        <v>KARAKÖY1085</v>
      </c>
      <c r="H677" s="99"/>
      <c r="I677" s="9" t="e">
        <f>IF(VLOOKUP(G677,'Bereketli Satış'!J:AK,5,0)="","",VLOOKUP(G677,'Bereketli Satış'!J:AK,5,0))</f>
        <v>#N/A</v>
      </c>
      <c r="J677" s="9" t="e">
        <f>IF(VLOOKUP(G677,'Bereketli Satış'!J:AK,28,0)="","",VLOOKUP(G677,'Bereketli Satış'!J:AK,28,0))</f>
        <v>#N/A</v>
      </c>
      <c r="K677" s="99"/>
      <c r="L677" s="132"/>
      <c r="M677" s="100" t="e">
        <f>IF(VLOOKUP(G677,'Bereketli Satış'!J:AK,30,0)="","",VLOOKUP(G677,'Bereketli Satış'!J:AK,30,0))</f>
        <v>#N/A</v>
      </c>
      <c r="N677" s="99"/>
      <c r="O677" s="99"/>
      <c r="P677" s="9" t="e">
        <f>IF(VLOOKUP(G677,'Bereketli Satış'!J:AK,32,0)="","",VLOOKUP(G677,'Bereketli Satış'!J:AK,32,0))</f>
        <v>#N/A</v>
      </c>
      <c r="Q677" s="99"/>
      <c r="R677" s="99"/>
    </row>
    <row r="678" spans="1:18">
      <c r="A678" s="16" t="s">
        <v>81</v>
      </c>
      <c r="B678" s="16" t="s">
        <v>112</v>
      </c>
      <c r="C678" s="16" t="s">
        <v>69</v>
      </c>
      <c r="D678" s="16">
        <v>741.08</v>
      </c>
      <c r="E678" s="16">
        <v>108</v>
      </c>
      <c r="F678" s="16">
        <v>6</v>
      </c>
      <c r="G678" s="1" t="str">
        <f t="shared" si="10"/>
        <v>KARAKÖY1086</v>
      </c>
      <c r="H678" s="99"/>
      <c r="I678" s="9" t="e">
        <f>IF(VLOOKUP(G678,'Bereketli Satış'!J:AK,5,0)="","",VLOOKUP(G678,'Bereketli Satış'!J:AK,5,0))</f>
        <v>#N/A</v>
      </c>
      <c r="J678" s="9" t="e">
        <f>IF(VLOOKUP(G678,'Bereketli Satış'!J:AK,28,0)="","",VLOOKUP(G678,'Bereketli Satış'!J:AK,28,0))</f>
        <v>#N/A</v>
      </c>
      <c r="K678" s="99"/>
      <c r="L678" s="132"/>
      <c r="M678" s="100" t="e">
        <f>IF(VLOOKUP(G678,'Bereketli Satış'!J:AK,30,0)="","",VLOOKUP(G678,'Bereketli Satış'!J:AK,30,0))</f>
        <v>#N/A</v>
      </c>
      <c r="N678" s="16"/>
      <c r="O678" s="16"/>
      <c r="P678" s="9" t="e">
        <f>IF(VLOOKUP(G678,'Bereketli Satış'!J:AK,32,0)="","",VLOOKUP(G678,'Bereketli Satış'!J:AK,32,0))</f>
        <v>#N/A</v>
      </c>
      <c r="Q678" s="16"/>
      <c r="R678" s="16"/>
    </row>
    <row r="679" spans="1:18">
      <c r="A679" s="16" t="s">
        <v>81</v>
      </c>
      <c r="B679" s="16" t="s">
        <v>112</v>
      </c>
      <c r="C679" s="16" t="s">
        <v>69</v>
      </c>
      <c r="D679" s="16">
        <v>751.94</v>
      </c>
      <c r="E679" s="16">
        <v>101</v>
      </c>
      <c r="F679" s="16">
        <v>6</v>
      </c>
      <c r="G679" s="1" t="str">
        <f t="shared" si="10"/>
        <v>KARAKÖY1016</v>
      </c>
      <c r="H679" s="16"/>
      <c r="I679" s="9" t="e">
        <f>IF(VLOOKUP(G679,'Bereketli Satış'!J:AK,5,0)="","",VLOOKUP(G679,'Bereketli Satış'!J:AK,5,0))</f>
        <v>#N/A</v>
      </c>
      <c r="J679" s="9" t="e">
        <f>IF(VLOOKUP(G679,'Bereketli Satış'!J:AK,28,0)="","",VLOOKUP(G679,'Bereketli Satış'!J:AK,28,0))</f>
        <v>#N/A</v>
      </c>
      <c r="K679" s="16"/>
      <c r="L679" s="98"/>
      <c r="M679" s="100" t="e">
        <f>IF(VLOOKUP(G679,'Bereketli Satış'!J:AK,30,0)="","",VLOOKUP(G679,'Bereketli Satış'!J:AK,30,0))</f>
        <v>#N/A</v>
      </c>
      <c r="N679" s="16"/>
      <c r="O679" s="16"/>
      <c r="P679" s="9" t="e">
        <f>IF(VLOOKUP(G679,'Bereketli Satış'!J:AK,32,0)="","",VLOOKUP(G679,'Bereketli Satış'!J:AK,32,0))</f>
        <v>#N/A</v>
      </c>
      <c r="Q679" s="16"/>
      <c r="R679" s="16"/>
    </row>
    <row r="680" spans="1:18">
      <c r="A680" s="16" t="s">
        <v>81</v>
      </c>
      <c r="B680" s="16" t="s">
        <v>112</v>
      </c>
      <c r="C680" s="16" t="s">
        <v>69</v>
      </c>
      <c r="D680" s="16">
        <v>663.98</v>
      </c>
      <c r="E680" s="16">
        <v>109</v>
      </c>
      <c r="F680" s="16">
        <v>1</v>
      </c>
      <c r="G680" s="1" t="str">
        <f t="shared" si="10"/>
        <v>KARAKÖY1091</v>
      </c>
      <c r="H680" s="16"/>
      <c r="I680" s="9" t="e">
        <f>IF(VLOOKUP(G680,'Bereketli Satış'!J:AK,5,0)="","",VLOOKUP(G680,'Bereketli Satış'!J:AK,5,0))</f>
        <v>#N/A</v>
      </c>
      <c r="J680" s="9" t="e">
        <f>IF(VLOOKUP(G680,'Bereketli Satış'!J:AK,28,0)="","",VLOOKUP(G680,'Bereketli Satış'!J:AK,28,0))</f>
        <v>#N/A</v>
      </c>
      <c r="K680" s="16"/>
      <c r="L680" s="98"/>
      <c r="M680" s="100" t="e">
        <f>IF(VLOOKUP(G680,'Bereketli Satış'!J:AK,30,0)="","",VLOOKUP(G680,'Bereketli Satış'!J:AK,30,0))</f>
        <v>#N/A</v>
      </c>
      <c r="N680" s="16"/>
      <c r="O680" s="16"/>
      <c r="P680" s="9" t="e">
        <f>IF(VLOOKUP(G680,'Bereketli Satış'!J:AK,32,0)="","",VLOOKUP(G680,'Bereketli Satış'!J:AK,32,0))</f>
        <v>#N/A</v>
      </c>
      <c r="Q680" s="16"/>
      <c r="R680" s="16"/>
    </row>
    <row r="681" spans="1:18">
      <c r="A681" s="16" t="s">
        <v>81</v>
      </c>
      <c r="B681" s="16" t="s">
        <v>112</v>
      </c>
      <c r="C681" s="16" t="s">
        <v>69</v>
      </c>
      <c r="D681" s="16">
        <v>664.01</v>
      </c>
      <c r="E681" s="16">
        <v>109</v>
      </c>
      <c r="F681" s="16">
        <v>2</v>
      </c>
      <c r="G681" s="1" t="str">
        <f t="shared" si="10"/>
        <v>KARAKÖY1092</v>
      </c>
      <c r="H681" s="16"/>
      <c r="I681" s="9" t="e">
        <f>IF(VLOOKUP(G681,'Bereketli Satış'!J:AK,5,0)="","",VLOOKUP(G681,'Bereketli Satış'!J:AK,5,0))</f>
        <v>#N/A</v>
      </c>
      <c r="J681" s="9" t="e">
        <f>IF(VLOOKUP(G681,'Bereketli Satış'!J:AK,28,0)="","",VLOOKUP(G681,'Bereketli Satış'!J:AK,28,0))</f>
        <v>#N/A</v>
      </c>
      <c r="K681" s="16"/>
      <c r="L681" s="98"/>
      <c r="M681" s="100" t="e">
        <f>IF(VLOOKUP(G681,'Bereketli Satış'!J:AK,30,0)="","",VLOOKUP(G681,'Bereketli Satış'!J:AK,30,0))</f>
        <v>#N/A</v>
      </c>
      <c r="N681" s="16"/>
      <c r="O681" s="16"/>
      <c r="P681" s="9" t="e">
        <f>IF(VLOOKUP(G681,'Bereketli Satış'!J:AK,32,0)="","",VLOOKUP(G681,'Bereketli Satış'!J:AK,32,0))</f>
        <v>#N/A</v>
      </c>
      <c r="Q681" s="16"/>
      <c r="R681" s="16"/>
    </row>
    <row r="682" spans="1:18">
      <c r="A682" s="16" t="s">
        <v>81</v>
      </c>
      <c r="B682" s="16" t="s">
        <v>112</v>
      </c>
      <c r="C682" s="16" t="s">
        <v>69</v>
      </c>
      <c r="D682" s="16">
        <v>672.05</v>
      </c>
      <c r="E682" s="16">
        <v>109</v>
      </c>
      <c r="F682" s="16">
        <v>3</v>
      </c>
      <c r="G682" s="1" t="str">
        <f t="shared" si="10"/>
        <v>KARAKÖY1093</v>
      </c>
      <c r="H682" s="16"/>
      <c r="I682" s="9" t="e">
        <f>IF(VLOOKUP(G682,'Bereketli Satış'!J:AK,5,0)="","",VLOOKUP(G682,'Bereketli Satış'!J:AK,5,0))</f>
        <v>#N/A</v>
      </c>
      <c r="J682" s="9" t="e">
        <f>IF(VLOOKUP(G682,'Bereketli Satış'!J:AK,28,0)="","",VLOOKUP(G682,'Bereketli Satış'!J:AK,28,0))</f>
        <v>#N/A</v>
      </c>
      <c r="K682" s="16"/>
      <c r="L682" s="98"/>
      <c r="M682" s="100" t="e">
        <f>IF(VLOOKUP(G682,'Bereketli Satış'!J:AK,30,0)="","",VLOOKUP(G682,'Bereketli Satış'!J:AK,30,0))</f>
        <v>#N/A</v>
      </c>
      <c r="N682" s="16"/>
      <c r="O682" s="16"/>
      <c r="P682" s="9" t="e">
        <f>IF(VLOOKUP(G682,'Bereketli Satış'!J:AK,32,0)="","",VLOOKUP(G682,'Bereketli Satış'!J:AK,32,0))</f>
        <v>#N/A</v>
      </c>
      <c r="Q682" s="16"/>
      <c r="R682" s="16"/>
    </row>
    <row r="683" spans="1:18">
      <c r="A683" s="16" t="s">
        <v>81</v>
      </c>
      <c r="B683" s="16" t="s">
        <v>112</v>
      </c>
      <c r="C683" s="16" t="s">
        <v>69</v>
      </c>
      <c r="D683" s="16">
        <v>672.07</v>
      </c>
      <c r="E683" s="16">
        <v>109</v>
      </c>
      <c r="F683" s="16">
        <v>4</v>
      </c>
      <c r="G683" s="1" t="str">
        <f t="shared" si="10"/>
        <v>KARAKÖY1094</v>
      </c>
      <c r="H683" s="16"/>
      <c r="I683" s="9" t="e">
        <f>IF(VLOOKUP(G683,'Bereketli Satış'!J:AK,5,0)="","",VLOOKUP(G683,'Bereketli Satış'!J:AK,5,0))</f>
        <v>#N/A</v>
      </c>
      <c r="J683" s="9" t="e">
        <f>IF(VLOOKUP(G683,'Bereketli Satış'!J:AK,28,0)="","",VLOOKUP(G683,'Bereketli Satış'!J:AK,28,0))</f>
        <v>#N/A</v>
      </c>
      <c r="K683" s="16"/>
      <c r="L683" s="98"/>
      <c r="M683" s="100" t="e">
        <f>IF(VLOOKUP(G683,'Bereketli Satış'!J:AK,30,0)="","",VLOOKUP(G683,'Bereketli Satış'!J:AK,30,0))</f>
        <v>#N/A</v>
      </c>
      <c r="N683" s="16"/>
      <c r="O683" s="16"/>
      <c r="P683" s="9" t="e">
        <f>IF(VLOOKUP(G683,'Bereketli Satış'!J:AK,32,0)="","",VLOOKUP(G683,'Bereketli Satış'!J:AK,32,0))</f>
        <v>#N/A</v>
      </c>
      <c r="Q683" s="16"/>
      <c r="R683" s="16"/>
    </row>
    <row r="684" spans="1:18">
      <c r="A684" s="16" t="s">
        <v>81</v>
      </c>
      <c r="B684" s="16" t="s">
        <v>112</v>
      </c>
      <c r="C684" s="16" t="s">
        <v>69</v>
      </c>
      <c r="D684" s="16">
        <v>672.13</v>
      </c>
      <c r="E684" s="16">
        <v>109</v>
      </c>
      <c r="F684" s="16">
        <v>5</v>
      </c>
      <c r="G684" s="1" t="str">
        <f t="shared" si="10"/>
        <v>KARAKÖY1095</v>
      </c>
      <c r="H684" s="16"/>
      <c r="I684" s="9" t="e">
        <f>IF(VLOOKUP(G684,'Bereketli Satış'!J:AK,5,0)="","",VLOOKUP(G684,'Bereketli Satış'!J:AK,5,0))</f>
        <v>#N/A</v>
      </c>
      <c r="J684" s="9" t="e">
        <f>IF(VLOOKUP(G684,'Bereketli Satış'!J:AK,28,0)="","",VLOOKUP(G684,'Bereketli Satış'!J:AK,28,0))</f>
        <v>#N/A</v>
      </c>
      <c r="K684" s="16"/>
      <c r="L684" s="98"/>
      <c r="M684" s="100" t="e">
        <f>IF(VLOOKUP(G684,'Bereketli Satış'!J:AK,30,0)="","",VLOOKUP(G684,'Bereketli Satış'!J:AK,30,0))</f>
        <v>#N/A</v>
      </c>
      <c r="N684" s="16"/>
      <c r="O684" s="16"/>
      <c r="P684" s="9" t="e">
        <f>IF(VLOOKUP(G684,'Bereketli Satış'!J:AK,32,0)="","",VLOOKUP(G684,'Bereketli Satış'!J:AK,32,0))</f>
        <v>#N/A</v>
      </c>
      <c r="Q684" s="16"/>
      <c r="R684" s="16"/>
    </row>
    <row r="685" spans="1:18">
      <c r="A685" s="16" t="s">
        <v>81</v>
      </c>
      <c r="B685" s="16" t="s">
        <v>112</v>
      </c>
      <c r="C685" s="16" t="s">
        <v>69</v>
      </c>
      <c r="D685" s="16">
        <v>704.82</v>
      </c>
      <c r="E685" s="16">
        <v>109</v>
      </c>
      <c r="F685" s="16">
        <v>6</v>
      </c>
      <c r="G685" s="1" t="str">
        <f t="shared" si="10"/>
        <v>KARAKÖY1096</v>
      </c>
      <c r="H685" s="16"/>
      <c r="I685" s="9" t="e">
        <f>IF(VLOOKUP(G685,'Bereketli Satış'!J:AK,5,0)="","",VLOOKUP(G685,'Bereketli Satış'!J:AK,5,0))</f>
        <v>#N/A</v>
      </c>
      <c r="J685" s="9" t="e">
        <f>IF(VLOOKUP(G685,'Bereketli Satış'!J:AK,28,0)="","",VLOOKUP(G685,'Bereketli Satış'!J:AK,28,0))</f>
        <v>#N/A</v>
      </c>
      <c r="K685" s="16"/>
      <c r="L685" s="98"/>
      <c r="M685" s="100" t="e">
        <f>IF(VLOOKUP(G685,'Bereketli Satış'!J:AK,30,0)="","",VLOOKUP(G685,'Bereketli Satış'!J:AK,30,0))</f>
        <v>#N/A</v>
      </c>
      <c r="N685" s="16"/>
      <c r="O685" s="16"/>
      <c r="P685" s="9" t="e">
        <f>IF(VLOOKUP(G685,'Bereketli Satış'!J:AK,32,0)="","",VLOOKUP(G685,'Bereketli Satış'!J:AK,32,0))</f>
        <v>#N/A</v>
      </c>
      <c r="Q685" s="16"/>
      <c r="R685" s="16"/>
    </row>
    <row r="686" spans="1:18">
      <c r="A686" s="16" t="s">
        <v>81</v>
      </c>
      <c r="B686" s="16" t="s">
        <v>112</v>
      </c>
      <c r="C686" s="16" t="s">
        <v>69</v>
      </c>
      <c r="D686" s="16">
        <v>627.94000000000005</v>
      </c>
      <c r="E686" s="16">
        <v>109</v>
      </c>
      <c r="F686" s="16">
        <v>7</v>
      </c>
      <c r="G686" s="1" t="str">
        <f t="shared" si="10"/>
        <v>KARAKÖY1097</v>
      </c>
      <c r="H686" s="16"/>
      <c r="I686" s="9" t="e">
        <f>IF(VLOOKUP(G686,'Bereketli Satış'!J:AK,5,0)="","",VLOOKUP(G686,'Bereketli Satış'!J:AK,5,0))</f>
        <v>#N/A</v>
      </c>
      <c r="J686" s="9" t="e">
        <f>IF(VLOOKUP(G686,'Bereketli Satış'!J:AK,28,0)="","",VLOOKUP(G686,'Bereketli Satış'!J:AK,28,0))</f>
        <v>#N/A</v>
      </c>
      <c r="K686" s="16"/>
      <c r="L686" s="98"/>
      <c r="M686" s="100" t="e">
        <f>IF(VLOOKUP(G686,'Bereketli Satış'!J:AK,30,0)="","",VLOOKUP(G686,'Bereketli Satış'!J:AK,30,0))</f>
        <v>#N/A</v>
      </c>
      <c r="N686" s="16"/>
      <c r="O686" s="16"/>
      <c r="P686" s="9" t="e">
        <f>IF(VLOOKUP(G686,'Bereketli Satış'!J:AK,32,0)="","",VLOOKUP(G686,'Bereketli Satış'!J:AK,32,0))</f>
        <v>#N/A</v>
      </c>
      <c r="Q686" s="16"/>
      <c r="R686" s="16"/>
    </row>
    <row r="687" spans="1:18">
      <c r="A687" s="16" t="s">
        <v>81</v>
      </c>
      <c r="B687" s="16" t="s">
        <v>112</v>
      </c>
      <c r="C687" s="16" t="s">
        <v>69</v>
      </c>
      <c r="D687" s="16">
        <v>671.99</v>
      </c>
      <c r="E687" s="16">
        <v>109</v>
      </c>
      <c r="F687" s="16">
        <v>8</v>
      </c>
      <c r="G687" s="1" t="str">
        <f t="shared" si="10"/>
        <v>KARAKÖY1098</v>
      </c>
      <c r="H687" s="16"/>
      <c r="I687" s="9" t="e">
        <f>IF(VLOOKUP(G687,'Bereketli Satış'!J:AK,5,0)="","",VLOOKUP(G687,'Bereketli Satış'!J:AK,5,0))</f>
        <v>#N/A</v>
      </c>
      <c r="J687" s="9" t="e">
        <f>IF(VLOOKUP(G687,'Bereketli Satış'!J:AK,28,0)="","",VLOOKUP(G687,'Bereketli Satış'!J:AK,28,0))</f>
        <v>#N/A</v>
      </c>
      <c r="K687" s="16"/>
      <c r="L687" s="98"/>
      <c r="M687" s="100" t="e">
        <f>IF(VLOOKUP(G687,'Bereketli Satış'!J:AK,30,0)="","",VLOOKUP(G687,'Bereketli Satış'!J:AK,30,0))</f>
        <v>#N/A</v>
      </c>
      <c r="N687" s="16"/>
      <c r="O687" s="16"/>
      <c r="P687" s="9" t="e">
        <f>IF(VLOOKUP(G687,'Bereketli Satış'!J:AK,32,0)="","",VLOOKUP(G687,'Bereketli Satış'!J:AK,32,0))</f>
        <v>#N/A</v>
      </c>
      <c r="Q687" s="16"/>
      <c r="R687" s="16"/>
    </row>
    <row r="688" spans="1:18">
      <c r="A688" s="16" t="s">
        <v>81</v>
      </c>
      <c r="B688" s="16" t="s">
        <v>112</v>
      </c>
      <c r="C688" s="16" t="s">
        <v>69</v>
      </c>
      <c r="D688" s="16">
        <v>671.98</v>
      </c>
      <c r="E688" s="16">
        <v>109</v>
      </c>
      <c r="F688" s="16">
        <v>9</v>
      </c>
      <c r="G688" s="1" t="str">
        <f t="shared" si="10"/>
        <v>KARAKÖY1099</v>
      </c>
      <c r="H688" s="16"/>
      <c r="I688" s="9" t="e">
        <f>IF(VLOOKUP(G688,'Bereketli Satış'!J:AK,5,0)="","",VLOOKUP(G688,'Bereketli Satış'!J:AK,5,0))</f>
        <v>#N/A</v>
      </c>
      <c r="J688" s="9" t="e">
        <f>IF(VLOOKUP(G688,'Bereketli Satış'!J:AK,28,0)="","",VLOOKUP(G688,'Bereketli Satış'!J:AK,28,0))</f>
        <v>#N/A</v>
      </c>
      <c r="K688" s="16"/>
      <c r="L688" s="98"/>
      <c r="M688" s="100" t="e">
        <f>IF(VLOOKUP(G688,'Bereketli Satış'!J:AK,30,0)="","",VLOOKUP(G688,'Bereketli Satış'!J:AK,30,0))</f>
        <v>#N/A</v>
      </c>
      <c r="N688" s="16"/>
      <c r="O688" s="16"/>
      <c r="P688" s="9" t="e">
        <f>IF(VLOOKUP(G688,'Bereketli Satış'!J:AK,32,0)="","",VLOOKUP(G688,'Bereketli Satış'!J:AK,32,0))</f>
        <v>#N/A</v>
      </c>
      <c r="Q688" s="16"/>
      <c r="R688" s="16"/>
    </row>
    <row r="689" spans="1:18">
      <c r="A689" s="16" t="s">
        <v>81</v>
      </c>
      <c r="B689" s="16" t="s">
        <v>112</v>
      </c>
      <c r="C689" s="16" t="s">
        <v>69</v>
      </c>
      <c r="D689" s="16">
        <v>671.98</v>
      </c>
      <c r="E689" s="16">
        <v>109</v>
      </c>
      <c r="F689" s="16">
        <v>10</v>
      </c>
      <c r="G689" s="1" t="str">
        <f t="shared" si="10"/>
        <v>KARAKÖY10910</v>
      </c>
      <c r="H689" s="16"/>
      <c r="I689" s="9" t="e">
        <f>IF(VLOOKUP(G689,'Bereketli Satış'!J:AK,5,0)="","",VLOOKUP(G689,'Bereketli Satış'!J:AK,5,0))</f>
        <v>#N/A</v>
      </c>
      <c r="J689" s="9" t="e">
        <f>IF(VLOOKUP(G689,'Bereketli Satış'!J:AK,28,0)="","",VLOOKUP(G689,'Bereketli Satış'!J:AK,28,0))</f>
        <v>#N/A</v>
      </c>
      <c r="K689" s="16"/>
      <c r="L689" s="98"/>
      <c r="M689" s="100" t="e">
        <f>IF(VLOOKUP(G689,'Bereketli Satış'!J:AK,30,0)="","",VLOOKUP(G689,'Bereketli Satış'!J:AK,30,0))</f>
        <v>#N/A</v>
      </c>
      <c r="N689" s="16"/>
      <c r="O689" s="16"/>
      <c r="P689" s="9" t="e">
        <f>IF(VLOOKUP(G689,'Bereketli Satış'!J:AK,32,0)="","",VLOOKUP(G689,'Bereketli Satış'!J:AK,32,0))</f>
        <v>#N/A</v>
      </c>
      <c r="Q689" s="16"/>
      <c r="R689" s="16"/>
    </row>
    <row r="690" spans="1:18">
      <c r="A690" s="16" t="s">
        <v>14</v>
      </c>
      <c r="B690" s="16" t="s">
        <v>15</v>
      </c>
      <c r="C690" s="16" t="s">
        <v>113</v>
      </c>
      <c r="D690" s="16">
        <v>622</v>
      </c>
      <c r="E690" s="16">
        <v>0</v>
      </c>
      <c r="F690" s="16">
        <v>976</v>
      </c>
      <c r="G690" s="1" t="str">
        <f t="shared" si="10"/>
        <v>SULTANÇAYIR 0976</v>
      </c>
      <c r="H690" s="16"/>
      <c r="I690" s="9" t="e">
        <f>IF(VLOOKUP(G690,'Bereketli Satış'!J:AK,5,0)="","",VLOOKUP(G690,'Bereketli Satış'!J:AK,5,0))</f>
        <v>#N/A</v>
      </c>
      <c r="J690" s="9" t="e">
        <f>IF(VLOOKUP(G690,'Bereketli Satış'!J:AK,28,0)="","",VLOOKUP(G690,'Bereketli Satış'!J:AK,28,0))</f>
        <v>#N/A</v>
      </c>
      <c r="K690" s="16"/>
      <c r="L690" s="98"/>
      <c r="M690" s="100" t="e">
        <f>IF(VLOOKUP(G690,'Bereketli Satış'!J:AK,30,0)="","",VLOOKUP(G690,'Bereketli Satış'!J:AK,30,0))</f>
        <v>#N/A</v>
      </c>
      <c r="N690" s="16"/>
      <c r="O690" s="16"/>
      <c r="P690" s="9" t="e">
        <f>IF(VLOOKUP(G690,'Bereketli Satış'!J:AK,32,0)="","",VLOOKUP(G690,'Bereketli Satış'!J:AK,32,0))</f>
        <v>#N/A</v>
      </c>
      <c r="Q690" s="16"/>
      <c r="R690" s="16"/>
    </row>
    <row r="691" spans="1:18">
      <c r="A691" s="16" t="s">
        <v>14</v>
      </c>
      <c r="B691" s="16" t="s">
        <v>15</v>
      </c>
      <c r="C691" s="16" t="s">
        <v>113</v>
      </c>
      <c r="D691" s="16">
        <v>643.07000000000005</v>
      </c>
      <c r="E691" s="16">
        <v>0</v>
      </c>
      <c r="F691" s="16">
        <v>977</v>
      </c>
      <c r="G691" s="1" t="str">
        <f t="shared" si="10"/>
        <v>SULTANÇAYIR 0977</v>
      </c>
      <c r="H691" s="16"/>
      <c r="I691" s="9" t="e">
        <f>IF(VLOOKUP(G691,'Bereketli Satış'!J:AK,5,0)="","",VLOOKUP(G691,'Bereketli Satış'!J:AK,5,0))</f>
        <v>#N/A</v>
      </c>
      <c r="J691" s="9" t="e">
        <f>IF(VLOOKUP(G691,'Bereketli Satış'!J:AK,28,0)="","",VLOOKUP(G691,'Bereketli Satış'!J:AK,28,0))</f>
        <v>#N/A</v>
      </c>
      <c r="K691" s="16"/>
      <c r="L691" s="98"/>
      <c r="M691" s="100" t="e">
        <f>IF(VLOOKUP(G691,'Bereketli Satış'!J:AK,30,0)="","",VLOOKUP(G691,'Bereketli Satış'!J:AK,30,0))</f>
        <v>#N/A</v>
      </c>
      <c r="N691" s="16"/>
      <c r="O691" s="16"/>
      <c r="P691" s="9" t="e">
        <f>IF(VLOOKUP(G691,'Bereketli Satış'!J:AK,32,0)="","",VLOOKUP(G691,'Bereketli Satış'!J:AK,32,0))</f>
        <v>#N/A</v>
      </c>
      <c r="Q691" s="16"/>
      <c r="R691" s="16"/>
    </row>
    <row r="692" spans="1:18">
      <c r="A692" s="16" t="s">
        <v>14</v>
      </c>
      <c r="B692" s="16" t="s">
        <v>15</v>
      </c>
      <c r="C692" s="16" t="s">
        <v>113</v>
      </c>
      <c r="D692" s="16">
        <v>670.4</v>
      </c>
      <c r="E692" s="16">
        <v>0</v>
      </c>
      <c r="F692" s="16">
        <v>978</v>
      </c>
      <c r="G692" s="1" t="str">
        <f t="shared" si="10"/>
        <v>SULTANÇAYIR 0978</v>
      </c>
      <c r="H692" s="16"/>
      <c r="I692" s="9" t="e">
        <f>IF(VLOOKUP(G692,'Bereketli Satış'!J:AK,5,0)="","",VLOOKUP(G692,'Bereketli Satış'!J:AK,5,0))</f>
        <v>#N/A</v>
      </c>
      <c r="J692" s="9" t="e">
        <f>IF(VLOOKUP(G692,'Bereketli Satış'!J:AK,28,0)="","",VLOOKUP(G692,'Bereketli Satış'!J:AK,28,0))</f>
        <v>#N/A</v>
      </c>
      <c r="K692" s="16"/>
      <c r="L692" s="98"/>
      <c r="M692" s="100" t="e">
        <f>IF(VLOOKUP(G692,'Bereketli Satış'!J:AK,30,0)="","",VLOOKUP(G692,'Bereketli Satış'!J:AK,30,0))</f>
        <v>#N/A</v>
      </c>
      <c r="N692" s="16"/>
      <c r="O692" s="16"/>
      <c r="P692" s="9" t="e">
        <f>IF(VLOOKUP(G692,'Bereketli Satış'!J:AK,32,0)="","",VLOOKUP(G692,'Bereketli Satış'!J:AK,32,0))</f>
        <v>#N/A</v>
      </c>
      <c r="Q692" s="16"/>
      <c r="R692" s="16"/>
    </row>
    <row r="693" spans="1:18">
      <c r="A693" s="16" t="s">
        <v>14</v>
      </c>
      <c r="B693" s="16" t="s">
        <v>15</v>
      </c>
      <c r="C693" s="16" t="s">
        <v>113</v>
      </c>
      <c r="D693" s="16">
        <v>615.79</v>
      </c>
      <c r="E693" s="16">
        <v>0</v>
      </c>
      <c r="F693" s="16">
        <v>979</v>
      </c>
      <c r="G693" s="1" t="str">
        <f t="shared" si="10"/>
        <v>SULTANÇAYIR 0979</v>
      </c>
      <c r="H693" s="16"/>
      <c r="I693" s="9" t="e">
        <f>IF(VLOOKUP(G693,'Bereketli Satış'!J:AK,5,0)="","",VLOOKUP(G693,'Bereketli Satış'!J:AK,5,0))</f>
        <v>#N/A</v>
      </c>
      <c r="J693" s="9" t="e">
        <f>IF(VLOOKUP(G693,'Bereketli Satış'!J:AK,28,0)="","",VLOOKUP(G693,'Bereketli Satış'!J:AK,28,0))</f>
        <v>#N/A</v>
      </c>
      <c r="K693" s="16"/>
      <c r="L693" s="98"/>
      <c r="M693" s="100" t="e">
        <f>IF(VLOOKUP(G693,'Bereketli Satış'!J:AK,30,0)="","",VLOOKUP(G693,'Bereketli Satış'!J:AK,30,0))</f>
        <v>#N/A</v>
      </c>
      <c r="N693" s="16"/>
      <c r="O693" s="16"/>
      <c r="P693" s="9" t="e">
        <f>IF(VLOOKUP(G693,'Bereketli Satış'!J:AK,32,0)="","",VLOOKUP(G693,'Bereketli Satış'!J:AK,32,0))</f>
        <v>#N/A</v>
      </c>
      <c r="Q693" s="16"/>
      <c r="R693" s="16"/>
    </row>
    <row r="694" spans="1:18">
      <c r="A694" s="16" t="s">
        <v>14</v>
      </c>
      <c r="B694" s="16" t="s">
        <v>33</v>
      </c>
      <c r="C694" s="16" t="s">
        <v>42</v>
      </c>
      <c r="D694" s="16">
        <v>406.86</v>
      </c>
      <c r="E694" s="16">
        <v>111</v>
      </c>
      <c r="F694" s="16">
        <v>17</v>
      </c>
      <c r="G694" s="1" t="str">
        <f t="shared" si="10"/>
        <v>İBİLLER11117</v>
      </c>
      <c r="H694" s="16"/>
      <c r="I694" s="9" t="e">
        <f>IF(VLOOKUP(G694,'Bereketli Satış'!J:AK,5,0)="","",VLOOKUP(G694,'Bereketli Satış'!J:AK,5,0))</f>
        <v>#N/A</v>
      </c>
      <c r="J694" s="9" t="e">
        <f>IF(VLOOKUP(G694,'Bereketli Satış'!J:AK,28,0)="","",VLOOKUP(G694,'Bereketli Satış'!J:AK,28,0))</f>
        <v>#N/A</v>
      </c>
      <c r="K694" s="16"/>
      <c r="L694" s="98"/>
      <c r="M694" s="100" t="e">
        <f>IF(VLOOKUP(G694,'Bereketli Satış'!J:AK,30,0)="","",VLOOKUP(G694,'Bereketli Satış'!J:AK,30,0))</f>
        <v>#N/A</v>
      </c>
      <c r="N694" s="16"/>
      <c r="O694" s="16"/>
      <c r="P694" s="9" t="e">
        <f>IF(VLOOKUP(G694,'Bereketli Satış'!J:AK,32,0)="","",VLOOKUP(G694,'Bereketli Satış'!J:AK,32,0))</f>
        <v>#N/A</v>
      </c>
      <c r="Q694" s="16"/>
      <c r="R694" s="16"/>
    </row>
    <row r="695" spans="1:18">
      <c r="A695" s="16" t="s">
        <v>14</v>
      </c>
      <c r="B695" s="16" t="s">
        <v>33</v>
      </c>
      <c r="C695" s="16" t="s">
        <v>42</v>
      </c>
      <c r="D695" s="16">
        <v>406.56</v>
      </c>
      <c r="E695" s="16">
        <v>111</v>
      </c>
      <c r="F695" s="16">
        <v>18</v>
      </c>
      <c r="G695" s="1" t="str">
        <f t="shared" si="10"/>
        <v>İBİLLER11118</v>
      </c>
      <c r="H695" s="16"/>
      <c r="I695" s="9" t="e">
        <f>IF(VLOOKUP(G695,'Bereketli Satış'!J:AK,5,0)="","",VLOOKUP(G695,'Bereketli Satış'!J:AK,5,0))</f>
        <v>#N/A</v>
      </c>
      <c r="J695" s="9" t="e">
        <f>IF(VLOOKUP(G695,'Bereketli Satış'!J:AK,28,0)="","",VLOOKUP(G695,'Bereketli Satış'!J:AK,28,0))</f>
        <v>#N/A</v>
      </c>
      <c r="K695" s="16"/>
      <c r="L695" s="98"/>
      <c r="M695" s="100" t="e">
        <f>IF(VLOOKUP(G695,'Bereketli Satış'!J:AK,30,0)="","",VLOOKUP(G695,'Bereketli Satış'!J:AK,30,0))</f>
        <v>#N/A</v>
      </c>
      <c r="N695" s="16"/>
      <c r="O695" s="16"/>
      <c r="P695" s="9" t="e">
        <f>IF(VLOOKUP(G695,'Bereketli Satış'!J:AK,32,0)="","",VLOOKUP(G695,'Bereketli Satış'!J:AK,32,0))</f>
        <v>#N/A</v>
      </c>
      <c r="Q695" s="16"/>
      <c r="R695" s="16"/>
    </row>
    <row r="696" spans="1:18">
      <c r="A696" s="16" t="s">
        <v>14</v>
      </c>
      <c r="B696" s="16" t="s">
        <v>33</v>
      </c>
      <c r="C696" s="16" t="s">
        <v>42</v>
      </c>
      <c r="D696" s="16">
        <v>406.58</v>
      </c>
      <c r="E696" s="16">
        <v>111</v>
      </c>
      <c r="F696" s="16">
        <v>19</v>
      </c>
      <c r="G696" s="1" t="str">
        <f t="shared" si="10"/>
        <v>İBİLLER11119</v>
      </c>
      <c r="H696" s="16"/>
      <c r="I696" s="9" t="e">
        <f>IF(VLOOKUP(G696,'Bereketli Satış'!J:AK,5,0)="","",VLOOKUP(G696,'Bereketli Satış'!J:AK,5,0))</f>
        <v>#N/A</v>
      </c>
      <c r="J696" s="9" t="e">
        <f>IF(VLOOKUP(G696,'Bereketli Satış'!J:AK,28,0)="","",VLOOKUP(G696,'Bereketli Satış'!J:AK,28,0))</f>
        <v>#N/A</v>
      </c>
      <c r="K696" s="16"/>
      <c r="L696" s="98"/>
      <c r="M696" s="100" t="e">
        <f>IF(VLOOKUP(G696,'Bereketli Satış'!J:AK,30,0)="","",VLOOKUP(G696,'Bereketli Satış'!J:AK,30,0))</f>
        <v>#N/A</v>
      </c>
      <c r="N696" s="16"/>
      <c r="O696" s="16"/>
      <c r="P696" s="9" t="e">
        <f>IF(VLOOKUP(G696,'Bereketli Satış'!J:AK,32,0)="","",VLOOKUP(G696,'Bereketli Satış'!J:AK,32,0))</f>
        <v>#N/A</v>
      </c>
      <c r="Q696" s="16"/>
      <c r="R696" s="16"/>
    </row>
    <row r="697" spans="1:18">
      <c r="A697" s="16" t="s">
        <v>14</v>
      </c>
      <c r="B697" s="16" t="s">
        <v>33</v>
      </c>
      <c r="C697" s="16" t="s">
        <v>42</v>
      </c>
      <c r="D697" s="16">
        <v>690</v>
      </c>
      <c r="E697" s="16">
        <v>118</v>
      </c>
      <c r="F697" s="16">
        <v>7</v>
      </c>
      <c r="G697" s="1" t="str">
        <f t="shared" si="10"/>
        <v>İBİLLER1187</v>
      </c>
      <c r="H697" s="16"/>
      <c r="I697" s="9" t="e">
        <f>IF(VLOOKUP(G697,'Bereketli Satış'!J:AK,5,0)="","",VLOOKUP(G697,'Bereketli Satış'!J:AK,5,0))</f>
        <v>#N/A</v>
      </c>
      <c r="J697" s="9" t="e">
        <f>IF(VLOOKUP(G697,'Bereketli Satış'!J:AK,28,0)="","",VLOOKUP(G697,'Bereketli Satış'!J:AK,28,0))</f>
        <v>#N/A</v>
      </c>
      <c r="K697" s="16"/>
      <c r="L697" s="98"/>
      <c r="M697" s="100" t="e">
        <f>IF(VLOOKUP(G697,'Bereketli Satış'!J:AK,30,0)="","",VLOOKUP(G697,'Bereketli Satış'!J:AK,30,0))</f>
        <v>#N/A</v>
      </c>
      <c r="N697" s="16"/>
      <c r="O697" s="16"/>
      <c r="P697" s="9" t="e">
        <f>IF(VLOOKUP(G697,'Bereketli Satış'!J:AK,32,0)="","",VLOOKUP(G697,'Bereketli Satış'!J:AK,32,0))</f>
        <v>#N/A</v>
      </c>
      <c r="Q697" s="16"/>
      <c r="R697" s="16"/>
    </row>
    <row r="698" spans="1:18">
      <c r="A698" s="16" t="s">
        <v>14</v>
      </c>
      <c r="B698" s="16" t="s">
        <v>33</v>
      </c>
      <c r="C698" s="16" t="s">
        <v>34</v>
      </c>
      <c r="D698" s="16">
        <v>549.34</v>
      </c>
      <c r="E698" s="16">
        <v>104</v>
      </c>
      <c r="F698" s="16">
        <v>11</v>
      </c>
      <c r="G698" s="1" t="str">
        <f t="shared" si="10"/>
        <v>ARMUTLU10411</v>
      </c>
      <c r="H698" s="16"/>
      <c r="I698" s="9" t="e">
        <f>IF(VLOOKUP(G698,'Bereketli Satış'!J:AK,5,0)="","",VLOOKUP(G698,'Bereketli Satış'!J:AK,5,0))</f>
        <v>#N/A</v>
      </c>
      <c r="J698" s="9" t="e">
        <f>IF(VLOOKUP(G698,'Bereketli Satış'!J:AK,28,0)="","",VLOOKUP(G698,'Bereketli Satış'!J:AK,28,0))</f>
        <v>#N/A</v>
      </c>
      <c r="K698" s="16"/>
      <c r="L698" s="98"/>
      <c r="M698" s="100" t="e">
        <f>IF(VLOOKUP(G698,'Bereketli Satış'!J:AK,30,0)="","",VLOOKUP(G698,'Bereketli Satış'!J:AK,30,0))</f>
        <v>#N/A</v>
      </c>
      <c r="N698" s="16"/>
      <c r="O698" s="16"/>
      <c r="P698" s="9" t="e">
        <f>IF(VLOOKUP(G698,'Bereketli Satış'!J:AK,32,0)="","",VLOOKUP(G698,'Bereketli Satış'!J:AK,32,0))</f>
        <v>#N/A</v>
      </c>
      <c r="Q698" s="16"/>
      <c r="R698" s="16"/>
    </row>
    <row r="699" spans="1:18">
      <c r="A699" s="16" t="s">
        <v>14</v>
      </c>
      <c r="B699" s="16" t="s">
        <v>15</v>
      </c>
      <c r="C699" s="16" t="s">
        <v>16</v>
      </c>
      <c r="D699" s="16">
        <v>298</v>
      </c>
      <c r="E699" s="16">
        <v>163</v>
      </c>
      <c r="F699" s="16">
        <v>15</v>
      </c>
      <c r="G699" s="1" t="str">
        <f t="shared" si="10"/>
        <v>REŞADİYE16315</v>
      </c>
      <c r="H699" s="16"/>
      <c r="I699" s="9" t="e">
        <f>IF(VLOOKUP(G699,'Bereketli Satış'!J:AK,5,0)="","",VLOOKUP(G699,'Bereketli Satış'!J:AK,5,0))</f>
        <v>#N/A</v>
      </c>
      <c r="J699" s="9" t="e">
        <f>IF(VLOOKUP(G699,'Bereketli Satış'!J:AK,28,0)="","",VLOOKUP(G699,'Bereketli Satış'!J:AK,28,0))</f>
        <v>#N/A</v>
      </c>
      <c r="K699" s="16"/>
      <c r="L699" s="98"/>
      <c r="M699" s="100" t="e">
        <f>IF(VLOOKUP(G699,'Bereketli Satış'!J:AK,30,0)="","",VLOOKUP(G699,'Bereketli Satış'!J:AK,30,0))</f>
        <v>#N/A</v>
      </c>
      <c r="N699" s="16"/>
      <c r="O699" s="16"/>
      <c r="P699" s="9" t="e">
        <f>IF(VLOOKUP(G699,'Bereketli Satış'!J:AK,32,0)="","",VLOOKUP(G699,'Bereketli Satış'!J:AK,32,0))</f>
        <v>#N/A</v>
      </c>
      <c r="Q699" s="16"/>
      <c r="R699" s="16"/>
    </row>
    <row r="700" spans="1:18">
      <c r="A700" s="16" t="s">
        <v>14</v>
      </c>
      <c r="B700" s="16" t="s">
        <v>15</v>
      </c>
      <c r="C700" s="16" t="s">
        <v>63</v>
      </c>
      <c r="D700" s="16">
        <v>294.54000000000002</v>
      </c>
      <c r="E700" s="16">
        <v>104</v>
      </c>
      <c r="F700" s="16">
        <v>7</v>
      </c>
      <c r="G700" s="1" t="str">
        <f t="shared" si="10"/>
        <v>ILICABOĞAZI1047</v>
      </c>
      <c r="H700" s="16"/>
      <c r="I700" s="9" t="e">
        <f>IF(VLOOKUP(G700,'Bereketli Satış'!J:AK,5,0)="","",VLOOKUP(G700,'Bereketli Satış'!J:AK,5,0))</f>
        <v>#N/A</v>
      </c>
      <c r="J700" s="9" t="e">
        <f>IF(VLOOKUP(G700,'Bereketli Satış'!J:AK,28,0)="","",VLOOKUP(G700,'Bereketli Satış'!J:AK,28,0))</f>
        <v>#N/A</v>
      </c>
      <c r="K700" s="16"/>
      <c r="L700" s="98"/>
      <c r="M700" s="100" t="e">
        <f>IF(VLOOKUP(G700,'Bereketli Satış'!J:AK,30,0)="","",VLOOKUP(G700,'Bereketli Satış'!J:AK,30,0))</f>
        <v>#N/A</v>
      </c>
      <c r="N700" s="16"/>
      <c r="O700" s="16"/>
      <c r="P700" s="9" t="e">
        <f>IF(VLOOKUP(G700,'Bereketli Satış'!J:AK,32,0)="","",VLOOKUP(G700,'Bereketli Satış'!J:AK,32,0))</f>
        <v>#N/A</v>
      </c>
      <c r="Q700" s="16"/>
      <c r="R700" s="16"/>
    </row>
    <row r="701" spans="1:18">
      <c r="A701" s="16" t="s">
        <v>14</v>
      </c>
      <c r="B701" s="16" t="s">
        <v>15</v>
      </c>
      <c r="C701" s="16" t="s">
        <v>63</v>
      </c>
      <c r="D701" s="16">
        <v>365.44</v>
      </c>
      <c r="E701" s="16">
        <v>104</v>
      </c>
      <c r="F701" s="16">
        <v>8</v>
      </c>
      <c r="G701" s="1" t="str">
        <f t="shared" si="10"/>
        <v>ILICABOĞAZI1048</v>
      </c>
      <c r="H701" s="16"/>
      <c r="I701" s="9" t="e">
        <f>IF(VLOOKUP(G701,'Bereketli Satış'!J:AK,5,0)="","",VLOOKUP(G701,'Bereketli Satış'!J:AK,5,0))</f>
        <v>#N/A</v>
      </c>
      <c r="J701" s="9" t="e">
        <f>IF(VLOOKUP(G701,'Bereketli Satış'!J:AK,28,0)="","",VLOOKUP(G701,'Bereketli Satış'!J:AK,28,0))</f>
        <v>#N/A</v>
      </c>
      <c r="K701" s="16"/>
      <c r="L701" s="98"/>
      <c r="M701" s="100" t="e">
        <f>IF(VLOOKUP(G701,'Bereketli Satış'!J:AK,30,0)="","",VLOOKUP(G701,'Bereketli Satış'!J:AK,30,0))</f>
        <v>#N/A</v>
      </c>
      <c r="N701" s="16"/>
      <c r="O701" s="16"/>
      <c r="P701" s="9" t="e">
        <f>IF(VLOOKUP(G701,'Bereketli Satış'!J:AK,32,0)="","",VLOOKUP(G701,'Bereketli Satış'!J:AK,32,0))</f>
        <v>#N/A</v>
      </c>
      <c r="Q701" s="16"/>
      <c r="R701" s="16"/>
    </row>
    <row r="702" spans="1:18">
      <c r="A702" s="16" t="s">
        <v>14</v>
      </c>
      <c r="B702" s="16" t="s">
        <v>15</v>
      </c>
      <c r="C702" s="16" t="s">
        <v>63</v>
      </c>
      <c r="D702" s="16">
        <v>289.69</v>
      </c>
      <c r="E702" s="16">
        <v>104</v>
      </c>
      <c r="F702" s="16">
        <v>9</v>
      </c>
      <c r="G702" s="1" t="str">
        <f t="shared" si="10"/>
        <v>ILICABOĞAZI1049</v>
      </c>
      <c r="H702" s="16"/>
      <c r="I702" s="9" t="e">
        <f>IF(VLOOKUP(G702,'Bereketli Satış'!J:AK,5,0)="","",VLOOKUP(G702,'Bereketli Satış'!J:AK,5,0))</f>
        <v>#N/A</v>
      </c>
      <c r="J702" s="9" t="e">
        <f>IF(VLOOKUP(G702,'Bereketli Satış'!J:AK,28,0)="","",VLOOKUP(G702,'Bereketli Satış'!J:AK,28,0))</f>
        <v>#N/A</v>
      </c>
      <c r="K702" s="16"/>
      <c r="L702" s="98"/>
      <c r="M702" s="100" t="e">
        <f>IF(VLOOKUP(G702,'Bereketli Satış'!J:AK,30,0)="","",VLOOKUP(G702,'Bereketli Satış'!J:AK,30,0))</f>
        <v>#N/A</v>
      </c>
      <c r="N702" s="16"/>
      <c r="O702" s="16"/>
      <c r="P702" s="9" t="e">
        <f>IF(VLOOKUP(G702,'Bereketli Satış'!J:AK,32,0)="","",VLOOKUP(G702,'Bereketli Satış'!J:AK,32,0))</f>
        <v>#N/A</v>
      </c>
      <c r="Q702" s="16"/>
      <c r="R702" s="16"/>
    </row>
    <row r="703" spans="1:18">
      <c r="A703" s="16" t="s">
        <v>14</v>
      </c>
      <c r="B703" s="16" t="s">
        <v>15</v>
      </c>
      <c r="C703" s="16" t="s">
        <v>63</v>
      </c>
      <c r="D703" s="16">
        <v>289.7</v>
      </c>
      <c r="E703" s="16">
        <v>104</v>
      </c>
      <c r="F703" s="16">
        <v>10</v>
      </c>
      <c r="G703" s="1" t="str">
        <f t="shared" si="10"/>
        <v>ILICABOĞAZI10410</v>
      </c>
      <c r="H703" s="16"/>
      <c r="I703" s="9" t="e">
        <f>IF(VLOOKUP(G703,'Bereketli Satış'!J:AK,5,0)="","",VLOOKUP(G703,'Bereketli Satış'!J:AK,5,0))</f>
        <v>#N/A</v>
      </c>
      <c r="J703" s="9" t="e">
        <f>IF(VLOOKUP(G703,'Bereketli Satış'!J:AK,28,0)="","",VLOOKUP(G703,'Bereketli Satış'!J:AK,28,0))</f>
        <v>#N/A</v>
      </c>
      <c r="K703" s="16"/>
      <c r="L703" s="98"/>
      <c r="M703" s="100" t="e">
        <f>IF(VLOOKUP(G703,'Bereketli Satış'!J:AK,30,0)="","",VLOOKUP(G703,'Bereketli Satış'!J:AK,30,0))</f>
        <v>#N/A</v>
      </c>
      <c r="N703" s="16"/>
      <c r="O703" s="16"/>
      <c r="P703" s="9" t="e">
        <f>IF(VLOOKUP(G703,'Bereketli Satış'!J:AK,32,0)="","",VLOOKUP(G703,'Bereketli Satış'!J:AK,32,0))</f>
        <v>#N/A</v>
      </c>
      <c r="Q703" s="16"/>
      <c r="R703" s="16"/>
    </row>
    <row r="704" spans="1:18">
      <c r="A704" s="16" t="s">
        <v>14</v>
      </c>
      <c r="B704" s="16" t="s">
        <v>15</v>
      </c>
      <c r="C704" s="16" t="s">
        <v>63</v>
      </c>
      <c r="D704" s="16">
        <v>556.9</v>
      </c>
      <c r="E704" s="16">
        <v>105</v>
      </c>
      <c r="F704" s="16">
        <v>23</v>
      </c>
      <c r="G704" s="1" t="str">
        <f t="shared" si="10"/>
        <v>ILICABOĞAZI10523</v>
      </c>
      <c r="H704" s="16"/>
      <c r="I704" s="9" t="e">
        <f>IF(VLOOKUP(G704,'Bereketli Satış'!J:AK,5,0)="","",VLOOKUP(G704,'Bereketli Satış'!J:AK,5,0))</f>
        <v>#N/A</v>
      </c>
      <c r="J704" s="9" t="e">
        <f>IF(VLOOKUP(G704,'Bereketli Satış'!J:AK,28,0)="","",VLOOKUP(G704,'Bereketli Satış'!J:AK,28,0))</f>
        <v>#N/A</v>
      </c>
      <c r="K704" s="16"/>
      <c r="L704" s="98"/>
      <c r="M704" s="100" t="e">
        <f>IF(VLOOKUP(G704,'Bereketli Satış'!J:AK,30,0)="","",VLOOKUP(G704,'Bereketli Satış'!J:AK,30,0))</f>
        <v>#N/A</v>
      </c>
      <c r="N704" s="16"/>
      <c r="O704" s="16"/>
      <c r="P704" s="9" t="e">
        <f>IF(VLOOKUP(G704,'Bereketli Satış'!J:AK,32,0)="","",VLOOKUP(G704,'Bereketli Satış'!J:AK,32,0))</f>
        <v>#N/A</v>
      </c>
      <c r="Q704" s="16"/>
      <c r="R704" s="16"/>
    </row>
    <row r="705" spans="1:18">
      <c r="A705" s="16" t="s">
        <v>14</v>
      </c>
      <c r="B705" s="16" t="s">
        <v>15</v>
      </c>
      <c r="C705" s="16" t="s">
        <v>63</v>
      </c>
      <c r="D705" s="16">
        <v>556.9</v>
      </c>
      <c r="E705" s="16">
        <v>105</v>
      </c>
      <c r="F705" s="16">
        <v>24</v>
      </c>
      <c r="G705" s="1" t="str">
        <f t="shared" si="10"/>
        <v>ILICABOĞAZI10524</v>
      </c>
      <c r="H705" s="16"/>
      <c r="I705" s="9" t="e">
        <f>IF(VLOOKUP(G705,'Bereketli Satış'!J:AK,5,0)="","",VLOOKUP(G705,'Bereketli Satış'!J:AK,5,0))</f>
        <v>#N/A</v>
      </c>
      <c r="J705" s="9" t="e">
        <f>IF(VLOOKUP(G705,'Bereketli Satış'!J:AK,28,0)="","",VLOOKUP(G705,'Bereketli Satış'!J:AK,28,0))</f>
        <v>#N/A</v>
      </c>
      <c r="K705" s="16"/>
      <c r="L705" s="98"/>
      <c r="M705" s="100" t="e">
        <f>IF(VLOOKUP(G705,'Bereketli Satış'!J:AK,30,0)="","",VLOOKUP(G705,'Bereketli Satış'!J:AK,30,0))</f>
        <v>#N/A</v>
      </c>
      <c r="N705" s="16"/>
      <c r="O705" s="16"/>
      <c r="P705" s="9" t="e">
        <f>IF(VLOOKUP(G705,'Bereketli Satış'!J:AK,32,0)="","",VLOOKUP(G705,'Bereketli Satış'!J:AK,32,0))</f>
        <v>#N/A</v>
      </c>
      <c r="Q705" s="16"/>
      <c r="R705" s="16"/>
    </row>
    <row r="706" spans="1:18">
      <c r="A706" s="16" t="s">
        <v>14</v>
      </c>
      <c r="B706" s="16" t="s">
        <v>15</v>
      </c>
      <c r="C706" s="16" t="s">
        <v>63</v>
      </c>
      <c r="D706" s="16">
        <v>556.9</v>
      </c>
      <c r="E706" s="16">
        <v>105</v>
      </c>
      <c r="F706" s="16">
        <v>25</v>
      </c>
      <c r="G706" s="1" t="str">
        <f t="shared" si="10"/>
        <v>ILICABOĞAZI10525</v>
      </c>
      <c r="H706" s="16"/>
      <c r="I706" s="9" t="e">
        <f>IF(VLOOKUP(G706,'Bereketli Satış'!J:AK,5,0)="","",VLOOKUP(G706,'Bereketli Satış'!J:AK,5,0))</f>
        <v>#N/A</v>
      </c>
      <c r="J706" s="9" t="e">
        <f>IF(VLOOKUP(G706,'Bereketli Satış'!J:AK,28,0)="","",VLOOKUP(G706,'Bereketli Satış'!J:AK,28,0))</f>
        <v>#N/A</v>
      </c>
      <c r="K706" s="16"/>
      <c r="L706" s="98"/>
      <c r="M706" s="100" t="e">
        <f>IF(VLOOKUP(G706,'Bereketli Satış'!J:AK,30,0)="","",VLOOKUP(G706,'Bereketli Satış'!J:AK,30,0))</f>
        <v>#N/A</v>
      </c>
      <c r="N706" s="16"/>
      <c r="O706" s="16"/>
      <c r="P706" s="9" t="e">
        <f>IF(VLOOKUP(G706,'Bereketli Satış'!J:AK,32,0)="","",VLOOKUP(G706,'Bereketli Satış'!J:AK,32,0))</f>
        <v>#N/A</v>
      </c>
      <c r="Q706" s="16"/>
      <c r="R706" s="16"/>
    </row>
    <row r="707" spans="1:18">
      <c r="A707" s="16" t="s">
        <v>14</v>
      </c>
      <c r="B707" s="16" t="s">
        <v>15</v>
      </c>
      <c r="C707" s="16" t="s">
        <v>63</v>
      </c>
      <c r="D707" s="16">
        <v>521.04</v>
      </c>
      <c r="E707" s="16">
        <v>105</v>
      </c>
      <c r="F707" s="16">
        <v>32</v>
      </c>
      <c r="G707" s="1" t="str">
        <f t="shared" ref="G707:G717" si="11">C707&amp;E707&amp;F707</f>
        <v>ILICABOĞAZI10532</v>
      </c>
      <c r="H707" s="16"/>
      <c r="I707" s="9" t="e">
        <f>IF(VLOOKUP(G707,'Bereketli Satış'!J:AK,5,0)="","",VLOOKUP(G707,'Bereketli Satış'!J:AK,5,0))</f>
        <v>#N/A</v>
      </c>
      <c r="J707" s="9" t="e">
        <f>IF(VLOOKUP(G707,'Bereketli Satış'!J:AK,28,0)="","",VLOOKUP(G707,'Bereketli Satış'!J:AK,28,0))</f>
        <v>#N/A</v>
      </c>
      <c r="K707" s="16"/>
      <c r="L707" s="98"/>
      <c r="M707" s="100" t="e">
        <f>IF(VLOOKUP(G707,'Bereketli Satış'!J:AK,30,0)="","",VLOOKUP(G707,'Bereketli Satış'!J:AK,30,0))</f>
        <v>#N/A</v>
      </c>
      <c r="N707" s="16"/>
      <c r="O707" s="16"/>
      <c r="P707" s="9" t="e">
        <f>IF(VLOOKUP(G707,'Bereketli Satış'!J:AK,32,0)="","",VLOOKUP(G707,'Bereketli Satış'!J:AK,32,0))</f>
        <v>#N/A</v>
      </c>
      <c r="Q707" s="16"/>
      <c r="R707" s="16"/>
    </row>
    <row r="708" spans="1:18">
      <c r="A708" s="16" t="s">
        <v>14</v>
      </c>
      <c r="B708" s="16" t="s">
        <v>15</v>
      </c>
      <c r="C708" s="16" t="s">
        <v>63</v>
      </c>
      <c r="D708" s="16">
        <v>317.75</v>
      </c>
      <c r="E708" s="16">
        <v>105</v>
      </c>
      <c r="F708" s="16">
        <v>33</v>
      </c>
      <c r="G708" s="1" t="str">
        <f t="shared" si="11"/>
        <v>ILICABOĞAZI10533</v>
      </c>
      <c r="H708" s="16"/>
      <c r="I708" s="9" t="e">
        <f>IF(VLOOKUP(G708,'Bereketli Satış'!J:AK,5,0)="","",VLOOKUP(G708,'Bereketli Satış'!J:AK,5,0))</f>
        <v>#N/A</v>
      </c>
      <c r="J708" s="9" t="e">
        <f>IF(VLOOKUP(G708,'Bereketli Satış'!J:AK,28,0)="","",VLOOKUP(G708,'Bereketli Satış'!J:AK,28,0))</f>
        <v>#N/A</v>
      </c>
      <c r="K708" s="16"/>
      <c r="L708" s="98"/>
      <c r="M708" s="100" t="e">
        <f>IF(VLOOKUP(G708,'Bereketli Satış'!J:AK,30,0)="","",VLOOKUP(G708,'Bereketli Satış'!J:AK,30,0))</f>
        <v>#N/A</v>
      </c>
      <c r="N708" s="16"/>
      <c r="O708" s="16"/>
      <c r="P708" s="9" t="e">
        <f>IF(VLOOKUP(G708,'Bereketli Satış'!J:AK,32,0)="","",VLOOKUP(G708,'Bereketli Satış'!J:AK,32,0))</f>
        <v>#N/A</v>
      </c>
      <c r="Q708" s="16"/>
      <c r="R708" s="16"/>
    </row>
    <row r="709" spans="1:18">
      <c r="A709" s="16" t="s">
        <v>14</v>
      </c>
      <c r="B709" s="16" t="s">
        <v>15</v>
      </c>
      <c r="C709" s="16" t="s">
        <v>63</v>
      </c>
      <c r="D709" s="16">
        <v>546.97</v>
      </c>
      <c r="E709" s="16">
        <v>105</v>
      </c>
      <c r="F709" s="16">
        <v>35</v>
      </c>
      <c r="G709" s="1" t="str">
        <f t="shared" si="11"/>
        <v>ILICABOĞAZI10535</v>
      </c>
      <c r="H709" s="16"/>
      <c r="I709" s="9" t="e">
        <f>IF(VLOOKUP(G709,'Bereketli Satış'!J:AK,5,0)="","",VLOOKUP(G709,'Bereketli Satış'!J:AK,5,0))</f>
        <v>#N/A</v>
      </c>
      <c r="J709" s="9" t="e">
        <f>IF(VLOOKUP(G709,'Bereketli Satış'!J:AK,28,0)="","",VLOOKUP(G709,'Bereketli Satış'!J:AK,28,0))</f>
        <v>#N/A</v>
      </c>
      <c r="K709" s="16"/>
      <c r="L709" s="98"/>
      <c r="M709" s="100" t="e">
        <f>IF(VLOOKUP(G709,'Bereketli Satış'!J:AK,30,0)="","",VLOOKUP(G709,'Bereketli Satış'!J:AK,30,0))</f>
        <v>#N/A</v>
      </c>
      <c r="N709" s="16"/>
      <c r="O709" s="16"/>
      <c r="P709" s="9" t="e">
        <f>IF(VLOOKUP(G709,'Bereketli Satış'!J:AK,32,0)="","",VLOOKUP(G709,'Bereketli Satış'!J:AK,32,0))</f>
        <v>#N/A</v>
      </c>
      <c r="Q709" s="16"/>
      <c r="R709" s="16"/>
    </row>
    <row r="710" spans="1:18">
      <c r="A710" s="16" t="s">
        <v>14</v>
      </c>
      <c r="B710" s="16" t="s">
        <v>15</v>
      </c>
      <c r="C710" s="16" t="s">
        <v>63</v>
      </c>
      <c r="D710" s="16">
        <v>546.97</v>
      </c>
      <c r="E710" s="16">
        <v>105</v>
      </c>
      <c r="F710" s="16">
        <v>36</v>
      </c>
      <c r="G710" s="1" t="str">
        <f t="shared" si="11"/>
        <v>ILICABOĞAZI10536</v>
      </c>
      <c r="H710" s="16"/>
      <c r="I710" s="9" t="e">
        <f>IF(VLOOKUP(G710,'Bereketli Satış'!J:AK,5,0)="","",VLOOKUP(G710,'Bereketli Satış'!J:AK,5,0))</f>
        <v>#N/A</v>
      </c>
      <c r="J710" s="9" t="e">
        <f>IF(VLOOKUP(G710,'Bereketli Satış'!J:AK,28,0)="","",VLOOKUP(G710,'Bereketli Satış'!J:AK,28,0))</f>
        <v>#N/A</v>
      </c>
      <c r="K710" s="16"/>
      <c r="L710" s="98"/>
      <c r="M710" s="100" t="e">
        <f>IF(VLOOKUP(G710,'Bereketli Satış'!J:AK,30,0)="","",VLOOKUP(G710,'Bereketli Satış'!J:AK,30,0))</f>
        <v>#N/A</v>
      </c>
      <c r="N710" s="16"/>
      <c r="O710" s="16"/>
      <c r="P710" s="9" t="e">
        <f>IF(VLOOKUP(G710,'Bereketli Satış'!J:AK,32,0)="","",VLOOKUP(G710,'Bereketli Satış'!J:AK,32,0))</f>
        <v>#N/A</v>
      </c>
      <c r="Q710" s="16"/>
      <c r="R710" s="16"/>
    </row>
    <row r="711" spans="1:18">
      <c r="A711" s="16" t="s">
        <v>14</v>
      </c>
      <c r="B711" s="16" t="s">
        <v>15</v>
      </c>
      <c r="C711" s="16" t="s">
        <v>63</v>
      </c>
      <c r="D711" s="16">
        <v>546.99</v>
      </c>
      <c r="E711" s="16">
        <v>105</v>
      </c>
      <c r="F711" s="16">
        <v>37</v>
      </c>
      <c r="G711" s="1" t="str">
        <f t="shared" si="11"/>
        <v>ILICABOĞAZI10537</v>
      </c>
      <c r="H711" s="16"/>
      <c r="I711" s="9" t="e">
        <f>IF(VLOOKUP(G711,'Bereketli Satış'!J:AK,5,0)="","",VLOOKUP(G711,'Bereketli Satış'!J:AK,5,0))</f>
        <v>#N/A</v>
      </c>
      <c r="J711" s="9" t="e">
        <f>IF(VLOOKUP(G711,'Bereketli Satış'!J:AK,28,0)="","",VLOOKUP(G711,'Bereketli Satış'!J:AK,28,0))</f>
        <v>#N/A</v>
      </c>
      <c r="K711" s="16"/>
      <c r="L711" s="98"/>
      <c r="M711" s="100" t="e">
        <f>IF(VLOOKUP(G711,'Bereketli Satış'!J:AK,30,0)="","",VLOOKUP(G711,'Bereketli Satış'!J:AK,30,0))</f>
        <v>#N/A</v>
      </c>
      <c r="N711" s="16"/>
      <c r="O711" s="16"/>
      <c r="P711" s="9" t="e">
        <f>IF(VLOOKUP(G711,'Bereketli Satış'!J:AK,32,0)="","",VLOOKUP(G711,'Bereketli Satış'!J:AK,32,0))</f>
        <v>#N/A</v>
      </c>
      <c r="Q711" s="16"/>
      <c r="R711" s="16"/>
    </row>
    <row r="712" spans="1:18">
      <c r="A712" s="16" t="s">
        <v>14</v>
      </c>
      <c r="B712" s="16" t="s">
        <v>15</v>
      </c>
      <c r="C712" s="16" t="s">
        <v>62</v>
      </c>
      <c r="D712" s="16">
        <v>7245</v>
      </c>
      <c r="E712" s="16">
        <v>0</v>
      </c>
      <c r="F712" s="16">
        <v>1874</v>
      </c>
      <c r="G712" s="1" t="str">
        <f t="shared" si="11"/>
        <v>ÜMİTELİ01874</v>
      </c>
      <c r="H712" s="16"/>
      <c r="I712" s="9" t="e">
        <f>IF(VLOOKUP(G712,'Bereketli Satış'!J:AK,5,0)="","",VLOOKUP(G712,'Bereketli Satış'!J:AK,5,0))</f>
        <v>#N/A</v>
      </c>
      <c r="J712" s="9" t="e">
        <f>IF(VLOOKUP(G712,'Bereketli Satış'!J:AK,28,0)="","",VLOOKUP(G712,'Bereketli Satış'!J:AK,28,0))</f>
        <v>#N/A</v>
      </c>
      <c r="K712" s="16"/>
      <c r="L712" s="98"/>
      <c r="M712" s="100" t="e">
        <f>IF(VLOOKUP(G712,'Bereketli Satış'!J:AK,30,0)="","",VLOOKUP(G712,'Bereketli Satış'!J:AK,30,0))</f>
        <v>#N/A</v>
      </c>
      <c r="N712" s="16"/>
      <c r="O712" s="16"/>
      <c r="P712" s="9" t="e">
        <f>IF(VLOOKUP(G712,'Bereketli Satış'!J:AK,32,0)="","",VLOOKUP(G712,'Bereketli Satış'!J:AK,32,0))</f>
        <v>#N/A</v>
      </c>
      <c r="Q712" s="16"/>
      <c r="R712" s="16"/>
    </row>
    <row r="713" spans="1:18">
      <c r="A713" s="16" t="s">
        <v>14</v>
      </c>
      <c r="B713" s="16" t="s">
        <v>33</v>
      </c>
      <c r="C713" s="16" t="s">
        <v>42</v>
      </c>
      <c r="D713" s="16">
        <v>460</v>
      </c>
      <c r="E713" s="16">
        <v>118</v>
      </c>
      <c r="F713" s="16">
        <v>20</v>
      </c>
      <c r="G713" s="1" t="str">
        <f t="shared" si="11"/>
        <v>İBİLLER11820</v>
      </c>
      <c r="H713" s="16"/>
      <c r="I713" s="9" t="e">
        <f>IF(VLOOKUP(G713,'Bereketli Satış'!J:AK,5,0)="","",VLOOKUP(G713,'Bereketli Satış'!J:AK,5,0))</f>
        <v>#N/A</v>
      </c>
      <c r="J713" s="9" t="e">
        <f>IF(VLOOKUP(G713,'Bereketli Satış'!J:AK,28,0)="","",VLOOKUP(G713,'Bereketli Satış'!J:AK,28,0))</f>
        <v>#N/A</v>
      </c>
      <c r="K713" s="16"/>
      <c r="L713" s="98"/>
      <c r="M713" s="100" t="e">
        <f>IF(VLOOKUP(G713,'Bereketli Satış'!J:AK,30,0)="","",VLOOKUP(G713,'Bereketli Satış'!J:AK,30,0))</f>
        <v>#N/A</v>
      </c>
      <c r="N713" s="16"/>
      <c r="O713" s="16"/>
      <c r="P713" s="9" t="e">
        <f>IF(VLOOKUP(G713,'Bereketli Satış'!J:AK,32,0)="","",VLOOKUP(G713,'Bereketli Satış'!J:AK,32,0))</f>
        <v>#N/A</v>
      </c>
      <c r="Q713" s="16"/>
      <c r="R713" s="16"/>
    </row>
    <row r="714" spans="1:18">
      <c r="A714" s="16" t="s">
        <v>14</v>
      </c>
      <c r="B714" s="16" t="s">
        <v>33</v>
      </c>
      <c r="C714" s="16" t="s">
        <v>42</v>
      </c>
      <c r="D714" s="16">
        <v>460</v>
      </c>
      <c r="E714" s="16">
        <v>118</v>
      </c>
      <c r="F714" s="16">
        <v>21</v>
      </c>
      <c r="G714" s="1" t="str">
        <f t="shared" si="11"/>
        <v>İBİLLER11821</v>
      </c>
      <c r="H714" s="16"/>
      <c r="I714" s="9" t="e">
        <f>IF(VLOOKUP(G714,'Bereketli Satış'!J:AK,5,0)="","",VLOOKUP(G714,'Bereketli Satış'!J:AK,5,0))</f>
        <v>#N/A</v>
      </c>
      <c r="J714" s="9" t="e">
        <f>IF(VLOOKUP(G714,'Bereketli Satış'!J:AK,28,0)="","",VLOOKUP(G714,'Bereketli Satış'!J:AK,28,0))</f>
        <v>#N/A</v>
      </c>
      <c r="K714" s="16"/>
      <c r="L714" s="98"/>
      <c r="M714" s="100" t="e">
        <f>IF(VLOOKUP(G714,'Bereketli Satış'!J:AK,30,0)="","",VLOOKUP(G714,'Bereketli Satış'!J:AK,30,0))</f>
        <v>#N/A</v>
      </c>
      <c r="N714" s="16"/>
      <c r="O714" s="16"/>
      <c r="P714" s="9" t="e">
        <f>IF(VLOOKUP(G714,'Bereketli Satış'!J:AK,32,0)="","",VLOOKUP(G714,'Bereketli Satış'!J:AK,32,0))</f>
        <v>#N/A</v>
      </c>
      <c r="Q714" s="16"/>
      <c r="R714" s="16"/>
    </row>
    <row r="715" spans="1:18">
      <c r="A715" s="16" t="s">
        <v>14</v>
      </c>
      <c r="B715" s="16" t="s">
        <v>33</v>
      </c>
      <c r="C715" s="16" t="s">
        <v>42</v>
      </c>
      <c r="D715" s="16">
        <v>460</v>
      </c>
      <c r="E715" s="16">
        <v>118</v>
      </c>
      <c r="F715" s="16">
        <v>22</v>
      </c>
      <c r="G715" s="1" t="str">
        <f t="shared" si="11"/>
        <v>İBİLLER11822</v>
      </c>
      <c r="H715" s="16"/>
      <c r="I715" s="9" t="e">
        <f>IF(VLOOKUP(G715,'Bereketli Satış'!J:AK,5,0)="","",VLOOKUP(G715,'Bereketli Satış'!J:AK,5,0))</f>
        <v>#N/A</v>
      </c>
      <c r="J715" s="9" t="e">
        <f>IF(VLOOKUP(G715,'Bereketli Satış'!J:AK,28,0)="","",VLOOKUP(G715,'Bereketli Satış'!J:AK,28,0))</f>
        <v>#N/A</v>
      </c>
      <c r="K715" s="16"/>
      <c r="L715" s="98"/>
      <c r="M715" s="100" t="e">
        <f>IF(VLOOKUP(G715,'Bereketli Satış'!J:AK,30,0)="","",VLOOKUP(G715,'Bereketli Satış'!J:AK,30,0))</f>
        <v>#N/A</v>
      </c>
      <c r="N715" s="16"/>
      <c r="O715" s="16"/>
      <c r="P715" s="9" t="e">
        <f>IF(VLOOKUP(G715,'Bereketli Satış'!J:AK,32,0)="","",VLOOKUP(G715,'Bereketli Satış'!J:AK,32,0))</f>
        <v>#N/A</v>
      </c>
      <c r="Q715" s="16"/>
      <c r="R715" s="16"/>
    </row>
    <row r="716" spans="1:18">
      <c r="A716" s="16" t="s">
        <v>14</v>
      </c>
      <c r="B716" s="16" t="s">
        <v>33</v>
      </c>
      <c r="C716" s="16" t="s">
        <v>42</v>
      </c>
      <c r="D716" s="16">
        <v>345</v>
      </c>
      <c r="E716" s="16">
        <v>118</v>
      </c>
      <c r="F716" s="16">
        <v>23</v>
      </c>
      <c r="G716" s="1" t="str">
        <f t="shared" si="11"/>
        <v>İBİLLER11823</v>
      </c>
      <c r="H716" s="16"/>
      <c r="I716" s="9" t="e">
        <f>IF(VLOOKUP(G716,'Bereketli Satış'!J:AK,5,0)="","",VLOOKUP(G716,'Bereketli Satış'!J:AK,5,0))</f>
        <v>#N/A</v>
      </c>
      <c r="J716" s="9" t="e">
        <f>IF(VLOOKUP(G716,'Bereketli Satış'!J:AK,28,0)="","",VLOOKUP(G716,'Bereketli Satış'!J:AK,28,0))</f>
        <v>#N/A</v>
      </c>
      <c r="K716" s="16"/>
      <c r="L716" s="98"/>
      <c r="M716" s="100" t="e">
        <f>IF(VLOOKUP(G716,'Bereketli Satış'!J:AK,30,0)="","",VLOOKUP(G716,'Bereketli Satış'!J:AK,30,0))</f>
        <v>#N/A</v>
      </c>
      <c r="N716" s="16"/>
      <c r="O716" s="16"/>
      <c r="P716" s="9" t="e">
        <f>IF(VLOOKUP(G716,'Bereketli Satış'!J:AK,32,0)="","",VLOOKUP(G716,'Bereketli Satış'!J:AK,32,0))</f>
        <v>#N/A</v>
      </c>
      <c r="Q716" s="16"/>
      <c r="R716" s="16"/>
    </row>
    <row r="717" spans="1:18">
      <c r="A717" s="16" t="s">
        <v>14</v>
      </c>
      <c r="B717" s="16" t="s">
        <v>33</v>
      </c>
      <c r="C717" s="16" t="s">
        <v>42</v>
      </c>
      <c r="D717" s="16">
        <v>345</v>
      </c>
      <c r="E717" s="16">
        <v>118</v>
      </c>
      <c r="F717" s="16">
        <v>24</v>
      </c>
      <c r="G717" s="1" t="str">
        <f t="shared" si="11"/>
        <v>İBİLLER11824</v>
      </c>
      <c r="H717" s="16"/>
      <c r="I717" s="9" t="e">
        <f>IF(VLOOKUP(G717,'Bereketli Satış'!J:AK,5,0)="","",VLOOKUP(G717,'Bereketli Satış'!J:AK,5,0))</f>
        <v>#N/A</v>
      </c>
      <c r="J717" s="9" t="e">
        <f>IF(VLOOKUP(G717,'Bereketli Satış'!J:AK,28,0)="","",VLOOKUP(G717,'Bereketli Satış'!J:AK,28,0))</f>
        <v>#N/A</v>
      </c>
      <c r="K717" s="16"/>
      <c r="L717" s="98"/>
      <c r="M717" s="100" t="e">
        <f>IF(VLOOKUP(G717,'Bereketli Satış'!J:AK,30,0)="","",VLOOKUP(G717,'Bereketli Satış'!J:AK,30,0))</f>
        <v>#N/A</v>
      </c>
      <c r="N717" s="16"/>
      <c r="O717" s="16"/>
      <c r="P717" s="9" t="e">
        <f>IF(VLOOKUP(G717,'Bereketli Satış'!J:AK,32,0)="","",VLOOKUP(G717,'Bereketli Satış'!J:AK,32,0))</f>
        <v>#N/A</v>
      </c>
      <c r="Q717" s="16"/>
      <c r="R717" s="16"/>
    </row>
    <row r="718" spans="1: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98"/>
      <c r="M718" s="16"/>
      <c r="N718" s="16"/>
      <c r="O718" s="98"/>
      <c r="P718" s="16"/>
      <c r="Q718" s="16"/>
      <c r="R718" s="16"/>
    </row>
    <row r="719" spans="1:1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98"/>
      <c r="M719" s="16"/>
      <c r="N719" s="16"/>
      <c r="O719" s="98"/>
      <c r="P719" s="16"/>
      <c r="Q719" s="16"/>
      <c r="R719" s="16"/>
    </row>
    <row r="720" spans="1:1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98"/>
      <c r="M720" s="16"/>
      <c r="N720" s="16"/>
      <c r="O720" s="98"/>
      <c r="P720" s="16"/>
      <c r="Q720" s="16"/>
      <c r="R720" s="16"/>
    </row>
    <row r="721" spans="1:1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98"/>
      <c r="M721" s="16"/>
      <c r="N721" s="16"/>
      <c r="O721" s="98"/>
      <c r="P721" s="16"/>
      <c r="Q721" s="16"/>
      <c r="R721" s="16"/>
    </row>
    <row r="722" spans="1:1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98"/>
      <c r="M722" s="16"/>
      <c r="N722" s="16"/>
      <c r="O722" s="98"/>
      <c r="P722" s="16"/>
      <c r="Q722" s="16"/>
      <c r="R722" s="16"/>
    </row>
    <row r="723" spans="1:1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98"/>
      <c r="M723" s="16"/>
      <c r="N723" s="16"/>
      <c r="O723" s="98"/>
      <c r="P723" s="16"/>
      <c r="Q723" s="16"/>
      <c r="R723" s="16"/>
    </row>
    <row r="724" spans="1:1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98"/>
      <c r="M724" s="16"/>
      <c r="N724" s="16"/>
      <c r="O724" s="98"/>
      <c r="P724" s="16"/>
      <c r="Q724" s="16"/>
      <c r="R724" s="16"/>
    </row>
    <row r="725" spans="1:1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98"/>
      <c r="M725" s="16"/>
      <c r="N725" s="16"/>
      <c r="O725" s="98"/>
      <c r="P725" s="16"/>
      <c r="Q725" s="16"/>
      <c r="R725" s="16"/>
    </row>
    <row r="726" spans="1:1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98"/>
      <c r="M726" s="16"/>
      <c r="N726" s="16"/>
      <c r="O726" s="98"/>
      <c r="P726" s="16"/>
      <c r="Q726" s="16"/>
      <c r="R726" s="16"/>
    </row>
    <row r="727" spans="1:1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98"/>
      <c r="M727" s="16"/>
      <c r="N727" s="16"/>
      <c r="O727" s="98"/>
      <c r="P727" s="16"/>
      <c r="Q727" s="16"/>
      <c r="R727" s="16"/>
    </row>
    <row r="728" spans="1:1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98"/>
      <c r="M728" s="16"/>
      <c r="N728" s="16"/>
      <c r="O728" s="98"/>
      <c r="P728" s="16"/>
      <c r="Q728" s="16"/>
      <c r="R728" s="16"/>
    </row>
    <row r="729" spans="1:1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98"/>
      <c r="M729" s="16"/>
      <c r="N729" s="16"/>
      <c r="O729" s="98"/>
      <c r="P729" s="16"/>
      <c r="Q729" s="16"/>
      <c r="R729" s="16"/>
    </row>
    <row r="730" spans="1:1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98"/>
      <c r="M730" s="16"/>
      <c r="N730" s="16"/>
      <c r="O730" s="98"/>
      <c r="P730" s="16"/>
      <c r="Q730" s="16"/>
      <c r="R730" s="16"/>
    </row>
    <row r="731" spans="1:1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98"/>
      <c r="M731" s="16"/>
      <c r="N731" s="16"/>
      <c r="O731" s="98"/>
      <c r="P731" s="16"/>
      <c r="Q731" s="16"/>
      <c r="R731" s="16"/>
    </row>
    <row r="732" spans="1:1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98"/>
      <c r="M732" s="16"/>
      <c r="N732" s="16"/>
      <c r="O732" s="98"/>
      <c r="P732" s="16"/>
      <c r="Q732" s="16"/>
      <c r="R732" s="16"/>
    </row>
    <row r="733" spans="1:1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98"/>
      <c r="M733" s="16"/>
      <c r="N733" s="16"/>
      <c r="O733" s="98"/>
      <c r="P733" s="16"/>
      <c r="Q733" s="16"/>
      <c r="R733" s="16"/>
    </row>
    <row r="734" spans="1:1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98"/>
      <c r="M734" s="16"/>
      <c r="N734" s="16"/>
      <c r="O734" s="98"/>
      <c r="P734" s="16"/>
      <c r="Q734" s="16"/>
      <c r="R734" s="16"/>
    </row>
    <row r="735" spans="1:1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98"/>
      <c r="M735" s="16"/>
      <c r="N735" s="16"/>
      <c r="O735" s="98"/>
      <c r="P735" s="16"/>
      <c r="Q735" s="16"/>
      <c r="R735" s="16"/>
    </row>
    <row r="736" spans="1:1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98"/>
      <c r="M736" s="16"/>
      <c r="N736" s="16"/>
      <c r="O736" s="98"/>
      <c r="P736" s="16"/>
      <c r="Q736" s="16"/>
      <c r="R736" s="16"/>
    </row>
    <row r="737" spans="1:1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98"/>
      <c r="M737" s="16"/>
      <c r="N737" s="16"/>
      <c r="O737" s="98"/>
      <c r="P737" s="16"/>
      <c r="Q737" s="16"/>
      <c r="R737" s="16"/>
    </row>
    <row r="738" spans="1:1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98"/>
      <c r="M738" s="16"/>
      <c r="N738" s="16"/>
      <c r="O738" s="98"/>
      <c r="P738" s="16"/>
      <c r="Q738" s="16"/>
      <c r="R738" s="16"/>
    </row>
    <row r="739" spans="1:1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98"/>
      <c r="M739" s="16"/>
      <c r="N739" s="16"/>
      <c r="O739" s="98"/>
      <c r="P739" s="16"/>
      <c r="Q739" s="16"/>
      <c r="R739" s="16"/>
    </row>
    <row r="740" spans="1:1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98"/>
      <c r="M740" s="16"/>
      <c r="N740" s="16"/>
      <c r="O740" s="98"/>
      <c r="P740" s="16"/>
      <c r="Q740" s="16"/>
      <c r="R740" s="16"/>
    </row>
    <row r="741" spans="1:1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98"/>
      <c r="M741" s="16"/>
      <c r="N741" s="16"/>
      <c r="O741" s="98"/>
      <c r="P741" s="16"/>
      <c r="Q741" s="16"/>
      <c r="R741" s="16"/>
    </row>
    <row r="742" spans="1:1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98"/>
      <c r="M742" s="16"/>
      <c r="N742" s="16"/>
      <c r="O742" s="98"/>
      <c r="P742" s="16"/>
      <c r="Q742" s="16"/>
      <c r="R742" s="16"/>
    </row>
    <row r="743" spans="1:1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98"/>
      <c r="M743" s="16"/>
      <c r="N743" s="16"/>
      <c r="O743" s="98"/>
      <c r="P743" s="16"/>
      <c r="Q743" s="16"/>
      <c r="R743" s="16"/>
    </row>
    <row r="744" spans="1:1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98"/>
      <c r="M744" s="16"/>
      <c r="N744" s="16"/>
      <c r="O744" s="98"/>
      <c r="P744" s="16"/>
      <c r="Q744" s="16"/>
      <c r="R744" s="16"/>
    </row>
    <row r="745" spans="1:1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98"/>
      <c r="M745" s="16"/>
      <c r="N745" s="16"/>
      <c r="O745" s="98"/>
      <c r="P745" s="16"/>
      <c r="Q745" s="16"/>
      <c r="R745" s="16"/>
    </row>
    <row r="746" spans="1:1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98"/>
      <c r="M746" s="16"/>
      <c r="N746" s="16"/>
      <c r="O746" s="98"/>
      <c r="P746" s="16"/>
      <c r="Q746" s="16"/>
      <c r="R746" s="16"/>
    </row>
    <row r="747" spans="1:1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98"/>
      <c r="M747" s="16"/>
      <c r="N747" s="16"/>
      <c r="O747" s="98"/>
      <c r="P747" s="16"/>
      <c r="Q747" s="16"/>
      <c r="R747" s="16"/>
    </row>
    <row r="748" spans="1:1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98"/>
      <c r="M748" s="16"/>
      <c r="N748" s="16"/>
      <c r="O748" s="98"/>
      <c r="P748" s="16"/>
      <c r="Q748" s="16"/>
      <c r="R748" s="16"/>
    </row>
    <row r="749" spans="1:1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98"/>
      <c r="M749" s="16"/>
      <c r="N749" s="16"/>
      <c r="O749" s="98"/>
      <c r="P749" s="16"/>
      <c r="Q749" s="16"/>
      <c r="R749" s="16"/>
    </row>
    <row r="750" spans="1:1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98"/>
      <c r="M750" s="16"/>
      <c r="N750" s="16"/>
      <c r="O750" s="98"/>
      <c r="P750" s="16"/>
      <c r="Q750" s="16"/>
      <c r="R750" s="16"/>
    </row>
    <row r="751" spans="1:1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98"/>
      <c r="M751" s="16"/>
      <c r="N751" s="16"/>
      <c r="O751" s="98"/>
      <c r="P751" s="16"/>
      <c r="Q751" s="16"/>
      <c r="R751" s="16"/>
    </row>
    <row r="752" spans="1:1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98"/>
      <c r="M752" s="16"/>
      <c r="N752" s="16"/>
      <c r="O752" s="98"/>
      <c r="P752" s="16"/>
      <c r="Q752" s="16"/>
      <c r="R752" s="16"/>
    </row>
    <row r="753" spans="4:5">
      <c r="D753" s="12"/>
      <c r="E753" s="12"/>
    </row>
    <row r="754" spans="4:5">
      <c r="D754" s="12"/>
      <c r="E754" s="12"/>
    </row>
    <row r="755" spans="4:5">
      <c r="D755" s="12"/>
      <c r="E755" s="12"/>
    </row>
    <row r="756" spans="4:5">
      <c r="D756" s="12"/>
      <c r="E756" s="12"/>
    </row>
    <row r="757" spans="4:5">
      <c r="D757" s="12"/>
      <c r="E757" s="12"/>
    </row>
    <row r="758" spans="4:5">
      <c r="D758" s="12"/>
      <c r="E758" s="12"/>
    </row>
    <row r="759" spans="4:5">
      <c r="D759" s="12"/>
      <c r="E759" s="12"/>
    </row>
    <row r="760" spans="4:5">
      <c r="D760" s="12"/>
      <c r="E760" s="12"/>
    </row>
    <row r="761" spans="4:5">
      <c r="D761" s="12"/>
      <c r="E761" s="12"/>
    </row>
    <row r="762" spans="4:5">
      <c r="D762" s="12"/>
      <c r="E762" s="12"/>
    </row>
    <row r="763" spans="4:5">
      <c r="D763" s="12"/>
      <c r="E763" s="12"/>
    </row>
    <row r="764" spans="4:5">
      <c r="D764" s="12"/>
      <c r="E764" s="12"/>
    </row>
    <row r="765" spans="4:5">
      <c r="D765" s="12"/>
      <c r="E765" s="12"/>
    </row>
    <row r="766" spans="4:5">
      <c r="D766" s="12"/>
      <c r="E766" s="12"/>
    </row>
    <row r="767" spans="4:5">
      <c r="D767" s="12"/>
      <c r="E767" s="12"/>
    </row>
    <row r="768" spans="4:5">
      <c r="D768" s="12"/>
      <c r="E768" s="12"/>
    </row>
    <row r="769" spans="4:5">
      <c r="D769" s="12"/>
      <c r="E769" s="12"/>
    </row>
    <row r="770" spans="4:5">
      <c r="D770" s="12"/>
      <c r="E770" s="12"/>
    </row>
    <row r="771" spans="4:5">
      <c r="D771" s="12"/>
      <c r="E771" s="12"/>
    </row>
    <row r="772" spans="4:5">
      <c r="D772" s="12"/>
      <c r="E772" s="12"/>
    </row>
    <row r="773" spans="4:5">
      <c r="D773" s="12"/>
      <c r="E773" s="12"/>
    </row>
    <row r="774" spans="4:5">
      <c r="D774" s="12"/>
      <c r="E774" s="12"/>
    </row>
    <row r="775" spans="4:5">
      <c r="D775" s="12"/>
      <c r="E775" s="12"/>
    </row>
    <row r="776" spans="4:5">
      <c r="D776" s="12"/>
      <c r="E776" s="12"/>
    </row>
    <row r="777" spans="4:5">
      <c r="D777" s="12"/>
      <c r="E777" s="12"/>
    </row>
    <row r="778" spans="4:5">
      <c r="D778" s="12"/>
      <c r="E778" s="12"/>
    </row>
    <row r="779" spans="4:5">
      <c r="D779" s="12"/>
      <c r="E779" s="12"/>
    </row>
    <row r="780" spans="4:5">
      <c r="D780" s="12"/>
      <c r="E780" s="12"/>
    </row>
    <row r="781" spans="4:5">
      <c r="D781" s="12"/>
      <c r="E781" s="12"/>
    </row>
    <row r="782" spans="4:5">
      <c r="D782" s="12"/>
      <c r="E782" s="12"/>
    </row>
    <row r="783" spans="4:5">
      <c r="D783" s="12"/>
      <c r="E783" s="12"/>
    </row>
    <row r="784" spans="4:5">
      <c r="D784" s="12"/>
      <c r="E784" s="12"/>
    </row>
    <row r="785" spans="4:5">
      <c r="D785" s="12"/>
      <c r="E785" s="12"/>
    </row>
    <row r="786" spans="4:5">
      <c r="D786" s="12"/>
      <c r="E786" s="12"/>
    </row>
    <row r="787" spans="4:5">
      <c r="D787" s="12"/>
      <c r="E787" s="12"/>
    </row>
    <row r="788" spans="4:5">
      <c r="D788" s="12"/>
      <c r="E788" s="12"/>
    </row>
    <row r="789" spans="4:5">
      <c r="D789" s="12"/>
      <c r="E789" s="12"/>
    </row>
    <row r="790" spans="4:5">
      <c r="D790" s="12"/>
      <c r="E790" s="12"/>
    </row>
    <row r="791" spans="4:5">
      <c r="D791" s="12"/>
      <c r="E791" s="12"/>
    </row>
    <row r="792" spans="4:5">
      <c r="D792" s="12"/>
      <c r="E792" s="12"/>
    </row>
    <row r="793" spans="4:5">
      <c r="D793" s="12"/>
      <c r="E793" s="12"/>
    </row>
    <row r="794" spans="4:5">
      <c r="D794" s="12"/>
      <c r="E794" s="12"/>
    </row>
    <row r="795" spans="4:5">
      <c r="D795" s="12"/>
      <c r="E795" s="12"/>
    </row>
    <row r="796" spans="4:5">
      <c r="D796" s="12"/>
      <c r="E796" s="12"/>
    </row>
    <row r="797" spans="4:5">
      <c r="D797" s="12"/>
      <c r="E797" s="12"/>
    </row>
    <row r="798" spans="4:5">
      <c r="D798" s="12"/>
      <c r="E798" s="12"/>
    </row>
    <row r="799" spans="4:5">
      <c r="D799" s="12"/>
      <c r="E799" s="12"/>
    </row>
    <row r="800" spans="4:5">
      <c r="D800" s="12"/>
      <c r="E800" s="12"/>
    </row>
    <row r="801" spans="4:5">
      <c r="D801" s="12"/>
      <c r="E801" s="12"/>
    </row>
    <row r="802" spans="4:5">
      <c r="D802" s="12"/>
      <c r="E802" s="12"/>
    </row>
    <row r="803" spans="4:5">
      <c r="D803" s="12"/>
      <c r="E803" s="12"/>
    </row>
    <row r="804" spans="4:5">
      <c r="D804" s="12"/>
      <c r="E804" s="12"/>
    </row>
    <row r="805" spans="4:5">
      <c r="D805" s="12"/>
      <c r="E805" s="12"/>
    </row>
    <row r="806" spans="4:5">
      <c r="D806" s="12"/>
      <c r="E806" s="12"/>
    </row>
    <row r="807" spans="4:5">
      <c r="D807" s="12"/>
      <c r="E807" s="12"/>
    </row>
    <row r="808" spans="4:5">
      <c r="D808" s="12"/>
      <c r="E808" s="12"/>
    </row>
    <row r="809" spans="4:5">
      <c r="D809" s="12"/>
      <c r="E809" s="12"/>
    </row>
    <row r="810" spans="4:5">
      <c r="D810" s="12"/>
      <c r="E810" s="12"/>
    </row>
    <row r="811" spans="4:5">
      <c r="D811" s="12"/>
      <c r="E811" s="12"/>
    </row>
    <row r="812" spans="4:5">
      <c r="D812" s="12"/>
      <c r="E812" s="12"/>
    </row>
    <row r="813" spans="4:5">
      <c r="D813" s="12"/>
      <c r="E813" s="12"/>
    </row>
    <row r="814" spans="4:5">
      <c r="D814" s="12"/>
      <c r="E814" s="12"/>
    </row>
    <row r="815" spans="4:5">
      <c r="D815" s="12"/>
      <c r="E815" s="12"/>
    </row>
    <row r="816" spans="4:5">
      <c r="D816" s="12"/>
      <c r="E816" s="12"/>
    </row>
    <row r="817" spans="4:5">
      <c r="D817" s="12"/>
      <c r="E817" s="12"/>
    </row>
    <row r="818" spans="4:5">
      <c r="D818" s="12"/>
      <c r="E818" s="12"/>
    </row>
    <row r="819" spans="4:5">
      <c r="D819" s="12"/>
      <c r="E819" s="12"/>
    </row>
    <row r="820" spans="4:5">
      <c r="D820" s="12"/>
      <c r="E820" s="12"/>
    </row>
    <row r="821" spans="4:5">
      <c r="D821" s="12"/>
      <c r="E821" s="12"/>
    </row>
    <row r="822" spans="4:5">
      <c r="D822" s="12"/>
      <c r="E822" s="12"/>
    </row>
    <row r="823" spans="4:5">
      <c r="D823" s="12"/>
      <c r="E823" s="12"/>
    </row>
    <row r="824" spans="4:5">
      <c r="D824" s="12"/>
      <c r="E824" s="12"/>
    </row>
    <row r="825" spans="4:5">
      <c r="D825" s="12"/>
      <c r="E825" s="12"/>
    </row>
    <row r="826" spans="4:5">
      <c r="D826" s="12"/>
      <c r="E826" s="12"/>
    </row>
    <row r="827" spans="4:5">
      <c r="D827" s="12"/>
      <c r="E827" s="12"/>
    </row>
    <row r="828" spans="4:5">
      <c r="D828" s="12"/>
      <c r="E828" s="12"/>
    </row>
    <row r="829" spans="4:5">
      <c r="D829" s="12"/>
      <c r="E829" s="12"/>
    </row>
    <row r="830" spans="4:5">
      <c r="D830" s="12"/>
      <c r="E830" s="12"/>
    </row>
    <row r="831" spans="4:5">
      <c r="D831" s="12"/>
      <c r="E831" s="12"/>
    </row>
    <row r="832" spans="4:5">
      <c r="D832" s="12"/>
      <c r="E832" s="12"/>
    </row>
    <row r="833" spans="4:5">
      <c r="D833" s="12"/>
      <c r="E833" s="12"/>
    </row>
    <row r="834" spans="4:5">
      <c r="D834" s="12"/>
      <c r="E834" s="12"/>
    </row>
    <row r="835" spans="4:5">
      <c r="D835" s="12"/>
      <c r="E835" s="12"/>
    </row>
    <row r="836" spans="4:5">
      <c r="D836" s="12"/>
      <c r="E836" s="12"/>
    </row>
    <row r="837" spans="4:5">
      <c r="D837" s="12"/>
      <c r="E837" s="12"/>
    </row>
    <row r="838" spans="4:5">
      <c r="D838" s="12"/>
      <c r="E838" s="12"/>
    </row>
    <row r="839" spans="4:5">
      <c r="D839" s="12"/>
      <c r="E839" s="12"/>
    </row>
    <row r="840" spans="4:5">
      <c r="D840" s="12"/>
      <c r="E840" s="12"/>
    </row>
    <row r="841" spans="4:5">
      <c r="D841" s="12"/>
      <c r="E841" s="12"/>
    </row>
    <row r="842" spans="4:5">
      <c r="D842" s="12"/>
      <c r="E842" s="12"/>
    </row>
    <row r="843" spans="4:5">
      <c r="D843" s="12"/>
      <c r="E843" s="12"/>
    </row>
    <row r="844" spans="4:5">
      <c r="D844" s="12"/>
      <c r="E844" s="12"/>
    </row>
    <row r="845" spans="4:5">
      <c r="D845" s="12"/>
      <c r="E845" s="12"/>
    </row>
    <row r="846" spans="4:5">
      <c r="D846" s="12"/>
      <c r="E846" s="12"/>
    </row>
    <row r="847" spans="4:5">
      <c r="D847" s="12"/>
      <c r="E847" s="12"/>
    </row>
    <row r="848" spans="4:5">
      <c r="D848" s="12"/>
      <c r="E848" s="12"/>
    </row>
    <row r="849" spans="4:5">
      <c r="D849" s="12"/>
      <c r="E849" s="12"/>
    </row>
    <row r="850" spans="4:5">
      <c r="D850" s="12"/>
      <c r="E850" s="12"/>
    </row>
    <row r="851" spans="4:5">
      <c r="D851" s="12"/>
      <c r="E851" s="12"/>
    </row>
    <row r="852" spans="4:5">
      <c r="D852" s="12"/>
      <c r="E852" s="12"/>
    </row>
    <row r="853" spans="4:5">
      <c r="D853" s="12"/>
      <c r="E853" s="12"/>
    </row>
    <row r="854" spans="4:5">
      <c r="D854" s="12"/>
      <c r="E854" s="12"/>
    </row>
    <row r="855" spans="4:5">
      <c r="D855" s="12"/>
      <c r="E855" s="12"/>
    </row>
    <row r="856" spans="4:5">
      <c r="D856" s="12"/>
      <c r="E856" s="12"/>
    </row>
    <row r="857" spans="4:5">
      <c r="D857" s="12"/>
      <c r="E857" s="12"/>
    </row>
    <row r="858" spans="4:5">
      <c r="D858" s="12"/>
      <c r="E858" s="12"/>
    </row>
    <row r="859" spans="4:5">
      <c r="D859" s="12"/>
      <c r="E859" s="12"/>
    </row>
    <row r="860" spans="4:5">
      <c r="D860" s="12"/>
      <c r="E860" s="12"/>
    </row>
    <row r="861" spans="4:5">
      <c r="D861" s="12"/>
      <c r="E861" s="12"/>
    </row>
    <row r="862" spans="4:5">
      <c r="D862" s="12"/>
      <c r="E862" s="12"/>
    </row>
    <row r="863" spans="4:5">
      <c r="D863" s="12"/>
      <c r="E863" s="12"/>
    </row>
    <row r="864" spans="4:5">
      <c r="D864" s="12"/>
      <c r="E864" s="12"/>
    </row>
    <row r="865" spans="4:5">
      <c r="D865" s="12"/>
      <c r="E865" s="12"/>
    </row>
    <row r="866" spans="4:5">
      <c r="D866" s="12"/>
      <c r="E866" s="12"/>
    </row>
    <row r="867" spans="4:5">
      <c r="D867" s="12"/>
      <c r="E867" s="12"/>
    </row>
    <row r="868" spans="4:5">
      <c r="D868" s="12"/>
      <c r="E868" s="12"/>
    </row>
    <row r="869" spans="4:5">
      <c r="D869" s="12"/>
      <c r="E869" s="12"/>
    </row>
    <row r="870" spans="4:5">
      <c r="D870" s="12"/>
      <c r="E870" s="12"/>
    </row>
    <row r="871" spans="4:5">
      <c r="D871" s="12"/>
      <c r="E871" s="12"/>
    </row>
    <row r="872" spans="4:5">
      <c r="D872" s="12"/>
      <c r="E872" s="12"/>
    </row>
    <row r="873" spans="4:5">
      <c r="D873" s="12"/>
      <c r="E873" s="12"/>
    </row>
    <row r="874" spans="4:5">
      <c r="D874" s="12"/>
      <c r="E874" s="12"/>
    </row>
    <row r="875" spans="4:5">
      <c r="D875" s="12"/>
      <c r="E875" s="12"/>
    </row>
    <row r="876" spans="4:5">
      <c r="D876" s="12"/>
      <c r="E876" s="12"/>
    </row>
    <row r="877" spans="4:5">
      <c r="D877" s="12"/>
      <c r="E877" s="12"/>
    </row>
    <row r="878" spans="4:5">
      <c r="D878" s="12"/>
      <c r="E878" s="12"/>
    </row>
    <row r="879" spans="4:5">
      <c r="D879" s="12"/>
      <c r="E879" s="12"/>
    </row>
    <row r="880" spans="4:5">
      <c r="D880" s="12"/>
      <c r="E880" s="12"/>
    </row>
    <row r="881" spans="4:5">
      <c r="D881" s="12"/>
      <c r="E881" s="12"/>
    </row>
    <row r="882" spans="4:5">
      <c r="D882" s="12"/>
      <c r="E882" s="12"/>
    </row>
    <row r="883" spans="4:5">
      <c r="D883" s="12"/>
      <c r="E883" s="12"/>
    </row>
    <row r="884" spans="4:5">
      <c r="D884" s="12"/>
      <c r="E884" s="12"/>
    </row>
    <row r="885" spans="4:5">
      <c r="D885" s="12"/>
      <c r="E885" s="12"/>
    </row>
    <row r="886" spans="4:5">
      <c r="D886" s="12"/>
      <c r="E886" s="12"/>
    </row>
    <row r="887" spans="4:5">
      <c r="D887" s="12"/>
      <c r="E887" s="12"/>
    </row>
    <row r="888" spans="4:5">
      <c r="D888" s="12"/>
      <c r="E888" s="12"/>
    </row>
    <row r="889" spans="4:5">
      <c r="D889" s="12"/>
      <c r="E889" s="12"/>
    </row>
    <row r="890" spans="4:5">
      <c r="D890" s="12"/>
      <c r="E890" s="12"/>
    </row>
    <row r="891" spans="4:5">
      <c r="D891" s="12"/>
      <c r="E891" s="12"/>
    </row>
    <row r="892" spans="4:5">
      <c r="D892" s="12"/>
      <c r="E892" s="12"/>
    </row>
    <row r="893" spans="4:5">
      <c r="D893" s="12"/>
      <c r="E893" s="12"/>
    </row>
    <row r="894" spans="4:5">
      <c r="D894" s="12"/>
      <c r="E894" s="12"/>
    </row>
    <row r="895" spans="4:5">
      <c r="D895" s="12"/>
      <c r="E895" s="12"/>
    </row>
    <row r="896" spans="4:5">
      <c r="D896" s="12"/>
      <c r="E896" s="12"/>
    </row>
    <row r="897" spans="4:5">
      <c r="D897" s="12"/>
      <c r="E897" s="12"/>
    </row>
    <row r="898" spans="4:5">
      <c r="D898" s="12"/>
      <c r="E898" s="12"/>
    </row>
    <row r="899" spans="4:5">
      <c r="D899" s="12"/>
      <c r="E899" s="12"/>
    </row>
    <row r="900" spans="4:5">
      <c r="D900" s="12"/>
      <c r="E900" s="12"/>
    </row>
    <row r="901" spans="4:5">
      <c r="D901" s="12"/>
      <c r="E901" s="12"/>
    </row>
    <row r="902" spans="4:5">
      <c r="D902" s="12"/>
      <c r="E902" s="12"/>
    </row>
    <row r="903" spans="4:5">
      <c r="D903" s="12"/>
      <c r="E903" s="12"/>
    </row>
    <row r="904" spans="4:5">
      <c r="D904" s="12"/>
      <c r="E904" s="12"/>
    </row>
    <row r="905" spans="4:5">
      <c r="D905" s="12"/>
      <c r="E905" s="12"/>
    </row>
    <row r="906" spans="4:5">
      <c r="D906" s="12"/>
      <c r="E906" s="12"/>
    </row>
    <row r="907" spans="4:5">
      <c r="D907" s="12"/>
      <c r="E907" s="12"/>
    </row>
    <row r="908" spans="4:5">
      <c r="D908" s="12"/>
      <c r="E908" s="12"/>
    </row>
    <row r="909" spans="4:5">
      <c r="D909" s="12"/>
      <c r="E909" s="12"/>
    </row>
    <row r="910" spans="4:5">
      <c r="D910" s="12"/>
      <c r="E910" s="12"/>
    </row>
    <row r="911" spans="4:5">
      <c r="D911" s="12"/>
      <c r="E911" s="12"/>
    </row>
    <row r="912" spans="4:5">
      <c r="D912" s="12"/>
      <c r="E912" s="12"/>
    </row>
    <row r="913" spans="4:5">
      <c r="D913" s="12"/>
      <c r="E913" s="12"/>
    </row>
    <row r="914" spans="4:5">
      <c r="D914" s="12"/>
      <c r="E914" s="12"/>
    </row>
    <row r="915" spans="4:5">
      <c r="D915" s="12"/>
      <c r="E915" s="12"/>
    </row>
    <row r="916" spans="4:5">
      <c r="D916" s="12"/>
      <c r="E916" s="12"/>
    </row>
    <row r="917" spans="4:5">
      <c r="D917" s="12"/>
      <c r="E917" s="12"/>
    </row>
    <row r="918" spans="4:5">
      <c r="D918" s="12"/>
      <c r="E918" s="12"/>
    </row>
    <row r="919" spans="4:5">
      <c r="D919" s="12"/>
      <c r="E919" s="12"/>
    </row>
    <row r="920" spans="4:5">
      <c r="D920" s="12"/>
      <c r="E920" s="12"/>
    </row>
    <row r="921" spans="4:5">
      <c r="D921" s="12"/>
      <c r="E921" s="12"/>
    </row>
    <row r="922" spans="4:5">
      <c r="D922" s="12"/>
      <c r="E922" s="12"/>
    </row>
    <row r="923" spans="4:5">
      <c r="D923" s="12"/>
      <c r="E923" s="12"/>
    </row>
    <row r="924" spans="4:5">
      <c r="D924" s="12"/>
      <c r="E924" s="12"/>
    </row>
    <row r="925" spans="4:5">
      <c r="D925" s="12"/>
      <c r="E925" s="12"/>
    </row>
    <row r="926" spans="4:5">
      <c r="D926" s="12"/>
      <c r="E926" s="12"/>
    </row>
    <row r="927" spans="4:5">
      <c r="D927" s="12"/>
      <c r="E927" s="12"/>
    </row>
    <row r="928" spans="4:5">
      <c r="D928" s="12"/>
      <c r="E928" s="12"/>
    </row>
    <row r="929" spans="4:5">
      <c r="D929" s="12"/>
      <c r="E929" s="12"/>
    </row>
    <row r="930" spans="4:5">
      <c r="D930" s="12"/>
      <c r="E930" s="12"/>
    </row>
    <row r="931" spans="4:5">
      <c r="D931" s="12"/>
      <c r="E931" s="12"/>
    </row>
    <row r="932" spans="4:5">
      <c r="D932" s="12"/>
      <c r="E932" s="12"/>
    </row>
    <row r="933" spans="4:5">
      <c r="D933" s="12"/>
      <c r="E933" s="12"/>
    </row>
    <row r="934" spans="4:5">
      <c r="D934" s="12"/>
      <c r="E934" s="12"/>
    </row>
    <row r="935" spans="4:5">
      <c r="D935" s="12"/>
      <c r="E935" s="12"/>
    </row>
    <row r="936" spans="4:5">
      <c r="D936" s="12"/>
      <c r="E936" s="12"/>
    </row>
    <row r="937" spans="4:5">
      <c r="D937" s="12"/>
      <c r="E937" s="12"/>
    </row>
    <row r="938" spans="4:5">
      <c r="D938" s="12"/>
      <c r="E938" s="12"/>
    </row>
    <row r="939" spans="4:5">
      <c r="D939" s="12"/>
      <c r="E939" s="12"/>
    </row>
    <row r="940" spans="4:5">
      <c r="D940" s="12"/>
      <c r="E940" s="12"/>
    </row>
    <row r="941" spans="4:5">
      <c r="D941" s="12"/>
      <c r="E941" s="12"/>
    </row>
    <row r="942" spans="4:5">
      <c r="D942" s="12"/>
      <c r="E942" s="12"/>
    </row>
    <row r="943" spans="4:5">
      <c r="D943" s="12"/>
      <c r="E943" s="12"/>
    </row>
    <row r="944" spans="4:5">
      <c r="D944" s="12"/>
      <c r="E944" s="12"/>
    </row>
    <row r="945" spans="4:5">
      <c r="D945" s="12"/>
      <c r="E945" s="12"/>
    </row>
    <row r="946" spans="4:5">
      <c r="D946" s="12"/>
      <c r="E946" s="12"/>
    </row>
    <row r="947" spans="4:5">
      <c r="D947" s="12"/>
      <c r="E947" s="12"/>
    </row>
    <row r="948" spans="4:5">
      <c r="D948" s="12"/>
      <c r="E948" s="12"/>
    </row>
    <row r="949" spans="4:5">
      <c r="D949" s="12"/>
      <c r="E949" s="12"/>
    </row>
    <row r="950" spans="4:5">
      <c r="D950" s="12"/>
      <c r="E950" s="12"/>
    </row>
    <row r="951" spans="4:5">
      <c r="D951" s="12"/>
      <c r="E951" s="12"/>
    </row>
    <row r="952" spans="4:5">
      <c r="D952" s="12"/>
      <c r="E952" s="12"/>
    </row>
    <row r="953" spans="4:5">
      <c r="D953" s="12"/>
      <c r="E953" s="12"/>
    </row>
    <row r="954" spans="4:5">
      <c r="D954" s="12"/>
      <c r="E954" s="12"/>
    </row>
    <row r="955" spans="4:5">
      <c r="D955" s="12"/>
      <c r="E955" s="12"/>
    </row>
    <row r="956" spans="4:5">
      <c r="D956" s="12"/>
      <c r="E956" s="12"/>
    </row>
    <row r="957" spans="4:5">
      <c r="D957" s="12"/>
      <c r="E957" s="12"/>
    </row>
    <row r="958" spans="4:5">
      <c r="D958" s="12"/>
      <c r="E958" s="12"/>
    </row>
    <row r="959" spans="4:5">
      <c r="D959" s="12"/>
      <c r="E959" s="12"/>
    </row>
    <row r="960" spans="4:5">
      <c r="D960" s="12"/>
      <c r="E960" s="12"/>
    </row>
    <row r="961" spans="4:5">
      <c r="D961" s="12"/>
      <c r="E961" s="12"/>
    </row>
    <row r="962" spans="4:5">
      <c r="D962" s="12"/>
      <c r="E962" s="12"/>
    </row>
    <row r="963" spans="4:5">
      <c r="D963" s="12"/>
      <c r="E963" s="12"/>
    </row>
    <row r="964" spans="4:5">
      <c r="D964" s="12"/>
      <c r="E964" s="12"/>
    </row>
    <row r="965" spans="4:5">
      <c r="D965" s="12"/>
      <c r="E965" s="12"/>
    </row>
    <row r="966" spans="4:5">
      <c r="D966" s="12"/>
      <c r="E966" s="12"/>
    </row>
    <row r="967" spans="4:5">
      <c r="D967" s="12"/>
      <c r="E967" s="12"/>
    </row>
    <row r="968" spans="4:5">
      <c r="D968" s="12"/>
      <c r="E968" s="12"/>
    </row>
    <row r="969" spans="4:5">
      <c r="D969" s="12"/>
      <c r="E969" s="12"/>
    </row>
    <row r="970" spans="4:5">
      <c r="D970" s="12"/>
      <c r="E970" s="12"/>
    </row>
    <row r="971" spans="4:5">
      <c r="D971" s="12"/>
      <c r="E971" s="12"/>
    </row>
    <row r="972" spans="4:5">
      <c r="D972" s="12"/>
      <c r="E972" s="12"/>
    </row>
    <row r="973" spans="4:5">
      <c r="D973" s="12"/>
      <c r="E973" s="12"/>
    </row>
    <row r="974" spans="4:5">
      <c r="D974" s="12"/>
      <c r="E974" s="12"/>
    </row>
    <row r="975" spans="4:5">
      <c r="D975" s="12"/>
      <c r="E975" s="12"/>
    </row>
    <row r="976" spans="4:5">
      <c r="D976" s="12"/>
      <c r="E976" s="12"/>
    </row>
    <row r="977" spans="4:5">
      <c r="D977" s="12"/>
      <c r="E977" s="12"/>
    </row>
    <row r="978" spans="4:5">
      <c r="D978" s="12"/>
      <c r="E978" s="12"/>
    </row>
    <row r="979" spans="4:5">
      <c r="D979" s="12"/>
      <c r="E979" s="12"/>
    </row>
    <row r="980" spans="4:5">
      <c r="D980" s="12"/>
      <c r="E980" s="12"/>
    </row>
    <row r="981" spans="4:5">
      <c r="D981" s="12"/>
      <c r="E981" s="12"/>
    </row>
    <row r="982" spans="4:5">
      <c r="D982" s="12"/>
      <c r="E982" s="12"/>
    </row>
    <row r="983" spans="4:5">
      <c r="D983" s="12"/>
      <c r="E983" s="12"/>
    </row>
    <row r="984" spans="4:5">
      <c r="D984" s="12"/>
      <c r="E984" s="12"/>
    </row>
    <row r="985" spans="4:5">
      <c r="D985" s="12"/>
      <c r="E985" s="12"/>
    </row>
    <row r="986" spans="4:5">
      <c r="D986" s="12"/>
      <c r="E986" s="12"/>
    </row>
    <row r="987" spans="4:5">
      <c r="D987" s="12"/>
      <c r="E987" s="12"/>
    </row>
    <row r="988" spans="4:5">
      <c r="D988" s="12"/>
      <c r="E988" s="12"/>
    </row>
    <row r="989" spans="4:5">
      <c r="D989" s="12"/>
      <c r="E989" s="12"/>
    </row>
    <row r="990" spans="4:5">
      <c r="D990" s="12"/>
      <c r="E990" s="12"/>
    </row>
    <row r="991" spans="4:5">
      <c r="D991" s="12"/>
      <c r="E991" s="12"/>
    </row>
    <row r="992" spans="4:5">
      <c r="D992" s="12"/>
      <c r="E992" s="12"/>
    </row>
    <row r="993" spans="4:5">
      <c r="D993" s="12"/>
      <c r="E993" s="12"/>
    </row>
    <row r="994" spans="4:5">
      <c r="D994" s="12"/>
      <c r="E994" s="12"/>
    </row>
    <row r="995" spans="4:5">
      <c r="D995" s="12"/>
      <c r="E995" s="12"/>
    </row>
    <row r="996" spans="4:5">
      <c r="D996" s="12"/>
      <c r="E996" s="12"/>
    </row>
    <row r="997" spans="4:5">
      <c r="D997" s="12"/>
      <c r="E997" s="12"/>
    </row>
    <row r="998" spans="4:5">
      <c r="D998" s="12"/>
      <c r="E998" s="12"/>
    </row>
    <row r="999" spans="4:5">
      <c r="D999" s="12"/>
      <c r="E999" s="12"/>
    </row>
    <row r="1000" spans="4:5">
      <c r="D1000" s="12"/>
      <c r="E1000" s="12"/>
    </row>
    <row r="1001" spans="4:5">
      <c r="D1001" s="12"/>
      <c r="E1001" s="12"/>
    </row>
    <row r="1002" spans="4:5">
      <c r="D1002" s="12"/>
      <c r="E1002" s="12"/>
    </row>
    <row r="1003" spans="4:5">
      <c r="D1003" s="12"/>
      <c r="E1003" s="12"/>
    </row>
    <row r="1004" spans="4:5">
      <c r="D1004" s="12"/>
      <c r="E1004" s="12"/>
    </row>
    <row r="1005" spans="4:5">
      <c r="D1005" s="12"/>
      <c r="E1005" s="12"/>
    </row>
    <row r="1006" spans="4:5">
      <c r="D1006" s="12"/>
      <c r="E1006" s="12"/>
    </row>
    <row r="1007" spans="4:5">
      <c r="D1007" s="12"/>
      <c r="E1007" s="12"/>
    </row>
    <row r="1008" spans="4:5">
      <c r="D1008" s="12"/>
      <c r="E1008" s="12"/>
    </row>
    <row r="1009" spans="4:5">
      <c r="D1009" s="12"/>
      <c r="E1009" s="12"/>
    </row>
    <row r="1010" spans="4:5">
      <c r="D1010" s="12"/>
      <c r="E1010" s="12"/>
    </row>
    <row r="1011" spans="4:5">
      <c r="D1011" s="12"/>
      <c r="E1011" s="12"/>
    </row>
    <row r="1012" spans="4:5">
      <c r="D1012" s="12"/>
      <c r="E1012" s="12"/>
    </row>
    <row r="1013" spans="4:5">
      <c r="D1013" s="12"/>
      <c r="E1013" s="12"/>
    </row>
    <row r="1014" spans="4:5">
      <c r="D1014" s="12"/>
      <c r="E1014" s="12"/>
    </row>
    <row r="1015" spans="4:5">
      <c r="D1015" s="12"/>
      <c r="E1015" s="12"/>
    </row>
    <row r="1016" spans="4:5">
      <c r="D1016" s="12"/>
      <c r="E1016" s="12"/>
    </row>
    <row r="1017" spans="4:5">
      <c r="D1017" s="12"/>
      <c r="E1017" s="12"/>
    </row>
    <row r="1018" spans="4:5">
      <c r="D1018" s="12"/>
      <c r="E1018" s="12"/>
    </row>
    <row r="1019" spans="4:5">
      <c r="D1019" s="12"/>
      <c r="E1019" s="12"/>
    </row>
    <row r="1020" spans="4:5">
      <c r="D1020" s="12"/>
      <c r="E1020" s="12"/>
    </row>
    <row r="1021" spans="4:5">
      <c r="D1021" s="12"/>
      <c r="E1021" s="12"/>
    </row>
    <row r="1022" spans="4:5">
      <c r="D1022" s="12"/>
      <c r="E1022" s="12"/>
    </row>
    <row r="1023" spans="4:5">
      <c r="D1023" s="12"/>
      <c r="E1023" s="12"/>
    </row>
    <row r="1024" spans="4:5">
      <c r="D1024" s="12"/>
      <c r="E1024" s="12"/>
    </row>
    <row r="1025" spans="4:5">
      <c r="D1025" s="12"/>
      <c r="E1025" s="12"/>
    </row>
    <row r="1026" spans="4:5">
      <c r="D1026" s="12"/>
      <c r="E1026" s="12"/>
    </row>
    <row r="1027" spans="4:5">
      <c r="D1027" s="12"/>
      <c r="E1027" s="12"/>
    </row>
    <row r="1028" spans="4:5">
      <c r="D1028" s="12"/>
      <c r="E1028" s="12"/>
    </row>
    <row r="1029" spans="4:5">
      <c r="D1029" s="12"/>
      <c r="E1029" s="12"/>
    </row>
    <row r="1030" spans="4:5">
      <c r="D1030" s="12"/>
      <c r="E1030" s="12"/>
    </row>
    <row r="1031" spans="4:5">
      <c r="D1031" s="12"/>
      <c r="E1031" s="12"/>
    </row>
    <row r="1032" spans="4:5">
      <c r="D1032" s="12"/>
      <c r="E1032" s="12"/>
    </row>
    <row r="1033" spans="4:5">
      <c r="D1033" s="12"/>
      <c r="E1033" s="12"/>
    </row>
    <row r="1034" spans="4:5">
      <c r="D1034" s="12"/>
      <c r="E1034" s="12"/>
    </row>
    <row r="1035" spans="4:5">
      <c r="D1035" s="12"/>
      <c r="E1035" s="12"/>
    </row>
    <row r="1036" spans="4:5">
      <c r="D1036" s="12"/>
      <c r="E1036" s="12"/>
    </row>
    <row r="1037" spans="4:5">
      <c r="D1037" s="12"/>
      <c r="E1037" s="12"/>
    </row>
    <row r="1038" spans="4:5">
      <c r="D1038" s="12"/>
      <c r="E1038" s="12"/>
    </row>
    <row r="1039" spans="4:5">
      <c r="D1039" s="12"/>
      <c r="E1039" s="12"/>
    </row>
    <row r="1040" spans="4:5">
      <c r="D1040" s="12"/>
      <c r="E1040" s="12"/>
    </row>
    <row r="1041" spans="4:5">
      <c r="D1041" s="12"/>
      <c r="E1041" s="12"/>
    </row>
    <row r="1042" spans="4:5">
      <c r="D1042" s="12"/>
      <c r="E1042" s="12"/>
    </row>
    <row r="1043" spans="4:5">
      <c r="D1043" s="12"/>
      <c r="E1043" s="12"/>
    </row>
    <row r="1044" spans="4:5">
      <c r="D1044" s="12"/>
      <c r="E1044" s="12"/>
    </row>
    <row r="1045" spans="4:5">
      <c r="D1045" s="12"/>
      <c r="E1045" s="12"/>
    </row>
    <row r="1046" spans="4:5">
      <c r="D1046" s="12"/>
      <c r="E1046" s="12"/>
    </row>
    <row r="1047" spans="4:5">
      <c r="D1047" s="12"/>
      <c r="E1047" s="12"/>
    </row>
    <row r="1048" spans="4:5">
      <c r="D1048" s="12"/>
      <c r="E1048" s="12"/>
    </row>
    <row r="1049" spans="4:5">
      <c r="D1049" s="12"/>
      <c r="E1049" s="12"/>
    </row>
    <row r="1050" spans="4:5">
      <c r="D1050" s="12"/>
      <c r="E1050" s="12"/>
    </row>
    <row r="1051" spans="4:5">
      <c r="D1051" s="12"/>
      <c r="E1051" s="12"/>
    </row>
    <row r="1052" spans="4:5">
      <c r="D1052" s="12"/>
      <c r="E1052" s="12"/>
    </row>
    <row r="1053" spans="4:5">
      <c r="D1053" s="12"/>
      <c r="E1053" s="12"/>
    </row>
    <row r="1054" spans="4:5">
      <c r="D1054" s="12"/>
      <c r="E1054" s="12"/>
    </row>
    <row r="1055" spans="4:5">
      <c r="D1055" s="12"/>
      <c r="E1055" s="12"/>
    </row>
    <row r="1056" spans="4:5">
      <c r="D1056" s="12"/>
      <c r="E1056" s="12"/>
    </row>
    <row r="1057" spans="4:5">
      <c r="D1057" s="12"/>
      <c r="E1057" s="12"/>
    </row>
    <row r="1058" spans="4:5">
      <c r="D1058" s="12"/>
      <c r="E1058" s="12"/>
    </row>
    <row r="1059" spans="4:5">
      <c r="D1059" s="12"/>
      <c r="E1059" s="12"/>
    </row>
    <row r="1060" spans="4:5">
      <c r="D1060" s="12"/>
      <c r="E1060" s="12"/>
    </row>
    <row r="1061" spans="4:5">
      <c r="D1061" s="12"/>
      <c r="E1061" s="12"/>
    </row>
    <row r="1062" spans="4:5">
      <c r="D1062" s="12"/>
      <c r="E1062" s="12"/>
    </row>
    <row r="1063" spans="4:5">
      <c r="D1063" s="12"/>
      <c r="E1063" s="12"/>
    </row>
    <row r="1064" spans="4:5">
      <c r="D1064" s="12"/>
      <c r="E1064" s="12"/>
    </row>
    <row r="1065" spans="4:5">
      <c r="D1065" s="12"/>
      <c r="E1065" s="12"/>
    </row>
    <row r="1066" spans="4:5">
      <c r="D1066" s="12"/>
      <c r="E1066" s="12"/>
    </row>
    <row r="1067" spans="4:5">
      <c r="D1067" s="12"/>
      <c r="E1067" s="12"/>
    </row>
    <row r="1068" spans="4:5">
      <c r="D1068" s="12"/>
      <c r="E1068" s="12"/>
    </row>
    <row r="1069" spans="4:5">
      <c r="D1069" s="12"/>
      <c r="E1069" s="12"/>
    </row>
    <row r="1070" spans="4:5">
      <c r="D1070" s="12"/>
      <c r="E1070" s="12"/>
    </row>
    <row r="1071" spans="4:5">
      <c r="D1071" s="12"/>
      <c r="E1071" s="12"/>
    </row>
    <row r="1072" spans="4:5">
      <c r="D1072" s="12"/>
      <c r="E1072" s="12"/>
    </row>
    <row r="1073" spans="4:5">
      <c r="D1073" s="12"/>
      <c r="E1073" s="12"/>
    </row>
    <row r="1074" spans="4:5">
      <c r="D1074" s="12"/>
      <c r="E1074" s="12"/>
    </row>
    <row r="1075" spans="4:5">
      <c r="D1075" s="12"/>
      <c r="E1075" s="12"/>
    </row>
    <row r="1076" spans="4:5">
      <c r="D1076" s="12"/>
      <c r="E1076" s="12"/>
    </row>
    <row r="1077" spans="4:5">
      <c r="D1077" s="12"/>
      <c r="E1077" s="12"/>
    </row>
    <row r="1078" spans="4:5">
      <c r="D1078" s="12"/>
      <c r="E1078" s="12"/>
    </row>
    <row r="1079" spans="4:5">
      <c r="D1079" s="12"/>
      <c r="E1079" s="12"/>
    </row>
    <row r="1080" spans="4:5">
      <c r="D1080" s="12"/>
      <c r="E1080" s="12"/>
    </row>
    <row r="1081" spans="4:5">
      <c r="D1081" s="12"/>
      <c r="E1081" s="12"/>
    </row>
    <row r="1082" spans="4:5">
      <c r="D1082" s="12"/>
      <c r="E1082" s="12"/>
    </row>
    <row r="1083" spans="4:5">
      <c r="D1083" s="12"/>
      <c r="E1083" s="12"/>
    </row>
    <row r="1084" spans="4:5">
      <c r="D1084" s="12"/>
      <c r="E1084" s="12"/>
    </row>
    <row r="1085" spans="4:5">
      <c r="D1085" s="12"/>
      <c r="E1085" s="12"/>
    </row>
    <row r="1086" spans="4:5">
      <c r="D1086" s="12"/>
      <c r="E1086" s="12"/>
    </row>
    <row r="1087" spans="4:5">
      <c r="D1087" s="12"/>
      <c r="E1087" s="12"/>
    </row>
    <row r="1088" spans="4:5">
      <c r="D1088" s="12"/>
      <c r="E1088" s="12"/>
    </row>
    <row r="1089" spans="4:5">
      <c r="D1089" s="12"/>
      <c r="E1089" s="12"/>
    </row>
    <row r="1090" spans="4:5">
      <c r="D1090" s="12"/>
      <c r="E1090" s="12"/>
    </row>
    <row r="1091" spans="4:5">
      <c r="D1091" s="12"/>
      <c r="E1091" s="12"/>
    </row>
    <row r="1092" spans="4:5">
      <c r="D1092" s="12"/>
      <c r="E1092" s="12"/>
    </row>
    <row r="1093" spans="4:5">
      <c r="D1093" s="12"/>
      <c r="E1093" s="12"/>
    </row>
    <row r="1094" spans="4:5">
      <c r="D1094" s="12"/>
      <c r="E1094" s="12"/>
    </row>
    <row r="1095" spans="4:5">
      <c r="D1095" s="12"/>
      <c r="E1095" s="12"/>
    </row>
    <row r="1096" spans="4:5">
      <c r="D1096" s="12"/>
      <c r="E1096" s="12"/>
    </row>
    <row r="1097" spans="4:5">
      <c r="D1097" s="12"/>
      <c r="E1097" s="12"/>
    </row>
    <row r="1098" spans="4:5">
      <c r="D1098" s="12"/>
      <c r="E1098" s="12"/>
    </row>
    <row r="1099" spans="4:5">
      <c r="D1099" s="12"/>
      <c r="E1099" s="12"/>
    </row>
    <row r="1100" spans="4:5">
      <c r="D1100" s="12"/>
      <c r="E1100" s="12"/>
    </row>
    <row r="1101" spans="4:5">
      <c r="D1101" s="12"/>
      <c r="E1101" s="12"/>
    </row>
    <row r="1102" spans="4:5">
      <c r="D1102" s="12"/>
      <c r="E1102" s="12"/>
    </row>
    <row r="1103" spans="4:5">
      <c r="D1103" s="12"/>
      <c r="E1103" s="12"/>
    </row>
    <row r="1104" spans="4:5">
      <c r="D1104" s="12"/>
      <c r="E1104" s="12"/>
    </row>
    <row r="1105" spans="4:5">
      <c r="D1105" s="12"/>
      <c r="E1105" s="12"/>
    </row>
    <row r="1106" spans="4:5">
      <c r="D1106" s="12"/>
      <c r="E1106" s="12"/>
    </row>
    <row r="1107" spans="4:5">
      <c r="D1107" s="12"/>
      <c r="E1107" s="12"/>
    </row>
    <row r="1108" spans="4:5">
      <c r="D1108" s="12"/>
      <c r="E1108" s="12"/>
    </row>
    <row r="1109" spans="4:5">
      <c r="D1109" s="12"/>
      <c r="E1109" s="12"/>
    </row>
    <row r="1110" spans="4:5">
      <c r="D1110" s="12"/>
      <c r="E1110" s="12"/>
    </row>
    <row r="1111" spans="4:5">
      <c r="D1111" s="12"/>
      <c r="E1111" s="12"/>
    </row>
    <row r="1112" spans="4:5">
      <c r="D1112" s="12"/>
      <c r="E1112" s="12"/>
    </row>
    <row r="1113" spans="4:5">
      <c r="D1113" s="12"/>
      <c r="E1113" s="12"/>
    </row>
    <row r="1114" spans="4:5">
      <c r="D1114" s="12"/>
      <c r="E1114" s="12"/>
    </row>
    <row r="1115" spans="4:5">
      <c r="D1115" s="12"/>
      <c r="E1115" s="12"/>
    </row>
    <row r="1116" spans="4:5">
      <c r="D1116" s="12"/>
      <c r="E1116" s="12"/>
    </row>
    <row r="1117" spans="4:5">
      <c r="D1117" s="12"/>
      <c r="E1117" s="12"/>
    </row>
    <row r="1118" spans="4:5">
      <c r="D1118" s="12"/>
      <c r="E1118" s="12"/>
    </row>
    <row r="1119" spans="4:5">
      <c r="D1119" s="12"/>
      <c r="E1119" s="12"/>
    </row>
    <row r="1120" spans="4:5">
      <c r="D1120" s="12"/>
      <c r="E1120" s="12"/>
    </row>
    <row r="1121" spans="4:5">
      <c r="D1121" s="12"/>
      <c r="E1121" s="12"/>
    </row>
    <row r="1122" spans="4:5">
      <c r="D1122" s="12"/>
      <c r="E1122" s="12"/>
    </row>
    <row r="1123" spans="4:5">
      <c r="D1123" s="12"/>
      <c r="E1123" s="12"/>
    </row>
    <row r="1124" spans="4:5">
      <c r="D1124" s="12"/>
      <c r="E1124" s="12"/>
    </row>
    <row r="1125" spans="4:5">
      <c r="D1125" s="12"/>
      <c r="E1125" s="12"/>
    </row>
    <row r="1126" spans="4:5">
      <c r="D1126" s="12"/>
      <c r="E1126" s="12"/>
    </row>
    <row r="1127" spans="4:5">
      <c r="D1127" s="12"/>
      <c r="E1127" s="12"/>
    </row>
    <row r="1128" spans="4:5">
      <c r="D1128" s="12"/>
      <c r="E1128" s="12"/>
    </row>
    <row r="1129" spans="4:5">
      <c r="D1129" s="12"/>
      <c r="E1129" s="12"/>
    </row>
    <row r="1130" spans="4:5">
      <c r="D1130" s="12"/>
      <c r="E1130" s="12"/>
    </row>
    <row r="1131" spans="4:5">
      <c r="D1131" s="12"/>
      <c r="E1131" s="12"/>
    </row>
    <row r="1132" spans="4:5">
      <c r="D1132" s="12"/>
      <c r="E1132" s="12"/>
    </row>
    <row r="1133" spans="4:5">
      <c r="D1133" s="12"/>
      <c r="E1133" s="12"/>
    </row>
    <row r="1134" spans="4:5">
      <c r="D1134" s="12"/>
      <c r="E1134" s="12"/>
    </row>
    <row r="1135" spans="4:5">
      <c r="D1135" s="12"/>
      <c r="E1135" s="12"/>
    </row>
    <row r="1136" spans="4:5">
      <c r="D1136" s="12"/>
      <c r="E1136" s="12"/>
    </row>
    <row r="1137" spans="4:5">
      <c r="D1137" s="12"/>
      <c r="E1137" s="12"/>
    </row>
    <row r="1138" spans="4:5">
      <c r="D1138" s="12"/>
      <c r="E1138" s="12"/>
    </row>
    <row r="1139" spans="4:5">
      <c r="D1139" s="12"/>
      <c r="E1139" s="12"/>
    </row>
    <row r="1140" spans="4:5">
      <c r="D1140" s="12"/>
      <c r="E1140" s="12"/>
    </row>
    <row r="1141" spans="4:5">
      <c r="D1141" s="12"/>
      <c r="E1141" s="12"/>
    </row>
    <row r="1142" spans="4:5">
      <c r="D1142" s="12"/>
      <c r="E1142" s="12"/>
    </row>
    <row r="1143" spans="4:5">
      <c r="D1143" s="12"/>
      <c r="E1143" s="12"/>
    </row>
    <row r="1144" spans="4:5">
      <c r="D1144" s="12"/>
      <c r="E1144" s="12"/>
    </row>
    <row r="1145" spans="4:5">
      <c r="D1145" s="12"/>
      <c r="E1145" s="12"/>
    </row>
    <row r="1146" spans="4:5">
      <c r="D1146" s="12"/>
      <c r="E1146" s="12"/>
    </row>
    <row r="1147" spans="4:5">
      <c r="D1147" s="12"/>
      <c r="E1147" s="12"/>
    </row>
    <row r="1148" spans="4:5">
      <c r="D1148" s="12"/>
      <c r="E1148" s="12"/>
    </row>
    <row r="1149" spans="4:5">
      <c r="D1149" s="12"/>
      <c r="E1149" s="12"/>
    </row>
    <row r="1150" spans="4:5">
      <c r="D1150" s="12"/>
      <c r="E1150" s="12"/>
    </row>
    <row r="1151" spans="4:5">
      <c r="D1151" s="12"/>
      <c r="E1151" s="12"/>
    </row>
    <row r="1152" spans="4:5">
      <c r="D1152" s="12"/>
      <c r="E1152" s="12"/>
    </row>
    <row r="1153" spans="4:5">
      <c r="D1153" s="12"/>
      <c r="E1153" s="12"/>
    </row>
    <row r="1154" spans="4:5">
      <c r="D1154" s="12"/>
      <c r="E1154" s="12"/>
    </row>
    <row r="1155" spans="4:5">
      <c r="D1155" s="12"/>
      <c r="E1155" s="12"/>
    </row>
    <row r="1156" spans="4:5">
      <c r="D1156" s="12"/>
      <c r="E1156" s="12"/>
    </row>
    <row r="1157" spans="4:5">
      <c r="D1157" s="12"/>
      <c r="E1157" s="12"/>
    </row>
    <row r="1158" spans="4:5">
      <c r="D1158" s="12"/>
      <c r="E1158" s="12"/>
    </row>
    <row r="1159" spans="4:5">
      <c r="D1159" s="12"/>
      <c r="E1159" s="12"/>
    </row>
    <row r="1160" spans="4:5">
      <c r="D1160" s="12"/>
      <c r="E1160" s="12"/>
    </row>
    <row r="1161" spans="4:5">
      <c r="D1161" s="12"/>
      <c r="E1161" s="12"/>
    </row>
    <row r="1162" spans="4:5">
      <c r="D1162" s="12"/>
      <c r="E1162" s="12"/>
    </row>
    <row r="1163" spans="4:5">
      <c r="D1163" s="12"/>
      <c r="E1163" s="12"/>
    </row>
    <row r="1164" spans="4:5">
      <c r="D1164" s="12"/>
      <c r="E1164" s="12"/>
    </row>
    <row r="1165" spans="4:5">
      <c r="D1165" s="12"/>
      <c r="E1165" s="12"/>
    </row>
    <row r="1166" spans="4:5">
      <c r="D1166" s="12"/>
      <c r="E1166" s="12"/>
    </row>
    <row r="1167" spans="4:5">
      <c r="D1167" s="12"/>
      <c r="E1167" s="12"/>
    </row>
    <row r="1168" spans="4:5">
      <c r="D1168" s="12"/>
      <c r="E1168" s="12"/>
    </row>
    <row r="1169" spans="4:5">
      <c r="D1169" s="12"/>
      <c r="E1169" s="12"/>
    </row>
    <row r="1170" spans="4:5">
      <c r="D1170" s="12"/>
      <c r="E1170" s="12"/>
    </row>
    <row r="1171" spans="4:5">
      <c r="D1171" s="12"/>
      <c r="E1171" s="12"/>
    </row>
    <row r="1172" spans="4:5">
      <c r="D1172" s="12"/>
      <c r="E1172" s="12"/>
    </row>
    <row r="1173" spans="4:5">
      <c r="D1173" s="12"/>
      <c r="E1173" s="12"/>
    </row>
    <row r="1174" spans="4:5">
      <c r="D1174" s="12"/>
      <c r="E1174" s="12"/>
    </row>
    <row r="1175" spans="4:5">
      <c r="D1175" s="12"/>
      <c r="E1175" s="12"/>
    </row>
    <row r="1176" spans="4:5">
      <c r="D1176" s="12"/>
      <c r="E1176" s="12"/>
    </row>
    <row r="1177" spans="4:5">
      <c r="D1177" s="12"/>
      <c r="E1177" s="12"/>
    </row>
    <row r="1178" spans="4:5">
      <c r="D1178" s="12"/>
      <c r="E1178" s="12"/>
    </row>
    <row r="1179" spans="4:5">
      <c r="D1179" s="12"/>
      <c r="E1179" s="12"/>
    </row>
    <row r="1180" spans="4:5">
      <c r="D1180" s="12"/>
      <c r="E1180" s="12"/>
    </row>
    <row r="1181" spans="4:5">
      <c r="D1181" s="12"/>
      <c r="E1181" s="12"/>
    </row>
    <row r="1182" spans="4:5">
      <c r="D1182" s="12"/>
      <c r="E1182" s="12"/>
    </row>
    <row r="1183" spans="4:5">
      <c r="D1183" s="12"/>
      <c r="E1183" s="12"/>
    </row>
    <row r="1184" spans="4:5">
      <c r="D1184" s="12"/>
      <c r="E1184" s="12"/>
    </row>
    <row r="1185" spans="4:5">
      <c r="D1185" s="12"/>
      <c r="E1185" s="12"/>
    </row>
    <row r="1186" spans="4:5">
      <c r="D1186" s="12"/>
      <c r="E1186" s="12"/>
    </row>
    <row r="1187" spans="4:5">
      <c r="D1187" s="12"/>
      <c r="E1187" s="12"/>
    </row>
    <row r="1188" spans="4:5">
      <c r="D1188" s="12"/>
      <c r="E1188" s="12"/>
    </row>
    <row r="1189" spans="4:5">
      <c r="D1189" s="12"/>
      <c r="E1189" s="12"/>
    </row>
    <row r="1190" spans="4:5">
      <c r="D1190" s="12"/>
      <c r="E1190" s="12"/>
    </row>
  </sheetData>
  <autoFilter ref="A1:R717" xr:uid="{462191E9-F63D-4523-85A9-4BE655397C77}"/>
  <conditionalFormatting sqref="K402:L636">
    <cfRule type="containsText" dxfId="13" priority="13" operator="containsText" text="REZERVE">
      <formula>NOT(ISERROR(SEARCH("REZERVE",K402)))</formula>
    </cfRule>
  </conditionalFormatting>
  <conditionalFormatting sqref="N401:O635">
    <cfRule type="containsText" dxfId="12" priority="4" operator="containsText" text="REZERVE">
      <formula>NOT(ISERROR(SEARCH("REZERVE",N401)))</formula>
    </cfRule>
  </conditionalFormatting>
  <conditionalFormatting sqref="Q401:R635">
    <cfRule type="containsText" dxfId="11" priority="1" operator="containsText" text="REZERVE">
      <formula>NOT(ISERROR(SEARCH("REZERVE",Q401)))</formula>
    </cfRule>
  </conditionalFormatting>
  <dataValidations count="3">
    <dataValidation type="list" allowBlank="1" showInputMessage="1" showErrorMessage="1" sqref="P718:P1190 M718:M1190 I718:J1190" xr:uid="{BA4E01DE-4B3D-4617-AA25-9238317C9C23}">
      <formula1>"STOKTA, KONSİNYE, REZERVE, SATILDI/2. SATIŞTA, SATIŞ KAPANDI, MÜŞTERİ YERİ"</formula1>
    </dataValidation>
    <dataValidation allowBlank="1" showInputMessage="1" showErrorMessage="1" sqref="I2:J717 P2:P717 M2:M717 P1:Q1 I1:K1 M1:N1 R1:R1048576 O1:O1048576 L1:L1048576" xr:uid="{C51E73AB-49DE-4B86-B689-FC85A2F92A56}"/>
    <dataValidation type="list" allowBlank="1" showInputMessage="1" showErrorMessage="1" sqref="K2:K1048576 N2:N1048576 Q2:Q1048576" xr:uid="{B602B428-81D2-41C8-84CE-1398783E2235}">
      <formula1>"VAR, YOK"</formula1>
    </dataValidation>
  </dataValidations>
  <hyperlinks>
    <hyperlink ref="C422" r:id="rId1" xr:uid="{9D8864CE-492F-42DB-90F8-7B79F4357B51}"/>
    <hyperlink ref="C423" r:id="rId2" xr:uid="{7AEEDBA0-0E25-414B-AB0F-E0039F19EB98}"/>
    <hyperlink ref="C421" r:id="rId3" xr:uid="{438ABFA7-E45B-48C5-A1EC-EA48BF758661}"/>
    <hyperlink ref="F148" location="'Master Liste'!F117" display="'Master Liste'!F117" xr:uid="{B74F3173-1375-4CD7-A18A-03D34DAE1ACB}"/>
    <hyperlink ref="F154" location="'Master Liste'!F117" display="'Master Liste'!F117" xr:uid="{4A1641CA-9F06-458B-8866-49BB10216B43}"/>
    <hyperlink ref="F118" location="'Master Liste'!F118" display="'Master Liste'!F118" xr:uid="{2508428C-9482-48E2-8D4E-D8E5B1D07666}"/>
    <hyperlink ref="F105" location="'Master Liste'!F110" display="'Master Liste'!F110" xr:uid="{E8736665-35B1-4AA4-B534-6CC2E14696FB}"/>
    <hyperlink ref="F141" location="'Master Liste'!F108" display="'Master Liste'!F108" xr:uid="{910FA76E-A128-48EB-B7DD-E55BD6B19A09}"/>
    <hyperlink ref="F277" location="'Master Liste'!F108" display="'Master Liste'!F108" xr:uid="{769A25BC-7882-453F-BB3F-45B181C60218}"/>
    <hyperlink ref="F119" location="'Master Liste'!G123" display="'Master Liste'!G123" xr:uid="{311E10A0-664A-4AD4-9BAD-42B5B6FF98A9}"/>
    <hyperlink ref="F443" location="'Master Liste'!G123" display="'Master Liste'!G123" xr:uid="{827556F9-F0C9-4F23-BB28-72778214AE63}"/>
    <hyperlink ref="F84" location="'Master Liste'!G124" display="'Master Liste'!G124" xr:uid="{CE44B738-BED0-4BEF-84FE-58C706C8FBA0}"/>
    <hyperlink ref="F145" location="'Master Liste'!G124" display="'Master Liste'!G124" xr:uid="{E01C9EEE-0D26-4ADC-9B67-2BC03B2355FD}"/>
    <hyperlink ref="F171" location="'Master Liste'!G129" display="'Master Liste'!G129" xr:uid="{EA417376-D836-4EDF-94B6-FC906097C8C8}"/>
    <hyperlink ref="F177" location="'Master Liste'!G129" display="'Master Liste'!G129" xr:uid="{F2978EA4-F497-474B-B52F-207D2593F60E}"/>
    <hyperlink ref="F169" location="'Master Liste'!G128" display="'Master Liste'!G128" xr:uid="{7CDF01AF-5F12-4643-B614-3574DA8A336C}"/>
    <hyperlink ref="F168" location="'Master Liste'!G128" display="'Master Liste'!G128" xr:uid="{8CC103F8-33E6-4A61-9C13-8E5BC320E702}"/>
    <hyperlink ref="F178" location="'Master Liste'!G130" display="'Master Liste'!G130" xr:uid="{0049FE01-0749-4C00-8113-F980C2B7C11E}"/>
    <hyperlink ref="F180" location="'Master Liste'!G130" display="'Master Liste'!G130" xr:uid="{14BC917C-F82F-4976-B519-E7F28BDDDA0C}"/>
    <hyperlink ref="F166" location="'Master Liste'!G131" display="'Master Liste'!G131" xr:uid="{A8E6C83A-70BA-4BE8-B9DB-DADA8E83D138}"/>
    <hyperlink ref="F165" location="'Master Liste'!G131" display="'Master Liste'!G131" xr:uid="{80B3C455-B3A3-44AD-B84F-410707FBC91E}"/>
    <hyperlink ref="F153" location="'Master Liste'!G125" display="'Master Liste'!G125" xr:uid="{69FE4315-139F-40D2-92FB-37C9485B9987}"/>
    <hyperlink ref="F155" location="'Master Liste'!G125" display="'Master Liste'!G125" xr:uid="{90FE76FF-017C-4594-90B9-F565AAF47407}"/>
    <hyperlink ref="F161" location="'Master Liste'!G132" display="'Master Liste'!G132" xr:uid="{DF702911-B57A-4A15-81FB-D8C46203E017}"/>
    <hyperlink ref="F163" location="'Master Liste'!G132" display="'Master Liste'!G132" xr:uid="{1D50F190-C2B2-4217-BD10-0579DEAEAE7A}"/>
    <hyperlink ref="F179" location="'Master Liste'!G133" display="'Master Liste'!G133" xr:uid="{B23F6E8A-0384-4D4C-95F5-BBB740623E56}"/>
    <hyperlink ref="F170" location="'Master Liste'!G133" display="'Master Liste'!G133" xr:uid="{6D0FCEC2-DA55-429E-ADED-7A540C73473C}"/>
    <hyperlink ref="F152" location="'Master Liste'!G134" display="'Master Liste'!G134" xr:uid="{0C0F3D2F-CCB8-4ED4-B4B0-5A5D35E3C65F}"/>
    <hyperlink ref="F146" location="'Master Liste'!G134" display="'Master Liste'!G134" xr:uid="{7D66E573-9669-4E0D-8F0B-F08AA3CD642F}"/>
    <hyperlink ref="F151" location="'Master Liste'!G137" display="'Master Liste'!G137" xr:uid="{CD4CB615-BD44-4D29-82DD-BF19DCDD30E7}"/>
    <hyperlink ref="F147" location="'Master Liste'!G137" display="'Master Liste'!G137" xr:uid="{5FDB3830-F09E-4183-BE46-B0D9A1928986}"/>
    <hyperlink ref="F122" location="'Master Liste'!G145" display="'Master Liste'!G145" xr:uid="{322F3C81-6BF8-4DED-BBF9-EA029AD64902}"/>
    <hyperlink ref="F123" location="'Master Liste'!G145" display="'Master Liste'!G145" xr:uid="{D6E2C1D8-443F-4ACE-9DB4-07E5BDD3EB64}"/>
    <hyperlink ref="F128" location="'Master Liste'!G112" display="'Master Liste'!G112" xr:uid="{1D1D7F0D-7714-40F1-BC24-BB8C53CDF360}"/>
    <hyperlink ref="F127" location="'Master Liste'!G112" display="'Master Liste'!G112" xr:uid="{06174522-9509-49DF-8B60-9FB5CF5E54A3}"/>
    <hyperlink ref="F190" location="'Master Liste'!G89" display="'Master Liste'!G89" xr:uid="{3C125034-C5BA-4E35-8A69-2F8B54614547}"/>
    <hyperlink ref="F189" location="'Master Liste'!G89" display="'Master Liste'!G89" xr:uid="{88069AA1-5F35-46BB-9D38-1FB85C1AE831}"/>
    <hyperlink ref="F150" location="'Master Liste'!G138" display="'Master Liste'!G138" xr:uid="{8A318C31-FDDD-4615-BC33-263BABC3BE3B}"/>
    <hyperlink ref="F156" location="'Master Liste'!G138" display="'Master Liste'!G138" xr:uid="{AD57745A-5143-4213-8DE8-D8127F13AEC4}"/>
    <hyperlink ref="F181" location="'Master Liste'!G141" display="'Master Liste'!G141" xr:uid="{987F32D8-B828-4490-9908-0EB03645CBB0}"/>
    <hyperlink ref="F160" location="'Master Liste'!F87" display="'Master Liste'!F87" xr:uid="{F9795405-4AA0-414B-BF6C-EDAA32296D5E}"/>
    <hyperlink ref="F162" location="'Master Liste'!F87" display="'Master Liste'!F87" xr:uid="{C2FDC33F-FAA1-4B84-97D4-AE548B1C0D8B}"/>
    <hyperlink ref="F124" location="'Master Liste'!G142" display="'Master Liste'!G142" xr:uid="{7B5C7F00-406F-4EB0-B579-E2ACE43F4494}"/>
    <hyperlink ref="F125" location="'Master Liste'!G142" display="'Master Liste'!G142" xr:uid="{75F3D215-EF54-45BA-A5E8-0135D668C61E}"/>
    <hyperlink ref="F188" location="'Master Liste'!G144" display="'Master Liste'!G144" xr:uid="{39BCA990-A7D0-468C-9F74-CA3E6AB070BA}"/>
    <hyperlink ref="F164" location="'Master Liste'!G150" display="'Master Liste'!G150" xr:uid="{E1D90651-DF8F-47F4-9340-F6ECDC5E3715}"/>
    <hyperlink ref="F131" location="'Master Liste'!G91" display="'Master Liste'!G91" xr:uid="{8522F637-96B0-4CB1-9D11-4AC971CAE9A4}"/>
    <hyperlink ref="F132" location="'Master Liste'!G91" display="'Master Liste'!G91" xr:uid="{B78CEE8E-F041-477A-B9B9-AD4533D64A9A}"/>
    <hyperlink ref="F120" location="'Master Liste'!G114" display="'Master Liste'!G114" xr:uid="{91981AE9-0280-406F-8E0F-611BC27116C3}"/>
    <hyperlink ref="F106" location="'Master Liste'!G114" display="'Master Liste'!G114" xr:uid="{69176ACE-766F-4EDC-A73A-035763C479F6}"/>
    <hyperlink ref="F244" location="'Master Liste'!G153" display="'Master Liste'!G153" xr:uid="{4F6FC194-6899-4950-AAAF-9B0C55577C39}"/>
    <hyperlink ref="F221" location="'Master Liste'!G154" display="'Master Liste'!G154" xr:uid="{B2DB247C-11EC-4CFD-8132-D42F727FEBFB}"/>
    <hyperlink ref="F214" location="'Master Liste'!G154" display="'Master Liste'!G154" xr:uid="{E9EE7CB2-5F24-4AEA-A5D3-2FDE7E4ED6CB}"/>
    <hyperlink ref="F191" location="'Master Liste'!F139" display="'Master Liste'!F139" xr:uid="{46D4760F-EE7A-43EA-A292-84315E6A2178}"/>
    <hyperlink ref="F260" location="'Master Liste'!F240" display="'Master Liste'!F240" xr:uid="{2465792D-3AE9-4B12-869D-E4D97B8A990E}"/>
    <hyperlink ref="F248" location="'Master Liste'!F245" display="17" xr:uid="{F4CFFE33-935B-41A5-AAF1-3C305F1F5DC4}"/>
    <hyperlink ref="F207" location="'Master Liste'!F245" display="18" xr:uid="{047DF5E0-568D-49FB-B676-EC55D90B824C}"/>
    <hyperlink ref="F208" location="'Master Liste'!F245" display="19" xr:uid="{658B3999-BD25-4272-BB46-AA857C981131}"/>
    <hyperlink ref="F209" location="'Master Liste'!F245" display="20" xr:uid="{CC696761-0486-42E0-A998-ADA08E2E71F7}"/>
    <hyperlink ref="F215" location="'Master Liste'!F245" display="21" xr:uid="{84B127A8-D5F5-4543-B77F-875BAB5283E6}"/>
    <hyperlink ref="F255" location="'Master Liste'!F249" display="23" xr:uid="{4E0F485F-F1A4-4933-A0CA-8F50AC3F40DD}"/>
    <hyperlink ref="F256" location="'Master Liste'!F249" display="24" xr:uid="{F8567DEE-7DAE-4C5C-B790-24603DEDBE7F}"/>
    <hyperlink ref="F249" location="'Master Liste'!F249" display="25" xr:uid="{8C020BA2-85AD-4D49-BC5F-1C5E0737BD42}"/>
    <hyperlink ref="E378" r:id="rId4" location="ara/idari/167764/117/17/1695926736852" display="https://parselsorgu.tkgm.gov.tr/ - ara/idari/167764/117/17/1695926736852" xr:uid="{25010DF0-43F4-4D5E-8067-19273644A722}"/>
    <hyperlink ref="E366" r:id="rId5" location="ara/idari/167764/117/12/1695926683255" display="https://parselsorgu.tkgm.gov.tr/ - ara/idari/167764/117/12/1695926683255" xr:uid="{CE22704B-09AC-4C27-9A04-3CF0ABA9EBF6}"/>
    <hyperlink ref="E368" r:id="rId6" location="ara/idari/167764/117/11/1695926674902" display="https://parselsorgu.tkgm.gov.tr/ - ara/idari/167764/117/11/1695926674902" xr:uid="{FABF1CD0-D317-4627-BC38-07774BD36AD9}"/>
    <hyperlink ref="E369" r:id="rId7" location="ara/idari/167764/117/10/1695926667788" display="https://parselsorgu.tkgm.gov.tr/ - ara/idari/167764/117/10/1695926667788" xr:uid="{14A54CC2-FE8C-4A68-B4A7-43176E184064}"/>
    <hyperlink ref="E367" r:id="rId8" location="ara/idari/167764/117/4/1695926623740" display="https://parselsorgu.tkgm.gov.tr/ - ara/idari/167764/117/4/1695926623740" xr:uid="{CC34B8AE-EFC9-4EEE-8983-701840035E60}"/>
    <hyperlink ref="E376" r:id="rId9" location="ara/idari/167764/117/3/1695926614856" display="https://parselsorgu.tkgm.gov.tr/ - ara/idari/167764/117/3/1695926614856" xr:uid="{F8E8AAB5-762E-4389-9932-0E264C8CA8A1}"/>
    <hyperlink ref="E375" r:id="rId10" location="ara/idari/167764/117/2/1695926607071" display="https://parselsorgu.tkgm.gov.tr/ - ara/idari/167764/117/2/1695926607071" xr:uid="{71F13DF0-38B6-4FD3-B249-D56267AE6703}"/>
    <hyperlink ref="E381" r:id="rId11" location="ara/idari/167764/117/1/1695926594587" display="https://parselsorgu.tkgm.gov.tr/ - ara/idari/167764/117/1/1695926594587" xr:uid="{2C30084C-BFFF-4D30-8A2A-DA33909580BD}"/>
    <hyperlink ref="E380" r:id="rId12" location="ara/idari/167764/116/9/1695926546132" display="https://parselsorgu.tkgm.gov.tr/ - ara/idari/167764/116/9/1695926546132" xr:uid="{D5A3507D-C29D-4176-910B-552349396890}"/>
    <hyperlink ref="E374" r:id="rId13" location="ara/idari/167764/116/4/1695926504115" display="https://parselsorgu.tkgm.gov.tr/ - ara/idari/167764/116/4/1695926504115" xr:uid="{CCE0F4BB-F67C-47FB-A0C1-A5D3A1D17EA1}"/>
    <hyperlink ref="E373" r:id="rId14" location="ara/idari/167764/116/3/1695926495081" display="https://parselsorgu.tkgm.gov.tr/ - ara/idari/167764/116/3/1695926495081" xr:uid="{84C8F5B9-3621-4365-BD31-53F20BC8050E}"/>
    <hyperlink ref="E372" r:id="rId15" location="ara/idari/167764/116/2/1695926486291" display="https://parselsorgu.tkgm.gov.tr/ - ara/idari/167764/116/2/1695926486291" xr:uid="{857EB54B-A1F8-4834-BD6C-3712F5E32619}"/>
    <hyperlink ref="E402" r:id="rId16" location="ara/idari/205866/14236/22/1695926453039" display="https://parselsorgu.tkgm.gov.tr/ - ara/idari/205866/14236/22/1695926453039" xr:uid="{9981F772-F305-4F92-A3DD-A35495893EC0}"/>
    <hyperlink ref="E437" r:id="rId17" location="ara/idari/205866/14236/21/1695926445357" display="https://parselsorgu.tkgm.gov.tr/ - ara/idari/205866/14236/21/1695926445357" xr:uid="{A37AEFD3-C5ED-4BF3-8DA9-5026F8CCB732}"/>
    <hyperlink ref="E135" r:id="rId18" location="ara/idari/205866/14236/20/1695926437651" display="https://parselsorgu.tkgm.gov.tr/ - ara/idari/205866/14236/20/1695926437651" xr:uid="{4F28AEBC-F4B0-495B-857C-E012D891AC66}"/>
    <hyperlink ref="E438" r:id="rId19" location="ara/idari/205866/14236/16/1695926424763" display="https://parselsorgu.tkgm.gov.tr/ - ara/idari/205866/14236/16/1695926424763" xr:uid="{8B92B1B4-FB86-4F5A-8CA8-C4AE98EDEFC3}"/>
    <hyperlink ref="E479" r:id="rId20" location="ara/idari/205866/14236/8/1695926415482" display="https://parselsorgu.tkgm.gov.tr/ - ara/idari/205866/14236/8/1695926415482" xr:uid="{0298DCB1-0B28-4450-AE28-D5BFC04BD438}"/>
    <hyperlink ref="E379" r:id="rId21" location="ara/idari/167764/110/5/1695926396620" display="https://parselsorgu.tkgm.gov.tr/ - ara/idari/167764/110/5/1695926396620" xr:uid="{73BB29AC-E2C3-45A1-A450-8F6F0BB62B8E}"/>
    <hyperlink ref="E384" r:id="rId22" location="ara/idari/167764/110/1/1695926388267" display="https://parselsorgu.tkgm.gov.tr/ - ara/idari/167764/110/1/1695926388267" xr:uid="{830880CC-65AC-4DF9-BFF4-B663E610E832}"/>
    <hyperlink ref="E370" r:id="rId23" location="ara/idari/167764/111/4/1695926379756" display="https://parselsorgu.tkgm.gov.tr/ - ara/idari/167764/111/4/1695926379756" xr:uid="{1E58B9E3-E917-4E55-8747-24F05E6AB1F6}"/>
    <hyperlink ref="E114" r:id="rId24" location="ara/idari/171368/132/2/1695926212029" display="https://parselsorgu.tkgm.gov.tr/ - ara/idari/171368/132/2/1695926212029" xr:uid="{514D8BA6-3259-49B8-BEC3-3DDC859A0229}"/>
    <hyperlink ref="E213" r:id="rId25" location="ara/idari/171369/236/5/1695926133149" display="https://parselsorgu.tkgm.gov.tr/ - ara/idari/171369/236/5/1695926133149" xr:uid="{A12A1C5C-56A2-4286-84AE-1BD4AC07F963}"/>
    <hyperlink ref="E273" r:id="rId26" location="ara/idari/171369/214/11/1695926121853" display="https://parselsorgu.tkgm.gov.tr/ - ara/idari/171369/214/11/1695926121853" xr:uid="{6BC78890-CE20-4F96-B42C-AE175EA90C90}"/>
    <hyperlink ref="E133" r:id="rId27" location="ara/idari/171369/214/10/1695926112857" display="https://parselsorgu.tkgm.gov.tr/ - ara/idari/171369/214/10/1695926112857" xr:uid="{7263578A-28C9-4928-8C14-74F4AA9E59E1}"/>
    <hyperlink ref="E473" r:id="rId28" location="ara/idari/171369/205/8/1695926091780" display="https://parselsorgu.tkgm.gov.tr/ - ara/idari/171369/205/8/1695926091780" xr:uid="{C0FCDE8D-BF22-4E19-90C0-D7F0EE66A6F1}"/>
    <hyperlink ref="E358" r:id="rId29" location="ara/idari/171369/105/16/1695926074591" display="https://parselsorgu.tkgm.gov.tr/ - ara/idari/171369/105/16/1695926074591" xr:uid="{5E1C0503-6B98-4CDF-8021-9C94E2EDC712}"/>
    <hyperlink ref="E416" r:id="rId30" location="ara/idari/171368/132/1/1695925967492" display="https://parselsorgu.tkgm.gov.tr/ - ara/idari/171368/132/1/1695925967492" xr:uid="{4DF3C9B7-A4E5-46A1-A8C6-C7218F714CC8}"/>
    <hyperlink ref="E270" r:id="rId31" location="ara/idari/171368/102/3/1695925942365" display="https://parselsorgu.tkgm.gov.tr/ - ara/idari/171368/102/3/1695925942365" xr:uid="{583CDCE6-83CA-4D85-B505-71C8E792B97D}"/>
    <hyperlink ref="E407" r:id="rId32" location="ara/idari/171368/102/2/1695925933582" display="https://parselsorgu.tkgm.gov.tr/ - ara/idari/171368/102/2/1695925933582" xr:uid="{ACF6933C-2AA6-43FB-809C-B3E8EFFB41EB}"/>
    <hyperlink ref="E258" r:id="rId33" location="ara/idari/167833/157/4/1695753761668" display="https://parselsorgu.tkgm.gov.tr/ - ara/idari/167833/157/4/1695753761668" xr:uid="{677AD51D-3122-46D1-8391-E3105EF1F5F6}"/>
    <hyperlink ref="E346" r:id="rId34" location="ara/idari/167833/179/2/1695753562303" display="https://parselsorgu.tkgm.gov.tr/ - ara/idari/167833/179/2/1695753562303" xr:uid="{0DC22B51-7296-47C6-84C9-50339FBE222D}"/>
    <hyperlink ref="E245" r:id="rId35" location="ara/idari/167833/157/6/1695660031277" display="https://parselsorgu.tkgm.gov.tr/ - ara/idari/167833/157/6/1695660031277" xr:uid="{8A069826-E65E-4CDA-A03C-1C7365D7F26D}"/>
    <hyperlink ref="E263" r:id="rId36" location="ara/idari/167833/157/5/1695660016670" display="https://parselsorgu.tkgm.gov.tr/ - ara/idari/167833/157/5/1695660016670" xr:uid="{D7E777F0-B550-4B8D-9689-CE5486C8B90F}"/>
    <hyperlink ref="E205" r:id="rId37" location="ara/idari/167833/157/1/1695659905990" display="https://parselsorgu.tkgm.gov.tr/ - ara/idari/167833/157/1/1695659905990" xr:uid="{4E6C0249-1405-4C42-ADE3-03335383757C}"/>
    <hyperlink ref="E413" r:id="rId38" location="ara/idari/26998/103/2/1690228281246" display="https://parselsorgu.tkgm.gov.tr/ - ara/idari/26998/103/2/1690228281246" xr:uid="{1261E811-2688-4C47-BD53-0563F8EDA51D}"/>
    <hyperlink ref="E257" r:id="rId39" location="ara/idari/150139/155/8/1686596072619" display="https://parselsorgu.tkgm.gov.tr/ - ara/idari/150139/155/8/1686596072619" xr:uid="{42322EBB-1211-43CF-B53A-EFBA373EF254}"/>
    <hyperlink ref="E385" r:id="rId40" location="ara/idari/205866/12477/30/1683961591821" display="https://parselsorgu.tkgm.gov.tr/ - ara/idari/205866/12477/30/1683961591821" xr:uid="{5E2F07FD-EA1B-4F06-9FBA-AFF8ED526598}"/>
    <hyperlink ref="E391" r:id="rId41" location="ara/idari/205866/12477/54/1683658855472" display="https://parselsorgu.tkgm.gov.tr/ - ara/idari/205866/12477/54/1683658855472" xr:uid="{A66B558B-AADE-469A-BED5-8A7707577B8F}"/>
    <hyperlink ref="E421" r:id="rId42" location="ara/idari/205866/12450/8/1681760775308" display="https://parselsorgu.tkgm.gov.tr/ - ara/idari/205866/12450/8/1681760775308" xr:uid="{586D7930-1BA1-4247-9C3A-E632A8AA36E8}"/>
    <hyperlink ref="E423" r:id="rId43" location="ara/idari/205866/12450/9/1681760763338" display="https://parselsorgu.tkgm.gov.tr/ - ara/idari/205866/12450/9/1681760763338" xr:uid="{B052BCE1-F4DD-4240-8578-4664ABB1FF82}"/>
    <hyperlink ref="E422" r:id="rId44" location="ara/idari/205866/12450/11/1681760750618" display="https://parselsorgu.tkgm.gov.tr/ - ara/idari/205866/12450/11/1681760750618" xr:uid="{B1AC6951-CD97-42E2-A800-7635D03E5C10}"/>
    <hyperlink ref="E472" r:id="rId45" location="ara/idari/166925/180/14/1681761543266" display="https://parselsorgu.tkgm.gov.tr/ - ara/idari/166925/180/14/1681761543266" xr:uid="{424031FE-C019-4703-8218-A22A27AED580}"/>
    <hyperlink ref="E130" r:id="rId46" location="ara/idari/166925/180/13/1681761532340" display="https://parselsorgu.tkgm.gov.tr/ - ara/idari/166925/180/13/1681761532340" xr:uid="{29FD0036-4671-4B56-9ECA-13AB2C5D95C1}"/>
    <hyperlink ref="E371" r:id="rId47" location="ara/idari/166896/135/4/1681761503418" display="https://parselsorgu.tkgm.gov.tr/ - ara/idari/166896/135/4/1681761503418" xr:uid="{CD031343-E7DD-4075-ADA0-292BFCD59583}"/>
    <hyperlink ref="E198" r:id="rId48" location="ara/idari/20789/103/6/1681760706234" display="https://parselsorgu.tkgm.gov.tr/ - ara/idari/20789/103/6/1681760706234" xr:uid="{E611B010-9B65-4576-B767-91FCF381E335}"/>
    <hyperlink ref="E57" r:id="rId49" location="ara/idari/166917/101/6/1681761463823" display="https://parselsorgu.tkgm.gov.tr/ - ara/idari/166917/101/6/1681761463823" xr:uid="{296A46B3-79D5-4503-95EF-52E2E2E7AA27}"/>
    <hyperlink ref="E250" r:id="rId50" location="ara/idari/166896/125/5/1681934918941" display="https://parselsorgu.tkgm.gov.tr/ - ara/idari/166896/125/5/1681934918941" xr:uid="{FE1CCA42-4AB1-4E02-A0DB-4C3971665CFF}"/>
    <hyperlink ref="E357" r:id="rId51" location="ara/idari/166896/125/4/1681934906474" display="https://parselsorgu.tkgm.gov.tr/ - ara/idari/166896/125/4/1681934906474" xr:uid="{04A18D93-099A-480F-BE21-42D8B786D2D6}"/>
    <hyperlink ref="E406" r:id="rId52" location="ara/idari/150139/149/9/1681934500175" display="https://parselsorgu.tkgm.gov.tr/ - ara/idari/150139/149/9/1681934500175" xr:uid="{49F17DAE-569C-4B83-B776-E197EF3B822A}"/>
    <hyperlink ref="E415" r:id="rId53" location="ara/idari/150139/149/10/1681760646668" display="https://parselsorgu.tkgm.gov.tr/ - ara/idari/150139/149/10/1681760646668" xr:uid="{AD873A28-345A-4902-9D23-CA2CD173247F}"/>
    <hyperlink ref="E66" r:id="rId54" location="ara/idari/149101/128/2/1681761287349" display="https://parselsorgu.tkgm.gov.tr/ - ara/idari/149101/128/2/1681761287349" xr:uid="{71C0547F-A106-4D89-9F60-C36A30087274}"/>
    <hyperlink ref="E348" r:id="rId55" location="ara/idari/166896/133/5/1681934114917" display="https://parselsorgu.tkgm.gov.tr/ - ara/idari/166896/133/5/1681934114917" xr:uid="{DD898C0C-A449-4F32-94B1-5CB901800C18}"/>
    <hyperlink ref="E347" r:id="rId56" location="ara/idari/166896/123/6/1681934057592" display="https://parselsorgu.tkgm.gov.tr/ - ara/idari/166896/123/6/1681934057592" xr:uid="{72C0E198-3A4A-4BF6-B063-6DD7C6A7F6CD}"/>
    <hyperlink ref="E276" r:id="rId57" location="ara/idari/169572/122/8/1681760608862" display="https://parselsorgu.tkgm.gov.tr/ - ara/idari/169572/122/8/1681760608862" xr:uid="{FA89CC72-9278-4789-B5B5-106B30B8D28C}"/>
    <hyperlink ref="E474" r:id="rId58" location="ara/idari/205866/12481/11/1681760575901" display="https://parselsorgu.tkgm.gov.tr/ - ara/idari/205866/12481/11/1681760575901" xr:uid="{1D6FB199-D6EA-41AD-9B9F-86180BA6584E}"/>
    <hyperlink ref="E435" r:id="rId59" location="ara/idari/205866/12481/8/1681760561597" display="https://parselsorgu.tkgm.gov.tr/ - ara/idari/205866/12481/8/1681760561597" xr:uid="{D5729D3D-5C9C-43CE-9B36-2E81474C7661}"/>
    <hyperlink ref="E409" r:id="rId60" location="ara/idari/205866/12481/9/1681935569405" display="https://parselsorgu.tkgm.gov.tr/ - ara/idari/205866/12481/9/1681935569405" xr:uid="{AFF3E85C-5756-4A18-9343-EF0C611AC69B}"/>
    <hyperlink ref="E274" r:id="rId61" location="ara/idari/205866/12481/7/1681760548301" display="https://parselsorgu.tkgm.gov.tr/ - ara/idari/205866/12481/7/1681760548301" xr:uid="{2E080708-791A-4699-AE00-361BCD87B0D2}"/>
    <hyperlink ref="E398" r:id="rId62" location="ara/idari/149568/106/3/1681761212808" display="https://parselsorgu.tkgm.gov.tr/ - ara/idari/149568/106/3/1681761212808" xr:uid="{101E090A-9F72-44F9-A94D-13CB4DF4A1CD}"/>
    <hyperlink ref="E395" r:id="rId63" location="ara/idari/167815/0/976/1681760315190" display="https://parselsorgu.tkgm.gov.tr/ - ara/idari/167815/0/976/1681760315190" xr:uid="{351FBC0D-78FD-4EAB-8084-7FD1E9C25FBE}"/>
    <hyperlink ref="E254" r:id="rId64" location="ara/idari/37964/0/1710/1681761150197" display="https://parselsorgu.tkgm.gov.tr/ - ara/idari/37964/0/1710/1681761150197" xr:uid="{D8C5FFBC-6F3D-43D7-882A-912CEF14B243}"/>
    <hyperlink ref="E129" r:id="rId65" location="ara/idari/167773/315/13/1681935809498" display="https://parselsorgu.tkgm.gov.tr/ - ara/idari/167773/315/13/1681935809498" xr:uid="{9D1853CE-D8CA-43E6-8E16-FD0AD445C222}"/>
    <hyperlink ref="E303" r:id="rId66" location="ara/idari/147569/108/7/1681761105177" display="https://parselsorgu.tkgm.gov.tr/ - ara/idari/147569/108/7/1681761105177" xr:uid="{724B0E52-D50E-487B-9373-3F8F35967EB7}"/>
    <hyperlink ref="E197" r:id="rId67" location="ara/idari/147569/108/6/1681932067923" display="https://parselsorgu.tkgm.gov.tr/ - ara/idari/147569/108/6/1681932067923" xr:uid="{4AA661FC-F23F-42C2-A865-555FF024A60A}"/>
    <hyperlink ref="E393" r:id="rId68" location="ara/idari/205867/11633/11/1681760282630" display="https://parselsorgu.tkgm.gov.tr/ - ara/idari/205867/11633/11/1681760282630" xr:uid="{99386C12-932A-4B3F-88C9-976A0C5BF0D0}"/>
    <hyperlink ref="E471" r:id="rId69" location="ara/idari/153183/229/15/1681931959009" display="https://parselsorgu.tkgm.gov.tr/ - ara/idari/153183/229/15/1681931959009" xr:uid="{04E1A954-B99B-40E7-B360-629FF161ACB0}"/>
    <hyperlink ref="E349" r:id="rId70" location="ara/idari/166950/178/18/1681931891617" display="https://parselsorgu.tkgm.gov.tr/ - ara/idari/166950/178/18/1681931891617" xr:uid="{B19B5B8B-829C-48C5-A1E9-5D05FE729E29}"/>
    <hyperlink ref="E272" r:id="rId71" location="ara/idari/167515/165/58/1681931931421" display="https://parselsorgu.tkgm.gov.tr/ - ara/idari/167515/165/58/1681931931421" xr:uid="{DEA721D1-1B77-4BCA-B683-E4AE3E078824}"/>
    <hyperlink ref="E82" r:id="rId72" location="ara/idari/167590/173/282/1681760861581" display="https://parselsorgu.tkgm.gov.tr/ - ara/idari/167590/173/282/1681760861581" xr:uid="{3D5C9E61-0E8E-482C-AE17-4DFCFEEC7197}"/>
    <hyperlink ref="E461" r:id="rId73" location="ara/idari/167515/165/60/1681931859175" display="https://parselsorgu.tkgm.gov.tr/ - ara/idari/167515/165/60/1681931859175" xr:uid="{05964C87-9FE9-4EAA-AEFF-EF4BCE3E7627}"/>
    <hyperlink ref="E430" r:id="rId74" location="ara/idari/181647/446/11/1681760235374" display="https://parselsorgu.tkgm.gov.tr/ - ara/idari/181647/446/11/1681760235374" xr:uid="{FF7D1844-478B-4C34-BFB3-362D872E4380}"/>
    <hyperlink ref="E59" r:id="rId75" location="ara/idari/152430/215/20/1681761263722" display="https://parselsorgu.tkgm.gov.tr/ - ara/idari/152430/215/20/1681761263722" xr:uid="{537293DE-2237-4BA6-92F1-6C45C0DE2856}"/>
    <hyperlink ref="E60" r:id="rId76" location="ara/idari/149985/103/588/1681761312528" display="https://parselsorgu.tkgm.gov.tr/ - ara/idari/149985/103/588/1681761312528" xr:uid="{C5904D44-55CD-4C74-931D-D4F326BFA019}"/>
    <hyperlink ref="E55" r:id="rId77" location="ara/idari/149985/103/557/1681761354741" display="https://parselsorgu.tkgm.gov.tr/ - ara/idari/149985/103/557/1681761354741" xr:uid="{BFCC6D50-B8CA-49AE-96B5-F5A570465C46}"/>
    <hyperlink ref="E484" r:id="rId78" location="ara/idari/171369/241/15/1681934797245" display="https://parselsorgu.tkgm.gov.tr/ - ara/idari/171369/241/15/1681934797245" xr:uid="{1B5DC534-852E-476E-85BB-5769D47E797F}"/>
    <hyperlink ref="E58" r:id="rId79" location="ara/idari/171369/241/6/1681934854908" display="https://parselsorgu.tkgm.gov.tr/ - ara/idari/171369/241/6/1681934854908" xr:uid="{16990CB9-C180-48EB-9D4B-C9943F3B3725}"/>
    <hyperlink ref="E56" r:id="rId80" location="ara/idari/171369/241/7/1681934868187" display="https://parselsorgu.tkgm.gov.tr/ - ara/idari/171369/241/7/1681934868187" xr:uid="{A841A757-03DD-4E6D-98DE-EE615755F3C8}"/>
    <hyperlink ref="E310" r:id="rId81" location="ara/idari/171369/241/5/1681934881248" display="https://parselsorgu.tkgm.gov.tr/ - ara/idari/171369/241/5/1681934881248" xr:uid="{E31BFE57-FE36-454E-A4F8-0138231EE775}"/>
    <hyperlink ref="E418" r:id="rId82" location="ara/idari/171369/240/14/1695926156265" display="https://parselsorgu.tkgm.gov.tr/ - ara/idari/171369/240/14/1695926156265" xr:uid="{7A5FE48B-AC14-4C7E-BE60-1815FBFD3784}"/>
    <hyperlink ref="E54" r:id="rId83" location="ara/idari/149540/169/6/1681761240386" display="https://parselsorgu.tkgm.gov.tr/ - ara/idari/149540/169/6/1681761240386" xr:uid="{7D50BFBB-2D94-43D6-9BC4-778FEFC43404}"/>
    <hyperlink ref="E492" r:id="rId84" location="ara/idari/169549/121/5/1681761597009" display="https://parselsorgu.tkgm.gov.tr/ - ara/idari/169549/121/5/1681761597009" xr:uid="{69759B06-C5A6-4A31-B080-2D26B60DC8FF}"/>
    <hyperlink ref="E500" r:id="rId85" location="ara/idari/166896/134/7/1681931752162" display="https://parselsorgu.tkgm.gov.tr/ - ara/idari/166896/134/7/1681931752162" xr:uid="{742470EF-A3B7-4D85-B573-EA28B984BE79}"/>
    <hyperlink ref="E501" r:id="rId86" location="ara/idari/166896/134/8/1681931737740" display="https://parselsorgu.tkgm.gov.tr/ - ara/idari/166896/134/8/1681931737740" xr:uid="{CB1A9440-6283-418E-A7C4-AAAE0B64245D}"/>
    <hyperlink ref="E499" r:id="rId87" location="ara/idari/166896/134/6/1681931721498" display="https://parselsorgu.tkgm.gov.tr/ - ara/idari/166896/134/6/1681931721498" xr:uid="{2361D11A-33F7-4A50-B992-950D64FF2D53}"/>
    <hyperlink ref="E504" r:id="rId88" location="ara/idari/205866/12626/8/1683658834705" display="https://parselsorgu.tkgm.gov.tr/ - ara/idari/205866/12626/8/1683658834705" xr:uid="{9B156A4D-2418-4EBF-BADB-B8D98949C3BA}"/>
    <hyperlink ref="E503" r:id="rId89" location="ara/idari/166896/123/2/1681934072902" display="https://parselsorgu.tkgm.gov.tr/ - ara/idari/166896/123/2/1681934072902" xr:uid="{A12A8B01-675F-47F5-BF01-C8EF69AAAFEC}"/>
    <hyperlink ref="E537" r:id="rId90" location="ara/idari/153201/588/4/1681931807788" display="https://parselsorgu.tkgm.gov.tr/ - ara/idari/153201/588/4/1681931807788" xr:uid="{C98923AF-E7DA-49E9-B632-28E316C78668}"/>
    <hyperlink ref="E546" r:id="rId91" location="ara/idari/167753/205/5/1681931778566" display="https://parselsorgu.tkgm.gov.tr/ - ara/idari/167753/205/5/1681931778566" xr:uid="{C5B0D2B0-5815-40EF-A0D1-5AEB60609D46}"/>
    <hyperlink ref="E547" r:id="rId92" location="ara/idari/167515/165/59/1681760985410" display="https://parselsorgu.tkgm.gov.tr/ - ara/idari/167515/165/59/1681760985410" xr:uid="{D9F38595-7FC4-4CA4-AAEA-0B6B532475C7}"/>
    <hyperlink ref="E576" r:id="rId93" location="ara/idari/167764/116/1/1695926478610" display="https://parselsorgu.tkgm.gov.tr/ - ara/idari/167764/116/1/1695926478610" xr:uid="{32D7D593-F7D6-48EF-BE96-BE7D22240218}"/>
    <hyperlink ref="E575" r:id="rId94" location="ara/idari/167764/111/8/1695926262928" display="https://parselsorgu.tkgm.gov.tr/ - ara/idari/167764/111/8/1695926262928" xr:uid="{9486F583-090D-4086-A400-5B8798A78B86}"/>
    <hyperlink ref="E577" r:id="rId95" location="ara/idari/167764/117/16/1695926728420" display="https://parselsorgu.tkgm.gov.tr/ - ara/idari/167764/117/16/1695926728420" xr:uid="{7107BE76-9E48-4850-85FD-14693C221847}"/>
    <hyperlink ref="F580" location="'Master Liste'!F239" display="'Master Liste'!F239" xr:uid="{D4244E12-E651-409F-8D94-3FC459F70FAF}"/>
    <hyperlink ref="F581" location="'Master Liste'!F239" display="'Master Liste'!F239" xr:uid="{43A835C1-3F56-4C66-9D35-70AAC729C7D0}"/>
    <hyperlink ref="F582" location="'Master Liste'!F240" display="'Master Liste'!F240" xr:uid="{96B16B1F-6ED6-49DF-9570-7D061662EC49}"/>
    <hyperlink ref="F583" location="'Master Liste'!F240" display="'Master Liste'!F240" xr:uid="{0A7B3C30-1C51-48E7-AAAC-5B6113E6D8D8}"/>
    <hyperlink ref="F584" location="'Master Liste'!F242" display="'Master Liste'!F242" xr:uid="{4477B417-1AD9-4B23-BE10-9501398075D5}"/>
    <hyperlink ref="F585" location="'Master Liste'!F242" display="'Master Liste'!F242" xr:uid="{58F600A9-00BD-4FF1-AD17-E23050F6908E}"/>
    <hyperlink ref="E464" r:id="rId96" location="ara/idari/26998/103/7/1684352590414" display="https://parselsorgu.tkgm.gov.tr/ - ara/idari/26998/103/7/1684352590414" xr:uid="{D8351B19-012D-4261-87E3-51CD5C1F3364}"/>
    <hyperlink ref="E460" r:id="rId97" location="ara/idari/26998/103/1/1681934210635" display="https://parselsorgu.tkgm.gov.tr/ - ara/idari/26998/103/1/1681934210635" xr:uid="{810F20CE-2587-4DE1-9061-CDB5088DD350}"/>
    <hyperlink ref="E597" r:id="rId98" location="ara/idari/150139/155/5/1686596131513" display="https://parselsorgu.tkgm.gov.tr/ - ara/idari/150139/155/5/1686596131513" xr:uid="{43B18FA9-A030-40F8-B4EC-4967C843986F}"/>
    <hyperlink ref="E596" r:id="rId99" location="ara/idari/150139/155/4/1686596111390" display="https://parselsorgu.tkgm.gov.tr/ - ara/idari/150139/155/4/1686596111390" xr:uid="{ED2A901A-2756-48C2-B58F-49F90B64FECF}"/>
    <hyperlink ref="E595" r:id="rId100" location="ara/idari/150139/155/3/1686596091994" display="https://parselsorgu.tkgm.gov.tr/ - ara/idari/150139/155/3/1686596091994" xr:uid="{B72925F2-8228-4A20-AF04-EFA0F1265C1A}"/>
    <hyperlink ref="E598" r:id="rId101" location="ara/idari/150139/150/10/1686596048606" display="https://parselsorgu.tkgm.gov.tr/ - ara/idari/150139/150/10/1686596048606" xr:uid="{77AEEEE6-486B-4F0B-8CA7-B77738842976}"/>
    <hyperlink ref="E592" r:id="rId102" location="ara/idari/150139/149/3/1681761435147" display="https://parselsorgu.tkgm.gov.tr/ - ara/idari/150139/149/3/1681761435147" xr:uid="{FF7AB24D-C4F1-4BB5-996D-CFFF65FEF309}"/>
    <hyperlink ref="E593" r:id="rId103" location="ara/idari/150139/149/5/1681761423109" display="https://parselsorgu.tkgm.gov.tr/ - ara/idari/150139/149/5/1681761423109" xr:uid="{B7279AB5-FC87-4459-8FAD-F1B155C1B200}"/>
    <hyperlink ref="E599" r:id="rId104" location="ara/idari/202565/6404/19/1681760505636" display="https://parselsorgu.tkgm.gov.tr/ - ara/idari/202565/6404/19/1681760505636" xr:uid="{E127D15E-23AF-4A2C-870D-249C3967A752}"/>
    <hyperlink ref="E602" r:id="rId105" location="ara/idari/171368/132/4/1695925977880" display="https://parselsorgu.tkgm.gov.tr/ - ara/idari/171368/132/4/1695925977880" xr:uid="{4B9C8E3D-4086-4411-934A-457EA8F559E5}"/>
    <hyperlink ref="E601" r:id="rId106" location="ara/idari/171368/105/19/1695925954793" display="https://parselsorgu.tkgm.gov.tr/ - ara/idari/171368/105/19/1695925954793" xr:uid="{BFD45B18-D937-4B5A-AD74-99F29C980206}"/>
    <hyperlink ref="E600" r:id="rId107" location="ara/idari/171368/102/1/1695925922672" display="https://parselsorgu.tkgm.gov.tr/ - ara/idari/171368/102/1/1695925922672" xr:uid="{BD8047A5-2F82-494E-8346-0055F2726435}"/>
    <hyperlink ref="E603" r:id="rId108" location="ara/idari/171369/236/6/1695926143050" display="https://parselsorgu.tkgm.gov.tr/ - ara/idari/171369/236/6/1695926143050" xr:uid="{38F8E1F7-32CA-4150-AADE-BE8BC6F82D5D}"/>
    <hyperlink ref="E604" r:id="rId109" location="ara/idari/171369/205/9/1695926102049" display="https://parselsorgu.tkgm.gov.tr/ - ara/idari/171369/205/9/1695926102049" xr:uid="{DE36B7C4-414A-4A72-B4C3-366DBAB31DCB}"/>
    <hyperlink ref="E610" r:id="rId110" location="ara/idari/205866/12655/4/1681760676005" display="https://parselsorgu.tkgm.gov.tr/ - ara/idari/205866/12655/4/1681760676005" xr:uid="{1E2EF425-508B-44F5-9107-E08B233D7CAF}"/>
    <hyperlink ref="E340" r:id="rId111" location="ara/idari/167833/179/3/1688756859822" display="https://parselsorgu.tkgm.gov.tr/ - ara/idari/167833/179/3/1688756859822" xr:uid="{C7874F95-DDA8-4445-8855-23DF85F9896C}"/>
    <hyperlink ref="E613" r:id="rId112" location="ara/idari/166938/156/2/1681935844762" display="https://parselsorgu.tkgm.gov.tr/ - ara/idari/166938/156/2/1681935844762" xr:uid="{6DC92A5B-3BB5-401E-87C5-119FADC95500}"/>
    <hyperlink ref="E612" r:id="rId113" location="ara/idari/166938/156/1/1681935834473" display="https://parselsorgu.tkgm.gov.tr/ - ara/idari/166938/156/1/1681935834473" xr:uid="{74DCD882-FD81-43DD-9D12-CCB7865F1E19}"/>
    <hyperlink ref="E611" r:id="rId114" location="ara/idari/167593/193/485/1681761036314" display="https://parselsorgu.tkgm.gov.tr/ - ara/idari/167593/193/485/1681761036314" xr:uid="{666E76FB-6EEB-4863-A20D-404387BF3461}"/>
    <hyperlink ref="F30" location="'Master Liste'!G150" display="'Master Liste'!G150" xr:uid="{24197D58-7C8D-43A0-B34C-73ACA7AA47BF}"/>
    <hyperlink ref="F45" location="'Master Liste'!F351" display="'Master Liste'!F351" xr:uid="{98F9BEC3-B4C7-4F15-B60A-F27D9FE76561}"/>
    <hyperlink ref="F203" location="'Master Liste'!G144" display="'Master Liste'!G144" xr:uid="{9A19902B-D70B-4C36-B2A9-4401D5F0799F}"/>
    <hyperlink ref="F34" location="'Master Liste'!G152" display="'Master Liste'!G152" xr:uid="{B7B604EA-0267-4B8D-B933-DAFD54D3E708}"/>
    <hyperlink ref="F9" location="'Master Liste'!G152" display="'Master Liste'!G152" xr:uid="{9087E78E-0E1D-4005-861A-56BDBACAC952}"/>
    <hyperlink ref="F37" location="'Master Liste'!F109" display="'Master Liste'!F109" xr:uid="{52E43DA8-D551-4577-AD47-A91083C88BB5}"/>
    <hyperlink ref="F3" location="'Master Liste'!F109" display="'Master Liste'!F109" xr:uid="{BFBEE4F4-D4B0-4F24-AE76-262CB13769D7}"/>
    <hyperlink ref="F53" location="'Master Liste'!F115" display="'Master Liste'!F115" xr:uid="{D4F1347B-50F3-48A4-A62F-4E9ECA902B28}"/>
    <hyperlink ref="F10" location="'Master Liste'!F119" display="'Master Liste'!F119" xr:uid="{B9A5039C-90D8-41D6-8238-79E46E5908B0}"/>
    <hyperlink ref="F48" location="'Master Liste'!F120" display="'Master Liste'!F120" xr:uid="{B54DC5F3-EA56-46AF-A4EA-13F582B031BA}"/>
    <hyperlink ref="F49" location="'Master Liste'!F120" display="'Master Liste'!F120" xr:uid="{FF70BFCE-12AB-4A66-BA62-09D8E37A28F5}"/>
    <hyperlink ref="F4" location="'Master Liste'!F121" display="'Master Liste'!F121" xr:uid="{A52F2763-03A4-4D22-93F7-92398F1433F2}"/>
    <hyperlink ref="F6" location="'Master Liste'!F121" display="'Master Liste'!F121" xr:uid="{EE16616B-3A3F-4452-A228-4BC809486945}"/>
    <hyperlink ref="F2" location="'Master Liste'!F110" display="'Master Liste'!F110" xr:uid="{83618A3B-493C-49B1-9BB8-D7864AC9C36A}"/>
    <hyperlink ref="F52" location="'Master Liste'!G122" display="'Master Liste'!G122" xr:uid="{084BDBD7-317D-443F-BF2D-84BE18A45B58}"/>
    <hyperlink ref="F15" location="'Master Liste'!G122" display="'Master Liste'!G122" xr:uid="{5F5ECF15-FE8B-4153-B6BD-7ED8C59DBCE0}"/>
    <hyperlink ref="F31" location="'Master Liste'!G135" display="'Master Liste'!G135" xr:uid="{EB99D98A-5A32-489A-9641-DCE7F42CC876}"/>
    <hyperlink ref="F35" location="'Master Liste'!G135" display="'Master Liste'!G135" xr:uid="{ACC212BF-372F-430C-B06C-ADBAB466D8DE}"/>
    <hyperlink ref="F46" location="'Master Liste'!G140" display="'Master Liste'!G140" xr:uid="{ACB8D76C-6566-4383-B3EF-C345C6DAF772}"/>
    <hyperlink ref="F17" location="'Master Liste'!G140" display="'Master Liste'!G140" xr:uid="{7A7608FA-06E5-4822-8EBD-29BF3823F510}"/>
    <hyperlink ref="F44" location="'Master Liste'!G141" display="'Master Liste'!G141" xr:uid="{F135C550-6E4E-49D0-A9EE-35860BCA81BA}"/>
    <hyperlink ref="F18" location="'Master Liste'!G143" display="'Master Liste'!G143" xr:uid="{6155AC7F-45A7-4EF0-966B-E92671FC6E9F}"/>
    <hyperlink ref="F43" location="'Master Liste'!G143" display="'Master Liste'!G143" xr:uid="{D18526BF-4F4A-4AF7-8183-26ADE90D0438}"/>
    <hyperlink ref="F7" location="'Master Liste'!G113" display="'Master Liste'!G113" xr:uid="{643DA18F-E421-47EC-B178-493BBEA96074}"/>
    <hyperlink ref="F8" location="'Master Liste'!G113" display="'Master Liste'!G113" xr:uid="{8CC968A8-3FF4-4084-8333-52A4D952E7C5}"/>
    <hyperlink ref="F29" location="'Master Liste'!F139" display="'Master Liste'!F139" xr:uid="{E129B2AF-A9C3-4C11-88BB-CE112FEA1620}"/>
    <hyperlink ref="E38" r:id="rId115" location="ara/idari/167833/168/4/1695925833114" display="https://parselsorgu.tkgm.gov.tr/ - ara/idari/167833/168/4/1695925833114" xr:uid="{833736AC-C31C-4420-8424-6A42430CD863}"/>
    <hyperlink ref="E25" r:id="rId116" location="ara/idari/167833/168/3/1695925824358" display="https://parselsorgu.tkgm.gov.tr/ - ara/idari/167833/168/3/1695925824358" xr:uid="{78DAEB3F-E964-46FA-9307-392D09F88CAA}"/>
    <hyperlink ref="E41" r:id="rId117" location="ara/idari/167833/168/2/1695925811098" display="https://parselsorgu.tkgm.gov.tr/ - ara/idari/167833/168/2/1695925811098" xr:uid="{6115FDC6-7700-43DA-A103-671083486C46}"/>
    <hyperlink ref="E20" r:id="rId118" location="ara/idari/167833/165/7/1695753993530" display="https://parselsorgu.tkgm.gov.tr/ - ara/idari/167833/165/7/1695753993530" xr:uid="{A9D6EA4B-5161-49DB-B57B-E880E580771C}"/>
    <hyperlink ref="E33" r:id="rId119" location="ara/idari/167833/162/4/1695753896627" display="https://parselsorgu.tkgm.gov.tr/ - ara/idari/167833/162/4/1695753896627" xr:uid="{403DE6D3-B774-4D03-A4C2-4AE29C2F6A2C}"/>
    <hyperlink ref="E11" r:id="rId120" location="ara/idari/167833/162/11/1695753886096" display="https://parselsorgu.tkgm.gov.tr/ - ara/idari/167833/162/11/1695753886096" xr:uid="{4E4133EC-A17A-466E-9168-FB17A332EADD}"/>
    <hyperlink ref="E12" r:id="rId121" location="ara/idari/167833/162/2/1695753699296" display="https://parselsorgu.tkgm.gov.tr/ - ara/idari/167833/162/2/1695753699296" xr:uid="{8673F244-886F-440F-A4FE-146364C4F0B0}"/>
    <hyperlink ref="E23" r:id="rId122" location="ara/idari/167833/159/2/1695753646837" display="https://parselsorgu.tkgm.gov.tr/ - ara/idari/167833/159/2/1695753646837" xr:uid="{D16B2B3E-A973-4A9C-A242-0BB6ADCAAB5A}"/>
    <hyperlink ref="E28" r:id="rId123" location="ara/idari/167833/170/7/1695753550428" display="https://parselsorgu.tkgm.gov.tr/ - ara/idari/167833/170/7/1695753550428" xr:uid="{C5FFB155-7FE3-415F-989E-A35CFB92B591}"/>
    <hyperlink ref="E21" r:id="rId124" location="ara/idari/167833/163/10/1695753532910" display="https://parselsorgu.tkgm.gov.tr/ - ara/idari/167833/163/10/1695753532910" xr:uid="{19ADBEDB-C3E0-4682-A175-F7F68F959727}"/>
    <hyperlink ref="E24" r:id="rId125" location="ara/idari/167833/163/8/1695753517734" display="https://parselsorgu.tkgm.gov.tr/ - ara/idari/167833/163/8/1695753517734" xr:uid="{29690CAB-D79A-41E2-998D-21667DCBBA37}"/>
    <hyperlink ref="E42" r:id="rId126" location="ara/idari/167833/163/4/1695753503520" display="https://parselsorgu.tkgm.gov.tr/ - ara/idari/167833/163/4/1695753503520" xr:uid="{B559B5B6-68CD-4252-A50D-C0CF17CD597D}"/>
    <hyperlink ref="E13" r:id="rId127" location="ara/idari/167833/163/3/1695753491191" display="https://parselsorgu.tkgm.gov.tr/ - ara/idari/167833/163/3/1695753491191" xr:uid="{BCB48F6C-BA65-4CC1-B21D-A6200DED32B1}"/>
    <hyperlink ref="E32" r:id="rId128" location="ara/idari/167833/169/2/1690228232405" display="https://parselsorgu.tkgm.gov.tr/ - ara/idari/167833/169/2/1690228232405" xr:uid="{3F0F6815-0E1F-4CD9-9E52-973CC18D4650}"/>
    <hyperlink ref="F50" location="'Master Liste'!F351" display="'Master Liste'!F351" xr:uid="{655845A4-EE4E-4368-BEFC-F1EBAF208AEA}"/>
    <hyperlink ref="E27" r:id="rId129" location="ara/idari/167833/181/11/1695753614872" display="https://parselsorgu.tkgm.gov.tr/ - ara/idari/167833/181/11/1695753614872" xr:uid="{CC609F6A-892C-4A5E-A115-0D86558D0172}"/>
    <hyperlink ref="E40" r:id="rId130" location="ara/idari/167833/181/7/1695753597401" display="https://parselsorgu.tkgm.gov.tr/ - ara/idari/167833/181/7/1695753597401" xr:uid="{4EDCF687-1C60-4002-BF5C-7F9CB858D193}"/>
    <hyperlink ref="E16" r:id="rId131" location="ara/idari/167833/181/3/1695753585140" display="https://parselsorgu.tkgm.gov.tr/ - ara/idari/167833/181/3/1695753585140" xr:uid="{A6DBDB7A-E470-46A6-A5AD-B142122AE4C9}"/>
    <hyperlink ref="E22" r:id="rId132" location="ara/idari/167833/180/2/1695753574246" display="https://parselsorgu.tkgm.gov.tr/ - ara/idari/167833/180/2/1695753574246" xr:uid="{B36FB04A-B562-4756-8876-B3028021E945}"/>
    <hyperlink ref="E26" r:id="rId133" location="ara/idari/167833/171/8/1681934143006" display="https://parselsorgu.tkgm.gov.tr/ - ara/idari/167833/171/8/1681934143006" xr:uid="{33FCA540-EF2D-4BA7-8E5C-42FD654D1A2D}"/>
    <hyperlink ref="F36" location="'Master Liste'!G151" display="9" xr:uid="{DDBC890C-233A-4F2A-A76A-BA671F044A15}"/>
    <hyperlink ref="F14" location="'Master Liste'!G151" display="10" xr:uid="{47167DFA-BA8E-44B2-B85C-89FFECB16345}"/>
    <hyperlink ref="F619" location="'Master Liste'!F456" display="6" xr:uid="{794EB161-CD84-4DE9-BD5A-4D21895770AF}"/>
    <hyperlink ref="F620" location="'Master Liste'!F456" display="7" xr:uid="{D750472A-ABDD-4744-A5FD-8A77E41AC655}"/>
    <hyperlink ref="F621" location="'Master Liste'!F457" display="9" xr:uid="{281C1221-AF8D-4136-9D16-A1F5E0525451}"/>
    <hyperlink ref="F622" r:id="rId134" display="10" xr:uid="{5C467155-141E-4F55-B137-2B77F86D4BB6}"/>
    <hyperlink ref="E638" r:id="rId135" location="ara/idari/169576/140/2/1681935686319" display="https://parselsorgu.tkgm.gov.tr/ - ara/idari/169576/140/2/1681935686319" xr:uid="{5A36EB26-337F-42ED-8E2F-D7ECE71FCFA5}"/>
    <hyperlink ref="E636" r:id="rId136" location="ara/idari/169576/128/2/1681931831056" display="https://parselsorgu.tkgm.gov.tr/ - ara/idari/169576/128/2/1681931831056" xr:uid="{A00D6522-4CC2-4D5E-970E-FD834CE6AADA}"/>
    <hyperlink ref="E637" r:id="rId137" location="ara/idari/169576/128/3/1681935699101" display="https://parselsorgu.tkgm.gov.tr/ - ara/idari/169576/128/3/1681935699101" xr:uid="{5D5396D8-DCD9-4B76-9073-C2DEFAEDF380}"/>
    <hyperlink ref="E642" r:id="rId138" location="ara/idari/149568/102/4/1681935629313" display="https://parselsorgu.tkgm.gov.tr/ - ara/idari/149568/102/4/1681935629313" xr:uid="{DBD9BD7F-16F8-4CCB-BA18-BC252EA9F1A0}"/>
    <hyperlink ref="E641" r:id="rId139" location="ara/idari/149568/101/10/1681935644491" display="https://parselsorgu.tkgm.gov.tr/ - ara/idari/149568/101/10/1681935644491" xr:uid="{067B279D-3C2D-4824-9946-7BE25E021F03}"/>
    <hyperlink ref="E643" r:id="rId140" location="ara/idari/149568/102/8/1681935664282" display="https://parselsorgu.tkgm.gov.tr/ - ara/idari/149568/102/8/1681935664282" xr:uid="{4BCE1E2C-D03D-474C-BB33-90E8419D297D}"/>
    <hyperlink ref="C644" r:id="rId141" xr:uid="{29DF14F9-3DC5-49EF-B370-11A13A2B089B}"/>
    <hyperlink ref="E651" r:id="rId142" location="ara/idari/171373/319/12/1695926193997" display="https://parselsorgu.tkgm.gov.tr/ - ara/idari/171373/319/12/1695926193997" xr:uid="{63657F2B-6204-41C6-9DA4-15962B609455}"/>
    <hyperlink ref="E650" r:id="rId143" location="ara/idari/171373/319/10/1695926185672" display="https://parselsorgu.tkgm.gov.tr/ - ara/idari/171373/319/10/1695926185672" xr:uid="{8C48D4C5-D4DE-488D-B03C-A548DD22E22C}"/>
    <hyperlink ref="E649" r:id="rId144" location="ara/idari/171373/315/31/1695926175078" display="https://parselsorgu.tkgm.gov.tr/ - ara/idari/171373/315/31/1695926175078" xr:uid="{821FD77A-2091-429A-B25C-74FCB736B369}"/>
    <hyperlink ref="E648" r:id="rId145" location="ara/idari/171373/313/9/1681934828246" display="https://parselsorgu.tkgm.gov.tr/ - ara/idari/171373/313/9/1681934828246" xr:uid="{547F5DF4-BF09-439F-A42D-17F9F45DC987}"/>
    <hyperlink ref="E647" r:id="rId146" location="ara/idari/171373/313/8/1681934773645" display="https://parselsorgu.tkgm.gov.tr/ - ara/idari/171373/313/8/1681934773645" xr:uid="{88109B57-9DB3-4B4C-BDB3-496D6E95A977}"/>
    <hyperlink ref="E645" r:id="rId147" location="ara/idari/166963/141/3/1681934238702" display="https://parselsorgu.tkgm.gov.tr/ - ara/idari/166963/141/3/1681934238702" xr:uid="{B16FDF78-E5E3-4756-874E-83B496558171}"/>
    <hyperlink ref="E646" r:id="rId148" location="ara/idari/166957/141/6/1681934172748" display="https://parselsorgu.tkgm.gov.tr/ - ara/idari/166957/141/6/1681934172748" xr:uid="{6ED4AFD5-B171-4A42-AD37-7F59F4FE9790}"/>
    <hyperlink ref="E644" r:id="rId149" location="ara/idari/166963/138/4/1681671516588" display="https://parselsorgu.tkgm.gov.tr/ - ara/idari/166963/138/4/1681671516588" xr:uid="{3326D5E1-ABBC-40A9-8F9F-95357098CB61}"/>
    <hyperlink ref="F95" location="'Master Liste'!F118" display="'Master Liste'!F118" xr:uid="{F0758BDB-6FFA-49D4-8D72-B59EF5F8203D}"/>
    <hyperlink ref="F121" location="'Master Liste'!F119" display="'Master Liste'!F119" xr:uid="{D20D450C-01BE-4DEF-94F8-9169AE07EBDF}"/>
    <hyperlink ref="F223" location="'Master Liste'!G153" display="'Master Liste'!G153" xr:uid="{5D2B9FA4-0F72-43C9-B886-B4678595FAE5}"/>
    <hyperlink ref="F85" location="'Master Liste'!F115" display="'Master Liste'!F115" xr:uid="{8EE778E8-9D44-4B4B-BF7B-30CA673F2B0F}"/>
    <hyperlink ref="F83" location="'Master Liste'!G124" display="'Master Liste'!G124" xr:uid="{EC60FAC0-1D28-4FC4-A977-DFA0CEEED8FD}"/>
    <hyperlink ref="F192" location="'Master Liste'!F139" display="'Master Liste'!F139" xr:uid="{3EF7DB91-A560-4C17-B6C2-5D6091420941}"/>
  </hyperlinks>
  <pageMargins left="0.7" right="0.7" top="0.75" bottom="0.75" header="0.3" footer="0.3"/>
  <legacyDrawing r:id="rId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2873-2709-4AB0-BA1A-29689151E2D7}">
  <dimension ref="A1:S14"/>
  <sheetViews>
    <sheetView workbookViewId="0">
      <selection activeCell="B18" sqref="B18"/>
    </sheetView>
  </sheetViews>
  <sheetFormatPr defaultRowHeight="14.4"/>
  <cols>
    <col min="1" max="1" width="9.5546875" bestFit="1" customWidth="1"/>
    <col min="2" max="2" width="8.6640625" bestFit="1" customWidth="1"/>
    <col min="3" max="3" width="10.88671875" bestFit="1" customWidth="1"/>
    <col min="4" max="4" width="6.88671875" bestFit="1" customWidth="1"/>
    <col min="5" max="5" width="5.44140625" bestFit="1" customWidth="1"/>
    <col min="6" max="6" width="8.5546875" bestFit="1" customWidth="1"/>
    <col min="7" max="7" width="7.5546875" bestFit="1" customWidth="1"/>
    <col min="8" max="8" width="11" bestFit="1" customWidth="1"/>
    <col min="9" max="9" width="13.33203125" bestFit="1" customWidth="1"/>
    <col min="10" max="10" width="12.6640625" customWidth="1"/>
    <col min="11" max="11" width="11.6640625" bestFit="1" customWidth="1"/>
    <col min="12" max="12" width="9.5546875" bestFit="1" customWidth="1"/>
    <col min="13" max="14" width="11.6640625" bestFit="1" customWidth="1"/>
    <col min="15" max="15" width="10.5546875" bestFit="1" customWidth="1"/>
    <col min="16" max="16" width="9.5546875" bestFit="1" customWidth="1"/>
    <col min="17" max="18" width="11.6640625" bestFit="1" customWidth="1"/>
    <col min="19" max="19" width="10.5546875" bestFit="1" customWidth="1"/>
  </cols>
  <sheetData>
    <row r="1" spans="1:19" ht="48" customHeight="1">
      <c r="A1" s="119" t="s">
        <v>114</v>
      </c>
      <c r="B1" s="120" t="s">
        <v>115</v>
      </c>
      <c r="C1" s="120" t="s">
        <v>2</v>
      </c>
      <c r="D1" s="120" t="s">
        <v>116</v>
      </c>
      <c r="E1" s="120" t="s">
        <v>4</v>
      </c>
      <c r="F1" s="120" t="s">
        <v>5</v>
      </c>
      <c r="G1" s="120" t="s">
        <v>117</v>
      </c>
      <c r="H1" s="120" t="s">
        <v>118</v>
      </c>
      <c r="I1" s="120" t="s">
        <v>119</v>
      </c>
      <c r="J1" s="121" t="s">
        <v>120</v>
      </c>
      <c r="K1" s="122" t="s">
        <v>121</v>
      </c>
      <c r="L1" s="122" t="s">
        <v>122</v>
      </c>
      <c r="M1" s="122" t="s">
        <v>123</v>
      </c>
      <c r="N1" s="122" t="s">
        <v>124</v>
      </c>
      <c r="O1" s="122" t="s">
        <v>125</v>
      </c>
      <c r="P1" s="122" t="s">
        <v>126</v>
      </c>
      <c r="Q1" s="122" t="s">
        <v>127</v>
      </c>
      <c r="R1" s="122" t="s">
        <v>128</v>
      </c>
      <c r="S1" s="122" t="s">
        <v>129</v>
      </c>
    </row>
    <row r="2" spans="1:19">
      <c r="A2" s="123" t="s">
        <v>14</v>
      </c>
      <c r="B2" s="124" t="s">
        <v>33</v>
      </c>
      <c r="C2" s="124" t="s">
        <v>42</v>
      </c>
      <c r="D2" s="124">
        <v>390.18</v>
      </c>
      <c r="E2" s="124">
        <v>122</v>
      </c>
      <c r="F2" s="124">
        <v>37</v>
      </c>
      <c r="G2" s="124" t="s">
        <v>130</v>
      </c>
      <c r="H2" s="124">
        <v>2500</v>
      </c>
      <c r="I2" s="125">
        <v>980000</v>
      </c>
      <c r="J2" s="125">
        <v>1750</v>
      </c>
      <c r="K2" s="125">
        <f t="shared" ref="K2:K14" si="0">ROUND(J2*D2,-4)</f>
        <v>680000</v>
      </c>
      <c r="L2" s="125">
        <f t="shared" ref="L2:L14" si="1">1.1*J2</f>
        <v>1925.0000000000002</v>
      </c>
      <c r="M2" s="125">
        <f t="shared" ref="M2:M14" si="2">ROUND(L2*D2,-4)</f>
        <v>750000</v>
      </c>
      <c r="N2" s="125">
        <f t="shared" ref="N2:N14" si="3">M2/2</f>
        <v>375000</v>
      </c>
      <c r="O2" s="125">
        <f t="shared" ref="O2:O14" si="4">N2/12</f>
        <v>31250</v>
      </c>
      <c r="P2" s="125">
        <f t="shared" ref="P2:P14" si="5">L2*1.1</f>
        <v>2117.5000000000005</v>
      </c>
      <c r="Q2" s="125">
        <f t="shared" ref="Q2:Q14" si="6">ROUND(P2*D2,-4)</f>
        <v>830000</v>
      </c>
      <c r="R2" s="125">
        <f t="shared" ref="R2:R14" si="7">Q2/2</f>
        <v>415000</v>
      </c>
      <c r="S2" s="125">
        <f t="shared" ref="S2:S14" si="8">R2/24</f>
        <v>17291.666666666668</v>
      </c>
    </row>
    <row r="3" spans="1:19">
      <c r="A3" s="123" t="s">
        <v>14</v>
      </c>
      <c r="B3" s="124" t="s">
        <v>33</v>
      </c>
      <c r="C3" s="124" t="s">
        <v>42</v>
      </c>
      <c r="D3" s="124">
        <v>390.26</v>
      </c>
      <c r="E3" s="124">
        <v>122</v>
      </c>
      <c r="F3" s="124">
        <v>38</v>
      </c>
      <c r="G3" s="124" t="s">
        <v>130</v>
      </c>
      <c r="H3" s="124">
        <v>2500</v>
      </c>
      <c r="I3" s="125">
        <v>980000</v>
      </c>
      <c r="J3" s="125">
        <v>1750</v>
      </c>
      <c r="K3" s="125">
        <f t="shared" si="0"/>
        <v>680000</v>
      </c>
      <c r="L3" s="125">
        <f t="shared" si="1"/>
        <v>1925.0000000000002</v>
      </c>
      <c r="M3" s="125">
        <f t="shared" si="2"/>
        <v>750000</v>
      </c>
      <c r="N3" s="125">
        <f t="shared" si="3"/>
        <v>375000</v>
      </c>
      <c r="O3" s="125">
        <f t="shared" si="4"/>
        <v>31250</v>
      </c>
      <c r="P3" s="125">
        <f t="shared" si="5"/>
        <v>2117.5000000000005</v>
      </c>
      <c r="Q3" s="125">
        <f t="shared" si="6"/>
        <v>830000</v>
      </c>
      <c r="R3" s="125">
        <f t="shared" si="7"/>
        <v>415000</v>
      </c>
      <c r="S3" s="125">
        <f t="shared" si="8"/>
        <v>17291.666666666668</v>
      </c>
    </row>
    <row r="4" spans="1:19">
      <c r="A4" s="123" t="s">
        <v>14</v>
      </c>
      <c r="B4" s="124" t="s">
        <v>33</v>
      </c>
      <c r="C4" s="124" t="s">
        <v>42</v>
      </c>
      <c r="D4" s="124">
        <v>391.1</v>
      </c>
      <c r="E4" s="124">
        <v>122</v>
      </c>
      <c r="F4" s="124">
        <v>39</v>
      </c>
      <c r="G4" s="124" t="s">
        <v>130</v>
      </c>
      <c r="H4" s="124">
        <v>2500</v>
      </c>
      <c r="I4" s="125">
        <v>980000</v>
      </c>
      <c r="J4" s="125">
        <v>1750</v>
      </c>
      <c r="K4" s="125">
        <f t="shared" si="0"/>
        <v>680000</v>
      </c>
      <c r="L4" s="125">
        <f t="shared" si="1"/>
        <v>1925.0000000000002</v>
      </c>
      <c r="M4" s="125">
        <f t="shared" si="2"/>
        <v>750000</v>
      </c>
      <c r="N4" s="125">
        <f t="shared" si="3"/>
        <v>375000</v>
      </c>
      <c r="O4" s="125">
        <f t="shared" si="4"/>
        <v>31250</v>
      </c>
      <c r="P4" s="125">
        <f t="shared" si="5"/>
        <v>2117.5000000000005</v>
      </c>
      <c r="Q4" s="125">
        <f t="shared" si="6"/>
        <v>830000</v>
      </c>
      <c r="R4" s="125">
        <f t="shared" si="7"/>
        <v>415000</v>
      </c>
      <c r="S4" s="125">
        <f t="shared" si="8"/>
        <v>17291.666666666668</v>
      </c>
    </row>
    <row r="5" spans="1:19">
      <c r="A5" s="123" t="s">
        <v>14</v>
      </c>
      <c r="B5" s="124" t="s">
        <v>33</v>
      </c>
      <c r="C5" s="124" t="s">
        <v>42</v>
      </c>
      <c r="D5" s="124">
        <v>394.87</v>
      </c>
      <c r="E5" s="124">
        <v>118</v>
      </c>
      <c r="F5" s="124">
        <v>17</v>
      </c>
      <c r="G5" s="124" t="s">
        <v>130</v>
      </c>
      <c r="H5" s="124">
        <v>2500</v>
      </c>
      <c r="I5" s="125">
        <v>990000</v>
      </c>
      <c r="J5" s="125">
        <v>1750</v>
      </c>
      <c r="K5" s="125">
        <f t="shared" si="0"/>
        <v>690000</v>
      </c>
      <c r="L5" s="125">
        <f t="shared" si="1"/>
        <v>1925.0000000000002</v>
      </c>
      <c r="M5" s="125">
        <f t="shared" si="2"/>
        <v>760000</v>
      </c>
      <c r="N5" s="125">
        <f t="shared" si="3"/>
        <v>380000</v>
      </c>
      <c r="O5" s="125">
        <f t="shared" si="4"/>
        <v>31666.666666666668</v>
      </c>
      <c r="P5" s="125">
        <f t="shared" si="5"/>
        <v>2117.5000000000005</v>
      </c>
      <c r="Q5" s="125">
        <f t="shared" si="6"/>
        <v>840000</v>
      </c>
      <c r="R5" s="125">
        <f t="shared" si="7"/>
        <v>420000</v>
      </c>
      <c r="S5" s="125">
        <f t="shared" si="8"/>
        <v>17500</v>
      </c>
    </row>
    <row r="6" spans="1:19">
      <c r="A6" s="123" t="s">
        <v>14</v>
      </c>
      <c r="B6" s="124" t="s">
        <v>33</v>
      </c>
      <c r="C6" s="124" t="s">
        <v>42</v>
      </c>
      <c r="D6" s="124">
        <v>396.54</v>
      </c>
      <c r="E6" s="124">
        <v>122</v>
      </c>
      <c r="F6" s="124">
        <v>17</v>
      </c>
      <c r="G6" s="124" t="s">
        <v>130</v>
      </c>
      <c r="H6" s="124">
        <v>2500</v>
      </c>
      <c r="I6" s="125">
        <v>990000</v>
      </c>
      <c r="J6" s="125">
        <v>1750</v>
      </c>
      <c r="K6" s="125">
        <f t="shared" si="0"/>
        <v>690000</v>
      </c>
      <c r="L6" s="125">
        <f t="shared" si="1"/>
        <v>1925.0000000000002</v>
      </c>
      <c r="M6" s="125">
        <f t="shared" si="2"/>
        <v>760000</v>
      </c>
      <c r="N6" s="125">
        <f t="shared" si="3"/>
        <v>380000</v>
      </c>
      <c r="O6" s="125">
        <f t="shared" si="4"/>
        <v>31666.666666666668</v>
      </c>
      <c r="P6" s="125">
        <f t="shared" si="5"/>
        <v>2117.5000000000005</v>
      </c>
      <c r="Q6" s="125">
        <f t="shared" si="6"/>
        <v>840000</v>
      </c>
      <c r="R6" s="125">
        <f t="shared" si="7"/>
        <v>420000</v>
      </c>
      <c r="S6" s="125">
        <f t="shared" si="8"/>
        <v>17500</v>
      </c>
    </row>
    <row r="7" spans="1:19">
      <c r="A7" s="123" t="s">
        <v>14</v>
      </c>
      <c r="B7" s="124" t="s">
        <v>33</v>
      </c>
      <c r="C7" s="124" t="s">
        <v>42</v>
      </c>
      <c r="D7" s="124">
        <v>396.65</v>
      </c>
      <c r="E7" s="124">
        <v>122</v>
      </c>
      <c r="F7" s="126">
        <v>18</v>
      </c>
      <c r="G7" s="124" t="s">
        <v>130</v>
      </c>
      <c r="H7" s="124">
        <v>2500</v>
      </c>
      <c r="I7" s="125">
        <v>990000</v>
      </c>
      <c r="J7" s="125">
        <v>1750</v>
      </c>
      <c r="K7" s="125">
        <f t="shared" si="0"/>
        <v>690000</v>
      </c>
      <c r="L7" s="125">
        <f t="shared" si="1"/>
        <v>1925.0000000000002</v>
      </c>
      <c r="M7" s="125">
        <f t="shared" si="2"/>
        <v>760000</v>
      </c>
      <c r="N7" s="125">
        <f t="shared" si="3"/>
        <v>380000</v>
      </c>
      <c r="O7" s="125">
        <f t="shared" si="4"/>
        <v>31666.666666666668</v>
      </c>
      <c r="P7" s="125">
        <f t="shared" si="5"/>
        <v>2117.5000000000005</v>
      </c>
      <c r="Q7" s="125">
        <f t="shared" si="6"/>
        <v>840000</v>
      </c>
      <c r="R7" s="125">
        <f t="shared" si="7"/>
        <v>420000</v>
      </c>
      <c r="S7" s="125">
        <f t="shared" si="8"/>
        <v>17500</v>
      </c>
    </row>
    <row r="8" spans="1:19">
      <c r="A8" s="123" t="s">
        <v>14</v>
      </c>
      <c r="B8" s="124" t="s">
        <v>33</v>
      </c>
      <c r="C8" s="124" t="s">
        <v>42</v>
      </c>
      <c r="D8" s="124">
        <v>413.58</v>
      </c>
      <c r="E8" s="124">
        <v>122</v>
      </c>
      <c r="F8" s="124">
        <v>28</v>
      </c>
      <c r="G8" s="124" t="s">
        <v>130</v>
      </c>
      <c r="H8" s="124">
        <v>2500</v>
      </c>
      <c r="I8" s="125">
        <v>1030000</v>
      </c>
      <c r="J8" s="125">
        <v>1750</v>
      </c>
      <c r="K8" s="125">
        <f t="shared" si="0"/>
        <v>720000</v>
      </c>
      <c r="L8" s="125">
        <f t="shared" si="1"/>
        <v>1925.0000000000002</v>
      </c>
      <c r="M8" s="125">
        <f t="shared" si="2"/>
        <v>800000</v>
      </c>
      <c r="N8" s="125">
        <f t="shared" si="3"/>
        <v>400000</v>
      </c>
      <c r="O8" s="125">
        <f t="shared" si="4"/>
        <v>33333.333333333336</v>
      </c>
      <c r="P8" s="125">
        <f t="shared" si="5"/>
        <v>2117.5000000000005</v>
      </c>
      <c r="Q8" s="125">
        <f t="shared" si="6"/>
        <v>880000</v>
      </c>
      <c r="R8" s="125">
        <f t="shared" si="7"/>
        <v>440000</v>
      </c>
      <c r="S8" s="125">
        <f t="shared" si="8"/>
        <v>18333.333333333332</v>
      </c>
    </row>
    <row r="9" spans="1:19">
      <c r="A9" s="123" t="s">
        <v>14</v>
      </c>
      <c r="B9" s="124" t="s">
        <v>33</v>
      </c>
      <c r="C9" s="124" t="s">
        <v>42</v>
      </c>
      <c r="D9" s="124">
        <v>417.69</v>
      </c>
      <c r="E9" s="124">
        <v>122</v>
      </c>
      <c r="F9" s="126">
        <v>16</v>
      </c>
      <c r="G9" s="124" t="s">
        <v>130</v>
      </c>
      <c r="H9" s="124">
        <v>2500</v>
      </c>
      <c r="I9" s="125">
        <v>1040000</v>
      </c>
      <c r="J9" s="125">
        <v>1750</v>
      </c>
      <c r="K9" s="125">
        <f t="shared" si="0"/>
        <v>730000</v>
      </c>
      <c r="L9" s="125">
        <f t="shared" si="1"/>
        <v>1925.0000000000002</v>
      </c>
      <c r="M9" s="125">
        <f t="shared" si="2"/>
        <v>800000</v>
      </c>
      <c r="N9" s="125">
        <f t="shared" si="3"/>
        <v>400000</v>
      </c>
      <c r="O9" s="125">
        <f t="shared" si="4"/>
        <v>33333.333333333336</v>
      </c>
      <c r="P9" s="125">
        <f t="shared" si="5"/>
        <v>2117.5000000000005</v>
      </c>
      <c r="Q9" s="125">
        <f t="shared" si="6"/>
        <v>880000</v>
      </c>
      <c r="R9" s="125">
        <f t="shared" si="7"/>
        <v>440000</v>
      </c>
      <c r="S9" s="125">
        <f t="shared" si="8"/>
        <v>18333.333333333332</v>
      </c>
    </row>
    <row r="10" spans="1:19">
      <c r="A10" s="123" t="s">
        <v>14</v>
      </c>
      <c r="B10" s="124" t="s">
        <v>33</v>
      </c>
      <c r="C10" s="124" t="s">
        <v>42</v>
      </c>
      <c r="D10" s="124">
        <v>423.76</v>
      </c>
      <c r="E10" s="124">
        <v>121</v>
      </c>
      <c r="F10" s="126">
        <v>12</v>
      </c>
      <c r="G10" s="124" t="s">
        <v>130</v>
      </c>
      <c r="H10" s="124">
        <v>2500</v>
      </c>
      <c r="I10" s="125">
        <v>1060000</v>
      </c>
      <c r="J10" s="125">
        <v>1750</v>
      </c>
      <c r="K10" s="125">
        <f t="shared" si="0"/>
        <v>740000</v>
      </c>
      <c r="L10" s="125">
        <f t="shared" si="1"/>
        <v>1925.0000000000002</v>
      </c>
      <c r="M10" s="125">
        <f t="shared" si="2"/>
        <v>820000</v>
      </c>
      <c r="N10" s="125">
        <f t="shared" si="3"/>
        <v>410000</v>
      </c>
      <c r="O10" s="125">
        <f t="shared" si="4"/>
        <v>34166.666666666664</v>
      </c>
      <c r="P10" s="125">
        <f t="shared" si="5"/>
        <v>2117.5000000000005</v>
      </c>
      <c r="Q10" s="125">
        <f t="shared" si="6"/>
        <v>900000</v>
      </c>
      <c r="R10" s="125">
        <f t="shared" si="7"/>
        <v>450000</v>
      </c>
      <c r="S10" s="125">
        <f t="shared" si="8"/>
        <v>18750</v>
      </c>
    </row>
    <row r="11" spans="1:19">
      <c r="A11" s="123" t="s">
        <v>14</v>
      </c>
      <c r="B11" s="124" t="s">
        <v>33</v>
      </c>
      <c r="C11" s="124" t="s">
        <v>42</v>
      </c>
      <c r="D11" s="124">
        <v>454.13</v>
      </c>
      <c r="E11" s="124">
        <v>117</v>
      </c>
      <c r="F11" s="124">
        <v>20</v>
      </c>
      <c r="G11" s="124" t="s">
        <v>130</v>
      </c>
      <c r="H11" s="124">
        <v>2500</v>
      </c>
      <c r="I11" s="125">
        <v>1140000</v>
      </c>
      <c r="J11" s="125">
        <v>1750</v>
      </c>
      <c r="K11" s="125">
        <f t="shared" si="0"/>
        <v>790000</v>
      </c>
      <c r="L11" s="125">
        <f t="shared" si="1"/>
        <v>1925.0000000000002</v>
      </c>
      <c r="M11" s="125">
        <f t="shared" si="2"/>
        <v>870000</v>
      </c>
      <c r="N11" s="125">
        <f t="shared" si="3"/>
        <v>435000</v>
      </c>
      <c r="O11" s="125">
        <f t="shared" si="4"/>
        <v>36250</v>
      </c>
      <c r="P11" s="125">
        <f t="shared" si="5"/>
        <v>2117.5000000000005</v>
      </c>
      <c r="Q11" s="125">
        <f t="shared" si="6"/>
        <v>960000</v>
      </c>
      <c r="R11" s="125">
        <f t="shared" si="7"/>
        <v>480000</v>
      </c>
      <c r="S11" s="125">
        <f t="shared" si="8"/>
        <v>20000</v>
      </c>
    </row>
    <row r="12" spans="1:19">
      <c r="A12" s="123" t="s">
        <v>14</v>
      </c>
      <c r="B12" s="124" t="s">
        <v>33</v>
      </c>
      <c r="C12" s="124" t="s">
        <v>42</v>
      </c>
      <c r="D12" s="124">
        <v>460</v>
      </c>
      <c r="E12" s="124">
        <v>118</v>
      </c>
      <c r="F12" s="124">
        <v>20</v>
      </c>
      <c r="G12" s="124" t="s">
        <v>130</v>
      </c>
      <c r="H12" s="124">
        <v>2500</v>
      </c>
      <c r="I12" s="125">
        <v>1150000</v>
      </c>
      <c r="J12" s="125">
        <v>1750</v>
      </c>
      <c r="K12" s="125">
        <f t="shared" si="0"/>
        <v>810000</v>
      </c>
      <c r="L12" s="125">
        <f t="shared" si="1"/>
        <v>1925.0000000000002</v>
      </c>
      <c r="M12" s="125">
        <f t="shared" si="2"/>
        <v>890000</v>
      </c>
      <c r="N12" s="125">
        <f t="shared" si="3"/>
        <v>445000</v>
      </c>
      <c r="O12" s="125">
        <f t="shared" si="4"/>
        <v>37083.333333333336</v>
      </c>
      <c r="P12" s="125">
        <f t="shared" si="5"/>
        <v>2117.5000000000005</v>
      </c>
      <c r="Q12" s="125">
        <f t="shared" si="6"/>
        <v>970000</v>
      </c>
      <c r="R12" s="125">
        <f t="shared" si="7"/>
        <v>485000</v>
      </c>
      <c r="S12" s="125">
        <f t="shared" si="8"/>
        <v>20208.333333333332</v>
      </c>
    </row>
    <row r="13" spans="1:19">
      <c r="A13" s="123" t="s">
        <v>14</v>
      </c>
      <c r="B13" s="124" t="s">
        <v>33</v>
      </c>
      <c r="C13" s="124" t="s">
        <v>42</v>
      </c>
      <c r="D13" s="124">
        <v>460</v>
      </c>
      <c r="E13" s="124">
        <v>118</v>
      </c>
      <c r="F13" s="124">
        <v>21</v>
      </c>
      <c r="G13" s="124" t="s">
        <v>130</v>
      </c>
      <c r="H13" s="124">
        <v>2500</v>
      </c>
      <c r="I13" s="125">
        <v>1150000</v>
      </c>
      <c r="J13" s="125">
        <v>1750</v>
      </c>
      <c r="K13" s="125">
        <f t="shared" si="0"/>
        <v>810000</v>
      </c>
      <c r="L13" s="125">
        <f t="shared" si="1"/>
        <v>1925.0000000000002</v>
      </c>
      <c r="M13" s="125">
        <f t="shared" si="2"/>
        <v>890000</v>
      </c>
      <c r="N13" s="125">
        <f t="shared" si="3"/>
        <v>445000</v>
      </c>
      <c r="O13" s="125">
        <f t="shared" si="4"/>
        <v>37083.333333333336</v>
      </c>
      <c r="P13" s="125">
        <f t="shared" si="5"/>
        <v>2117.5000000000005</v>
      </c>
      <c r="Q13" s="125">
        <f t="shared" si="6"/>
        <v>970000</v>
      </c>
      <c r="R13" s="125">
        <f t="shared" si="7"/>
        <v>485000</v>
      </c>
      <c r="S13" s="125">
        <f t="shared" si="8"/>
        <v>20208.333333333332</v>
      </c>
    </row>
    <row r="14" spans="1:19">
      <c r="A14" s="123" t="s">
        <v>14</v>
      </c>
      <c r="B14" s="124" t="s">
        <v>33</v>
      </c>
      <c r="C14" s="124" t="s">
        <v>42</v>
      </c>
      <c r="D14" s="124">
        <v>460</v>
      </c>
      <c r="E14" s="124">
        <v>118</v>
      </c>
      <c r="F14" s="124">
        <v>22</v>
      </c>
      <c r="G14" s="124" t="s">
        <v>130</v>
      </c>
      <c r="H14" s="124">
        <v>2500</v>
      </c>
      <c r="I14" s="125">
        <v>1150000</v>
      </c>
      <c r="J14" s="125">
        <v>1750</v>
      </c>
      <c r="K14" s="125">
        <f t="shared" si="0"/>
        <v>810000</v>
      </c>
      <c r="L14" s="125">
        <f t="shared" si="1"/>
        <v>1925.0000000000002</v>
      </c>
      <c r="M14" s="125">
        <f t="shared" si="2"/>
        <v>890000</v>
      </c>
      <c r="N14" s="125">
        <f t="shared" si="3"/>
        <v>445000</v>
      </c>
      <c r="O14" s="125">
        <f t="shared" si="4"/>
        <v>37083.333333333336</v>
      </c>
      <c r="P14" s="125">
        <f t="shared" si="5"/>
        <v>2117.5000000000005</v>
      </c>
      <c r="Q14" s="125">
        <f t="shared" si="6"/>
        <v>970000</v>
      </c>
      <c r="R14" s="125">
        <f t="shared" si="7"/>
        <v>485000</v>
      </c>
      <c r="S14" s="125">
        <f t="shared" si="8"/>
        <v>20208.333333333332</v>
      </c>
    </row>
  </sheetData>
  <autoFilter ref="A1:S14" xr:uid="{22932873-2709-4AB0-BA1A-29689151E2D7}"/>
  <hyperlinks>
    <hyperlink ref="F7" location="RANGE!F245" display="18" xr:uid="{E949E0F0-1C8F-42AF-803B-20760EB8D838}"/>
    <hyperlink ref="F9" location="RANGE!F245" display="16" xr:uid="{A8050CAA-B96D-489F-8859-A4BB3A0ED9A1}"/>
    <hyperlink ref="F10" location="RANGE!F240" display="12" xr:uid="{5F04F6E3-04F8-4D41-ADCD-A8E8E16E2D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905F-6151-4BC9-ABC8-049D2696CEEA}">
  <dimension ref="A1:J810"/>
  <sheetViews>
    <sheetView workbookViewId="0">
      <selection activeCell="L43" sqref="L43"/>
    </sheetView>
  </sheetViews>
  <sheetFormatPr defaultRowHeight="14.4"/>
  <cols>
    <col min="1" max="1" width="11.33203125" bestFit="1" customWidth="1"/>
    <col min="2" max="2" width="12" bestFit="1" customWidth="1"/>
    <col min="3" max="3" width="15.6640625" bestFit="1" customWidth="1"/>
    <col min="4" max="4" width="16.44140625" bestFit="1" customWidth="1"/>
    <col min="5" max="5" width="8" customWidth="1"/>
    <col min="6" max="6" width="7.44140625" bestFit="1" customWidth="1"/>
    <col min="7" max="7" width="22.109375" bestFit="1" customWidth="1"/>
    <col min="8" max="8" width="14.44140625" bestFit="1" customWidth="1"/>
    <col min="9" max="9" width="27.5546875" customWidth="1"/>
    <col min="10" max="10" width="17.5546875" bestFit="1" customWidth="1"/>
  </cols>
  <sheetData>
    <row r="1" spans="1:10">
      <c r="A1" s="30" t="s">
        <v>131</v>
      </c>
      <c r="B1" s="31" t="s">
        <v>1</v>
      </c>
      <c r="C1" s="31" t="s">
        <v>2</v>
      </c>
      <c r="D1" s="31" t="s">
        <v>132</v>
      </c>
      <c r="E1" s="31" t="s">
        <v>4</v>
      </c>
      <c r="F1" s="31" t="s">
        <v>5</v>
      </c>
      <c r="G1" s="31" t="s">
        <v>133</v>
      </c>
      <c r="H1" s="31" t="s">
        <v>134</v>
      </c>
      <c r="I1" s="31" t="s">
        <v>135</v>
      </c>
      <c r="J1" s="31" t="s">
        <v>136</v>
      </c>
    </row>
    <row r="2" spans="1:10">
      <c r="A2" s="20" t="s">
        <v>14</v>
      </c>
      <c r="B2" s="20" t="s">
        <v>23</v>
      </c>
      <c r="C2" s="32" t="s">
        <v>60</v>
      </c>
      <c r="D2" s="33">
        <v>615.04999999999995</v>
      </c>
      <c r="E2" s="34">
        <v>138</v>
      </c>
      <c r="F2" s="20">
        <v>4</v>
      </c>
      <c r="G2" s="35" t="str">
        <f>C2&amp;E2&amp;F2</f>
        <v>TURPLU1384</v>
      </c>
      <c r="H2" s="20" t="s">
        <v>137</v>
      </c>
      <c r="I2" s="21">
        <v>160000</v>
      </c>
      <c r="J2" s="21">
        <v>105000</v>
      </c>
    </row>
    <row r="3" spans="1:10">
      <c r="A3" s="36" t="s">
        <v>14</v>
      </c>
      <c r="B3" s="36" t="s">
        <v>23</v>
      </c>
      <c r="C3" s="36" t="s">
        <v>41</v>
      </c>
      <c r="D3" s="37">
        <v>952.16</v>
      </c>
      <c r="E3" s="36">
        <v>135</v>
      </c>
      <c r="F3" s="36">
        <v>5</v>
      </c>
      <c r="G3" s="35" t="str">
        <f t="shared" ref="G3:G66" si="0">C3&amp;E3&amp;F3</f>
        <v>BÜYÜKPINAR1355</v>
      </c>
      <c r="H3" s="36" t="s">
        <v>137</v>
      </c>
      <c r="I3" s="38">
        <v>70000</v>
      </c>
      <c r="J3" s="38">
        <v>80000</v>
      </c>
    </row>
    <row r="4" spans="1:10">
      <c r="A4" s="36" t="s">
        <v>14</v>
      </c>
      <c r="B4" s="36" t="s">
        <v>23</v>
      </c>
      <c r="C4" s="36" t="s">
        <v>41</v>
      </c>
      <c r="D4" s="37">
        <v>1130.52</v>
      </c>
      <c r="E4" s="36">
        <v>135</v>
      </c>
      <c r="F4" s="39">
        <v>1</v>
      </c>
      <c r="G4" s="35" t="str">
        <f t="shared" si="0"/>
        <v>BÜYÜKPINAR1351</v>
      </c>
      <c r="H4" s="36" t="s">
        <v>137</v>
      </c>
      <c r="I4" s="38">
        <v>75000</v>
      </c>
      <c r="J4" s="38">
        <v>80000</v>
      </c>
    </row>
    <row r="5" spans="1:10">
      <c r="A5" s="20" t="s">
        <v>14</v>
      </c>
      <c r="B5" s="20" t="s">
        <v>23</v>
      </c>
      <c r="C5" s="20" t="s">
        <v>92</v>
      </c>
      <c r="D5" s="40">
        <v>499.86</v>
      </c>
      <c r="E5" s="34">
        <v>121</v>
      </c>
      <c r="F5" s="20">
        <v>5</v>
      </c>
      <c r="G5" s="35" t="str">
        <f t="shared" si="0"/>
        <v>BAKACAK1215</v>
      </c>
      <c r="H5" s="20" t="s">
        <v>137</v>
      </c>
      <c r="I5" s="21">
        <v>230000</v>
      </c>
      <c r="J5" s="21">
        <v>240000</v>
      </c>
    </row>
    <row r="6" spans="1:10">
      <c r="A6" s="20" t="s">
        <v>14</v>
      </c>
      <c r="B6" s="20" t="s">
        <v>79</v>
      </c>
      <c r="C6" s="20" t="s">
        <v>109</v>
      </c>
      <c r="D6" s="40">
        <v>561.91</v>
      </c>
      <c r="E6" s="34">
        <v>128</v>
      </c>
      <c r="F6" s="20">
        <v>2</v>
      </c>
      <c r="G6" s="35" t="str">
        <f t="shared" si="0"/>
        <v>SELİMİYE1282</v>
      </c>
      <c r="H6" s="20" t="s">
        <v>137</v>
      </c>
      <c r="I6" s="21">
        <v>232000</v>
      </c>
      <c r="J6" s="21">
        <v>250000</v>
      </c>
    </row>
    <row r="7" spans="1:10">
      <c r="A7" s="20" t="s">
        <v>14</v>
      </c>
      <c r="B7" s="20" t="s">
        <v>33</v>
      </c>
      <c r="C7" s="20" t="s">
        <v>34</v>
      </c>
      <c r="D7" s="20">
        <v>559.9</v>
      </c>
      <c r="E7" s="20">
        <v>104</v>
      </c>
      <c r="F7" s="23">
        <v>5</v>
      </c>
      <c r="G7" s="35" t="str">
        <f t="shared" si="0"/>
        <v>ARMUTLU1045</v>
      </c>
      <c r="H7" s="20" t="s">
        <v>138</v>
      </c>
      <c r="I7" s="41">
        <v>310000</v>
      </c>
      <c r="J7" s="21">
        <v>345000</v>
      </c>
    </row>
    <row r="8" spans="1:10">
      <c r="A8" s="20" t="s">
        <v>14</v>
      </c>
      <c r="B8" s="20" t="s">
        <v>23</v>
      </c>
      <c r="C8" s="20" t="s">
        <v>41</v>
      </c>
      <c r="D8" s="20">
        <v>984.65</v>
      </c>
      <c r="E8" s="34">
        <v>134</v>
      </c>
      <c r="F8" s="20">
        <v>6</v>
      </c>
      <c r="G8" s="35" t="str">
        <f t="shared" si="0"/>
        <v>BÜYÜKPINAR1346</v>
      </c>
      <c r="H8" s="20" t="s">
        <v>137</v>
      </c>
      <c r="I8" s="21">
        <v>15000</v>
      </c>
      <c r="J8" s="21">
        <v>20900</v>
      </c>
    </row>
    <row r="9" spans="1:10">
      <c r="A9" s="20" t="s">
        <v>14</v>
      </c>
      <c r="B9" s="20" t="s">
        <v>23</v>
      </c>
      <c r="C9" s="20" t="s">
        <v>41</v>
      </c>
      <c r="D9" s="20">
        <v>928.38</v>
      </c>
      <c r="E9" s="34">
        <v>134</v>
      </c>
      <c r="F9" s="20">
        <v>8</v>
      </c>
      <c r="G9" s="35" t="str">
        <f t="shared" si="0"/>
        <v>BÜYÜKPINAR1348</v>
      </c>
      <c r="H9" s="20" t="s">
        <v>137</v>
      </c>
      <c r="I9" s="21">
        <v>15000</v>
      </c>
      <c r="J9" s="21">
        <v>25900</v>
      </c>
    </row>
    <row r="10" spans="1:10">
      <c r="A10" s="20" t="s">
        <v>14</v>
      </c>
      <c r="B10" s="20" t="s">
        <v>23</v>
      </c>
      <c r="C10" s="20" t="s">
        <v>41</v>
      </c>
      <c r="D10" s="20">
        <v>1040.5</v>
      </c>
      <c r="E10" s="34">
        <v>134</v>
      </c>
      <c r="F10" s="20">
        <v>7</v>
      </c>
      <c r="G10" s="35" t="str">
        <f t="shared" si="0"/>
        <v>BÜYÜKPINAR1347</v>
      </c>
      <c r="H10" s="20" t="s">
        <v>137</v>
      </c>
      <c r="I10" s="21">
        <v>15000</v>
      </c>
      <c r="J10" s="21">
        <v>25900</v>
      </c>
    </row>
    <row r="11" spans="1:10">
      <c r="A11" s="20" t="s">
        <v>14</v>
      </c>
      <c r="B11" s="20" t="s">
        <v>33</v>
      </c>
      <c r="C11" s="20" t="s">
        <v>95</v>
      </c>
      <c r="D11" s="20">
        <v>343.53</v>
      </c>
      <c r="E11" s="34">
        <v>205</v>
      </c>
      <c r="F11" s="20">
        <v>5</v>
      </c>
      <c r="G11" s="35" t="str">
        <f t="shared" si="0"/>
        <v>DERECİKÖREN2055</v>
      </c>
      <c r="H11" s="20" t="s">
        <v>137</v>
      </c>
      <c r="I11" s="21">
        <v>6500</v>
      </c>
      <c r="J11" s="21">
        <v>7000</v>
      </c>
    </row>
    <row r="12" spans="1:10">
      <c r="A12" s="42" t="s">
        <v>49</v>
      </c>
      <c r="B12" s="42" t="s">
        <v>50</v>
      </c>
      <c r="C12" s="42" t="s">
        <v>93</v>
      </c>
      <c r="D12" s="42">
        <v>490.73</v>
      </c>
      <c r="E12" s="43">
        <v>588</v>
      </c>
      <c r="F12" s="42">
        <v>4</v>
      </c>
      <c r="G12" s="35" t="str">
        <f t="shared" si="0"/>
        <v>ÇEŞMEALTI5884</v>
      </c>
      <c r="H12" s="42" t="s">
        <v>137</v>
      </c>
      <c r="I12" s="44">
        <v>100000</v>
      </c>
      <c r="J12" s="44">
        <v>101000</v>
      </c>
    </row>
    <row r="13" spans="1:10">
      <c r="A13" s="20" t="s">
        <v>14</v>
      </c>
      <c r="B13" s="20" t="s">
        <v>66</v>
      </c>
      <c r="C13" s="20" t="s">
        <v>71</v>
      </c>
      <c r="D13" s="20">
        <v>528.46</v>
      </c>
      <c r="E13" s="34">
        <v>165</v>
      </c>
      <c r="F13" s="20">
        <v>60</v>
      </c>
      <c r="G13" s="35" t="str">
        <f t="shared" si="0"/>
        <v>GÖZLÜÇAYIR16560</v>
      </c>
      <c r="H13" s="20" t="s">
        <v>137</v>
      </c>
      <c r="I13" s="21">
        <v>3435</v>
      </c>
      <c r="J13" s="21">
        <v>5000</v>
      </c>
    </row>
    <row r="14" spans="1:10">
      <c r="A14" s="42" t="s">
        <v>14</v>
      </c>
      <c r="B14" s="42" t="s">
        <v>43</v>
      </c>
      <c r="C14" s="42" t="s">
        <v>44</v>
      </c>
      <c r="D14" s="42">
        <v>4454.4799999999996</v>
      </c>
      <c r="E14" s="43">
        <v>173</v>
      </c>
      <c r="F14" s="42">
        <v>282</v>
      </c>
      <c r="G14" s="35" t="str">
        <f t="shared" si="0"/>
        <v>KAYAELİ173282</v>
      </c>
      <c r="H14" s="42" t="s">
        <v>137</v>
      </c>
      <c r="I14" s="44">
        <v>12000</v>
      </c>
      <c r="J14" s="44">
        <v>40000</v>
      </c>
    </row>
    <row r="15" spans="1:10">
      <c r="A15" s="20" t="s">
        <v>14</v>
      </c>
      <c r="B15" s="20" t="s">
        <v>66</v>
      </c>
      <c r="C15" s="20" t="s">
        <v>71</v>
      </c>
      <c r="D15" s="20">
        <v>542.59</v>
      </c>
      <c r="E15" s="34">
        <v>165</v>
      </c>
      <c r="F15" s="20">
        <v>58</v>
      </c>
      <c r="G15" s="35" t="str">
        <f t="shared" si="0"/>
        <v>GÖZLÜÇAYIR16558</v>
      </c>
      <c r="H15" s="20" t="s">
        <v>137</v>
      </c>
      <c r="I15" s="21">
        <v>3527</v>
      </c>
      <c r="J15" s="21">
        <v>5000</v>
      </c>
    </row>
    <row r="16" spans="1:10">
      <c r="A16" s="20" t="s">
        <v>14</v>
      </c>
      <c r="B16" s="20" t="s">
        <v>66</v>
      </c>
      <c r="C16" s="20" t="s">
        <v>71</v>
      </c>
      <c r="D16" s="20">
        <v>516</v>
      </c>
      <c r="E16" s="34">
        <v>165</v>
      </c>
      <c r="F16" s="20">
        <v>59</v>
      </c>
      <c r="G16" s="35" t="str">
        <f t="shared" si="0"/>
        <v>GÖZLÜÇAYIR16559</v>
      </c>
      <c r="H16" s="20" t="s">
        <v>137</v>
      </c>
      <c r="I16" s="21">
        <v>3354</v>
      </c>
      <c r="J16" s="21">
        <v>5416</v>
      </c>
    </row>
    <row r="17" spans="1:10">
      <c r="A17" s="20" t="s">
        <v>14</v>
      </c>
      <c r="B17" s="20" t="s">
        <v>139</v>
      </c>
      <c r="C17" s="20" t="s">
        <v>106</v>
      </c>
      <c r="D17" s="20">
        <v>5272.68</v>
      </c>
      <c r="E17" s="34">
        <v>193</v>
      </c>
      <c r="F17" s="20">
        <v>485</v>
      </c>
      <c r="G17" s="35" t="str">
        <f t="shared" si="0"/>
        <v>KÜÇÜKKATRANCI193485</v>
      </c>
      <c r="H17" s="20" t="s">
        <v>137</v>
      </c>
      <c r="I17" s="21">
        <v>13000</v>
      </c>
      <c r="J17" s="21">
        <v>14300</v>
      </c>
    </row>
    <row r="18" spans="1:10">
      <c r="A18" s="42" t="s">
        <v>14</v>
      </c>
      <c r="B18" s="42" t="s">
        <v>23</v>
      </c>
      <c r="C18" s="42" t="s">
        <v>72</v>
      </c>
      <c r="D18" s="42">
        <v>623.92999999999995</v>
      </c>
      <c r="E18" s="43">
        <v>178</v>
      </c>
      <c r="F18" s="42">
        <v>18</v>
      </c>
      <c r="G18" s="35" t="str">
        <f t="shared" si="0"/>
        <v>TATLIPINAR17818</v>
      </c>
      <c r="H18" s="42" t="s">
        <v>137</v>
      </c>
      <c r="I18" s="44">
        <v>10000</v>
      </c>
      <c r="J18" s="44">
        <v>15000</v>
      </c>
    </row>
    <row r="19" spans="1:10">
      <c r="A19" s="20" t="s">
        <v>49</v>
      </c>
      <c r="B19" s="20" t="s">
        <v>90</v>
      </c>
      <c r="C19" s="20" t="s">
        <v>91</v>
      </c>
      <c r="D19" s="20">
        <v>276.64</v>
      </c>
      <c r="E19" s="34">
        <v>229</v>
      </c>
      <c r="F19" s="20">
        <v>15</v>
      </c>
      <c r="G19" s="35" t="str">
        <f t="shared" si="0"/>
        <v>İSTİKLAL22915</v>
      </c>
      <c r="H19" s="20" t="s">
        <v>137</v>
      </c>
      <c r="I19" s="21">
        <v>45000</v>
      </c>
      <c r="J19" s="21">
        <v>50000</v>
      </c>
    </row>
    <row r="20" spans="1:10">
      <c r="A20" s="42" t="s">
        <v>49</v>
      </c>
      <c r="B20" s="42" t="s">
        <v>68</v>
      </c>
      <c r="C20" s="42" t="s">
        <v>69</v>
      </c>
      <c r="D20" s="42">
        <v>331.32</v>
      </c>
      <c r="E20" s="42">
        <v>0</v>
      </c>
      <c r="F20" s="42">
        <v>1711</v>
      </c>
      <c r="G20" s="35" t="str">
        <f t="shared" si="0"/>
        <v>KARAKÖY01711</v>
      </c>
      <c r="H20" s="42" t="s">
        <v>137</v>
      </c>
      <c r="I20" s="44">
        <v>15000</v>
      </c>
      <c r="J20" s="44">
        <v>20000</v>
      </c>
    </row>
    <row r="21" spans="1:10">
      <c r="A21" s="20" t="s">
        <v>14</v>
      </c>
      <c r="B21" s="20" t="s">
        <v>33</v>
      </c>
      <c r="C21" s="20" t="s">
        <v>34</v>
      </c>
      <c r="D21" s="20">
        <v>559.91999999999996</v>
      </c>
      <c r="E21" s="20">
        <v>104</v>
      </c>
      <c r="F21" s="23">
        <v>6</v>
      </c>
      <c r="G21" s="35" t="str">
        <f t="shared" si="0"/>
        <v>ARMUTLU1046</v>
      </c>
      <c r="H21" s="20" t="s">
        <v>138</v>
      </c>
      <c r="I21" s="41">
        <v>310000</v>
      </c>
      <c r="J21" s="21">
        <v>345000</v>
      </c>
    </row>
    <row r="22" spans="1:10">
      <c r="A22" s="42" t="s">
        <v>17</v>
      </c>
      <c r="B22" s="42" t="s">
        <v>18</v>
      </c>
      <c r="C22" s="42" t="s">
        <v>140</v>
      </c>
      <c r="D22" s="42">
        <v>344.75</v>
      </c>
      <c r="E22" s="43">
        <v>108</v>
      </c>
      <c r="F22" s="42">
        <v>6</v>
      </c>
      <c r="G22" s="35" t="str">
        <f t="shared" si="0"/>
        <v>BARDAKÇI1086</v>
      </c>
      <c r="H22" s="42" t="s">
        <v>137</v>
      </c>
      <c r="I22" s="44">
        <v>46000</v>
      </c>
      <c r="J22" s="44">
        <v>50000</v>
      </c>
    </row>
    <row r="23" spans="1:10">
      <c r="A23" s="19" t="s">
        <v>17</v>
      </c>
      <c r="B23" s="19" t="s">
        <v>18</v>
      </c>
      <c r="C23" s="19" t="s">
        <v>140</v>
      </c>
      <c r="D23" s="19">
        <v>347.98</v>
      </c>
      <c r="E23" s="46">
        <v>108</v>
      </c>
      <c r="F23" s="19">
        <v>7</v>
      </c>
      <c r="G23" s="35" t="str">
        <f t="shared" si="0"/>
        <v>BARDAKÇI1087</v>
      </c>
      <c r="H23" s="19" t="s">
        <v>137</v>
      </c>
      <c r="I23" s="7">
        <v>46000</v>
      </c>
      <c r="J23" s="7">
        <v>0</v>
      </c>
    </row>
    <row r="24" spans="1:10">
      <c r="A24" s="42" t="s">
        <v>14</v>
      </c>
      <c r="B24" s="42" t="s">
        <v>33</v>
      </c>
      <c r="C24" s="42" t="s">
        <v>54</v>
      </c>
      <c r="D24" s="42">
        <v>310.89999999999998</v>
      </c>
      <c r="E24" s="43">
        <v>315</v>
      </c>
      <c r="F24" s="42">
        <v>13</v>
      </c>
      <c r="G24" s="35" t="str">
        <f t="shared" si="0"/>
        <v>KINIK31513</v>
      </c>
      <c r="H24" s="42" t="s">
        <v>137</v>
      </c>
      <c r="I24" s="44">
        <v>1500</v>
      </c>
      <c r="J24" s="44">
        <v>5000</v>
      </c>
    </row>
    <row r="25" spans="1:10">
      <c r="A25" s="20" t="s">
        <v>14</v>
      </c>
      <c r="B25" s="20" t="s">
        <v>79</v>
      </c>
      <c r="C25" s="20" t="s">
        <v>107</v>
      </c>
      <c r="D25" s="20">
        <v>804.23</v>
      </c>
      <c r="E25" s="34">
        <v>156</v>
      </c>
      <c r="F25" s="20">
        <v>1</v>
      </c>
      <c r="G25" s="35" t="str">
        <f t="shared" si="0"/>
        <v>KÜRSE1561</v>
      </c>
      <c r="H25" s="20" t="s">
        <v>137</v>
      </c>
      <c r="I25" s="21">
        <v>11000</v>
      </c>
      <c r="J25" s="21">
        <v>15000</v>
      </c>
    </row>
    <row r="26" spans="1:10">
      <c r="A26" s="20" t="s">
        <v>14</v>
      </c>
      <c r="B26" s="20" t="s">
        <v>79</v>
      </c>
      <c r="C26" s="20" t="s">
        <v>107</v>
      </c>
      <c r="D26" s="20">
        <v>974.58</v>
      </c>
      <c r="E26" s="34">
        <v>156</v>
      </c>
      <c r="F26" s="20">
        <v>2</v>
      </c>
      <c r="G26" s="35" t="str">
        <f t="shared" si="0"/>
        <v>KÜRSE1562</v>
      </c>
      <c r="H26" s="20" t="s">
        <v>137</v>
      </c>
      <c r="I26" s="21">
        <v>13000</v>
      </c>
      <c r="J26" s="21">
        <v>15000</v>
      </c>
    </row>
    <row r="27" spans="1:10">
      <c r="A27" s="19" t="s">
        <v>49</v>
      </c>
      <c r="B27" s="19" t="s">
        <v>68</v>
      </c>
      <c r="C27" s="19" t="s">
        <v>69</v>
      </c>
      <c r="D27" s="19">
        <v>306.5</v>
      </c>
      <c r="E27" s="46">
        <v>0</v>
      </c>
      <c r="F27" s="19">
        <v>1710</v>
      </c>
      <c r="G27" s="35" t="str">
        <f t="shared" si="0"/>
        <v>KARAKÖY01710</v>
      </c>
      <c r="H27" s="19" t="s">
        <v>137</v>
      </c>
      <c r="I27" s="7">
        <v>6000</v>
      </c>
      <c r="J27" s="7">
        <v>0</v>
      </c>
    </row>
    <row r="28" spans="1:10">
      <c r="A28" s="42" t="s">
        <v>14</v>
      </c>
      <c r="B28" s="42" t="s">
        <v>15</v>
      </c>
      <c r="C28" s="42" t="s">
        <v>113</v>
      </c>
      <c r="D28" s="42">
        <v>622</v>
      </c>
      <c r="E28" s="43">
        <v>0</v>
      </c>
      <c r="F28" s="42">
        <v>976</v>
      </c>
      <c r="G28" s="35" t="str">
        <f t="shared" si="0"/>
        <v>SULTANÇAYIR 0976</v>
      </c>
      <c r="H28" s="42" t="s">
        <v>137</v>
      </c>
      <c r="I28" s="44">
        <v>20000</v>
      </c>
      <c r="J28" s="44">
        <v>110000</v>
      </c>
    </row>
    <row r="29" spans="1:10">
      <c r="A29" s="20" t="s">
        <v>14</v>
      </c>
      <c r="B29" s="20" t="s">
        <v>15</v>
      </c>
      <c r="C29" s="20" t="s">
        <v>113</v>
      </c>
      <c r="D29" s="20">
        <v>643.07000000000005</v>
      </c>
      <c r="E29" s="20">
        <v>0</v>
      </c>
      <c r="F29" s="20">
        <v>977</v>
      </c>
      <c r="G29" s="35" t="str">
        <f t="shared" si="0"/>
        <v>SULTANÇAYIR 0977</v>
      </c>
      <c r="H29" s="20" t="s">
        <v>137</v>
      </c>
      <c r="I29" s="21">
        <v>10000</v>
      </c>
      <c r="J29" s="21">
        <v>30000</v>
      </c>
    </row>
    <row r="30" spans="1:10">
      <c r="A30" s="20" t="s">
        <v>14</v>
      </c>
      <c r="B30" s="20" t="s">
        <v>15</v>
      </c>
      <c r="C30" s="20" t="s">
        <v>113</v>
      </c>
      <c r="D30" s="20">
        <v>670.4</v>
      </c>
      <c r="E30" s="20">
        <v>0</v>
      </c>
      <c r="F30" s="20">
        <v>978</v>
      </c>
      <c r="G30" s="35" t="str">
        <f t="shared" si="0"/>
        <v>SULTANÇAYIR 0978</v>
      </c>
      <c r="H30" s="20" t="s">
        <v>137</v>
      </c>
      <c r="I30" s="21">
        <v>10000</v>
      </c>
      <c r="J30" s="21">
        <v>15000</v>
      </c>
    </row>
    <row r="31" spans="1:10">
      <c r="A31" s="20" t="s">
        <v>14</v>
      </c>
      <c r="B31" s="20" t="s">
        <v>15</v>
      </c>
      <c r="C31" s="20" t="s">
        <v>113</v>
      </c>
      <c r="D31" s="20">
        <v>615.79</v>
      </c>
      <c r="E31" s="20">
        <v>0</v>
      </c>
      <c r="F31" s="20">
        <v>979</v>
      </c>
      <c r="G31" s="35" t="str">
        <f t="shared" si="0"/>
        <v>SULTANÇAYIR 0979</v>
      </c>
      <c r="H31" s="20" t="s">
        <v>137</v>
      </c>
      <c r="I31" s="21">
        <v>10000</v>
      </c>
      <c r="J31" s="21">
        <v>15000</v>
      </c>
    </row>
    <row r="32" spans="1:10">
      <c r="A32" s="20" t="s">
        <v>14</v>
      </c>
      <c r="B32" s="20" t="s">
        <v>79</v>
      </c>
      <c r="C32" s="20" t="s">
        <v>109</v>
      </c>
      <c r="D32" s="20">
        <v>570.64</v>
      </c>
      <c r="E32" s="34">
        <v>140</v>
      </c>
      <c r="F32" s="20">
        <v>2</v>
      </c>
      <c r="G32" s="35" t="str">
        <f t="shared" si="0"/>
        <v>SELİMİYE1402</v>
      </c>
      <c r="H32" s="20" t="s">
        <v>137</v>
      </c>
      <c r="I32" s="21">
        <v>380000</v>
      </c>
      <c r="J32" s="21">
        <v>400000</v>
      </c>
    </row>
    <row r="33" spans="1:10">
      <c r="A33" s="20" t="s">
        <v>14</v>
      </c>
      <c r="B33" s="20" t="s">
        <v>79</v>
      </c>
      <c r="C33" s="20" t="s">
        <v>109</v>
      </c>
      <c r="D33" s="20">
        <v>558.39</v>
      </c>
      <c r="E33" s="34">
        <v>128</v>
      </c>
      <c r="F33" s="20">
        <v>3</v>
      </c>
      <c r="G33" s="35" t="str">
        <f t="shared" si="0"/>
        <v>SELİMİYE1283</v>
      </c>
      <c r="H33" s="20" t="s">
        <v>137</v>
      </c>
      <c r="I33" s="21">
        <v>331000</v>
      </c>
      <c r="J33" s="21">
        <v>350000</v>
      </c>
    </row>
    <row r="34" spans="1:10">
      <c r="A34" s="20" t="s">
        <v>17</v>
      </c>
      <c r="B34" s="20" t="s">
        <v>76</v>
      </c>
      <c r="C34" s="20" t="s">
        <v>77</v>
      </c>
      <c r="D34" s="20">
        <v>612.5</v>
      </c>
      <c r="E34" s="34">
        <v>102</v>
      </c>
      <c r="F34" s="20">
        <v>8</v>
      </c>
      <c r="G34" s="35" t="str">
        <f t="shared" si="0"/>
        <v>TEPECİK1028</v>
      </c>
      <c r="H34" s="20" t="s">
        <v>137</v>
      </c>
      <c r="I34" s="21">
        <v>425000</v>
      </c>
      <c r="J34" s="21">
        <v>450000</v>
      </c>
    </row>
    <row r="35" spans="1:10">
      <c r="A35" s="42" t="s">
        <v>17</v>
      </c>
      <c r="B35" s="42" t="s">
        <v>76</v>
      </c>
      <c r="C35" s="42" t="s">
        <v>77</v>
      </c>
      <c r="D35" s="42">
        <v>600.22</v>
      </c>
      <c r="E35" s="43">
        <v>106</v>
      </c>
      <c r="F35" s="42">
        <v>3</v>
      </c>
      <c r="G35" s="35" t="str">
        <f t="shared" si="0"/>
        <v>TEPECİK1063</v>
      </c>
      <c r="H35" s="42" t="s">
        <v>137</v>
      </c>
      <c r="I35" s="44">
        <v>431000</v>
      </c>
      <c r="J35" s="44">
        <v>432000</v>
      </c>
    </row>
    <row r="36" spans="1:10">
      <c r="A36" s="20" t="s">
        <v>17</v>
      </c>
      <c r="B36" s="20" t="s">
        <v>76</v>
      </c>
      <c r="C36" s="20" t="s">
        <v>77</v>
      </c>
      <c r="D36" s="20">
        <v>612.5</v>
      </c>
      <c r="E36" s="34">
        <v>101</v>
      </c>
      <c r="F36" s="20">
        <v>10</v>
      </c>
      <c r="G36" s="35" t="str">
        <f t="shared" si="0"/>
        <v>TEPECİK10110</v>
      </c>
      <c r="H36" s="20" t="s">
        <v>137</v>
      </c>
      <c r="I36" s="21">
        <v>461000</v>
      </c>
      <c r="J36" s="21">
        <v>480000</v>
      </c>
    </row>
    <row r="37" spans="1:10">
      <c r="A37" s="20" t="s">
        <v>17</v>
      </c>
      <c r="B37" s="20" t="s">
        <v>76</v>
      </c>
      <c r="C37" s="20" t="s">
        <v>77</v>
      </c>
      <c r="D37" s="20">
        <v>612.5</v>
      </c>
      <c r="E37" s="34">
        <v>102</v>
      </c>
      <c r="F37" s="20">
        <v>4</v>
      </c>
      <c r="G37" s="35" t="str">
        <f t="shared" si="0"/>
        <v>TEPECİK1024</v>
      </c>
      <c r="H37" s="20" t="s">
        <v>137</v>
      </c>
      <c r="I37" s="21">
        <v>380000</v>
      </c>
      <c r="J37" s="21">
        <v>400000</v>
      </c>
    </row>
    <row r="38" spans="1:10">
      <c r="A38" s="35" t="s">
        <v>14</v>
      </c>
      <c r="B38" s="35" t="s">
        <v>33</v>
      </c>
      <c r="C38" s="35" t="s">
        <v>34</v>
      </c>
      <c r="D38" s="35">
        <v>793.35</v>
      </c>
      <c r="E38" s="35">
        <v>102</v>
      </c>
      <c r="F38" s="2">
        <v>1</v>
      </c>
      <c r="G38" s="35" t="str">
        <f t="shared" si="0"/>
        <v>ARMUTLU1021</v>
      </c>
      <c r="H38" s="35" t="s">
        <v>138</v>
      </c>
      <c r="I38" s="49">
        <v>445000</v>
      </c>
      <c r="J38" s="48"/>
    </row>
    <row r="39" spans="1:10">
      <c r="A39" s="42" t="s">
        <v>14</v>
      </c>
      <c r="B39" s="42" t="s">
        <v>23</v>
      </c>
      <c r="C39" s="43" t="s">
        <v>56</v>
      </c>
      <c r="D39" s="42">
        <v>304.60000000000002</v>
      </c>
      <c r="E39" s="43">
        <v>12450</v>
      </c>
      <c r="F39" s="42">
        <v>11</v>
      </c>
      <c r="G39" s="35" t="str">
        <f t="shared" si="0"/>
        <v>KUVAYİ MİLLİYE1245011</v>
      </c>
      <c r="H39" s="42" t="s">
        <v>137</v>
      </c>
      <c r="I39" s="44">
        <v>165000</v>
      </c>
      <c r="J39" s="44">
        <v>170000</v>
      </c>
    </row>
    <row r="40" spans="1:10">
      <c r="A40" s="20" t="s">
        <v>14</v>
      </c>
      <c r="B40" s="20" t="s">
        <v>33</v>
      </c>
      <c r="C40" s="20" t="s">
        <v>34</v>
      </c>
      <c r="D40" s="20">
        <v>816</v>
      </c>
      <c r="E40" s="20">
        <v>102</v>
      </c>
      <c r="F40" s="23">
        <v>3</v>
      </c>
      <c r="G40" s="35" t="str">
        <f t="shared" si="0"/>
        <v>ARMUTLU1023</v>
      </c>
      <c r="H40" s="20" t="s">
        <v>138</v>
      </c>
      <c r="I40" s="41">
        <v>455000</v>
      </c>
      <c r="J40" s="21">
        <v>460000</v>
      </c>
    </row>
    <row r="41" spans="1:10">
      <c r="A41" s="20" t="s">
        <v>14</v>
      </c>
      <c r="B41" s="20" t="s">
        <v>33</v>
      </c>
      <c r="C41" s="20" t="s">
        <v>34</v>
      </c>
      <c r="D41" s="20">
        <v>816</v>
      </c>
      <c r="E41" s="20">
        <v>102</v>
      </c>
      <c r="F41" s="23">
        <v>4</v>
      </c>
      <c r="G41" s="35" t="str">
        <f t="shared" si="0"/>
        <v>ARMUTLU1024</v>
      </c>
      <c r="H41" s="20" t="s">
        <v>138</v>
      </c>
      <c r="I41" s="41">
        <v>460000</v>
      </c>
      <c r="J41" s="21">
        <v>480000</v>
      </c>
    </row>
    <row r="42" spans="1:10">
      <c r="A42" s="42" t="s">
        <v>14</v>
      </c>
      <c r="B42" s="42" t="s">
        <v>23</v>
      </c>
      <c r="C42" s="43" t="s">
        <v>56</v>
      </c>
      <c r="D42" s="42">
        <v>304.52</v>
      </c>
      <c r="E42" s="43">
        <v>12450</v>
      </c>
      <c r="F42" s="42">
        <v>9</v>
      </c>
      <c r="G42" s="35" t="str">
        <f t="shared" si="0"/>
        <v>KUVAYİ MİLLİYE124509</v>
      </c>
      <c r="H42" s="42" t="s">
        <v>137</v>
      </c>
      <c r="I42" s="44">
        <v>165000</v>
      </c>
      <c r="J42" s="44">
        <v>167000</v>
      </c>
    </row>
    <row r="43" spans="1:10">
      <c r="A43" s="19" t="s">
        <v>14</v>
      </c>
      <c r="B43" s="19" t="s">
        <v>23</v>
      </c>
      <c r="C43" s="19" t="s">
        <v>27</v>
      </c>
      <c r="D43" s="19">
        <v>1221.58</v>
      </c>
      <c r="E43" s="46">
        <v>122</v>
      </c>
      <c r="F43" s="19">
        <v>8</v>
      </c>
      <c r="G43" s="35" t="str">
        <f t="shared" si="0"/>
        <v>NAİPLİ1228</v>
      </c>
      <c r="H43" s="19" t="s">
        <v>137</v>
      </c>
      <c r="I43" s="7">
        <v>30000</v>
      </c>
      <c r="J43" s="7">
        <v>0</v>
      </c>
    </row>
    <row r="44" spans="1:10">
      <c r="A44" s="42" t="s">
        <v>14</v>
      </c>
      <c r="B44" s="42" t="s">
        <v>23</v>
      </c>
      <c r="C44" s="42" t="s">
        <v>41</v>
      </c>
      <c r="D44" s="42">
        <v>785.63</v>
      </c>
      <c r="E44" s="43">
        <v>123</v>
      </c>
      <c r="F44" s="42">
        <v>6</v>
      </c>
      <c r="G44" s="35" t="str">
        <f t="shared" si="0"/>
        <v>BÜYÜKPINAR1236</v>
      </c>
      <c r="H44" s="42" t="s">
        <v>137</v>
      </c>
      <c r="I44" s="44">
        <v>100000</v>
      </c>
      <c r="J44" s="44">
        <v>165000</v>
      </c>
    </row>
    <row r="45" spans="1:10">
      <c r="A45" s="42" t="s">
        <v>14</v>
      </c>
      <c r="B45" s="42" t="s">
        <v>23</v>
      </c>
      <c r="C45" s="42" t="s">
        <v>41</v>
      </c>
      <c r="D45" s="42">
        <v>693.89</v>
      </c>
      <c r="E45" s="43">
        <v>123</v>
      </c>
      <c r="F45" s="42">
        <v>2</v>
      </c>
      <c r="G45" s="35" t="str">
        <f t="shared" si="0"/>
        <v>BÜYÜKPINAR1232</v>
      </c>
      <c r="H45" s="42" t="s">
        <v>137</v>
      </c>
      <c r="I45" s="44">
        <v>50000</v>
      </c>
      <c r="J45" s="44">
        <v>55000</v>
      </c>
    </row>
    <row r="46" spans="1:10">
      <c r="A46" s="42" t="s">
        <v>14</v>
      </c>
      <c r="B46" s="42" t="s">
        <v>23</v>
      </c>
      <c r="C46" s="42" t="s">
        <v>41</v>
      </c>
      <c r="D46" s="42">
        <v>777.22</v>
      </c>
      <c r="E46" s="43">
        <v>133</v>
      </c>
      <c r="F46" s="42">
        <v>5</v>
      </c>
      <c r="G46" s="35" t="str">
        <f t="shared" si="0"/>
        <v>BÜYÜKPINAR1335</v>
      </c>
      <c r="H46" s="42" t="s">
        <v>137</v>
      </c>
      <c r="I46" s="44">
        <v>50000</v>
      </c>
      <c r="J46" s="44">
        <v>55000</v>
      </c>
    </row>
    <row r="47" spans="1:10">
      <c r="A47" s="19" t="s">
        <v>17</v>
      </c>
      <c r="B47" s="19" t="s">
        <v>18</v>
      </c>
      <c r="C47" s="19" t="s">
        <v>19</v>
      </c>
      <c r="D47" s="19">
        <v>1276.43</v>
      </c>
      <c r="E47" s="46">
        <v>169</v>
      </c>
      <c r="F47" s="19">
        <v>6</v>
      </c>
      <c r="G47" s="35" t="str">
        <f t="shared" si="0"/>
        <v>HÜDÜK1696</v>
      </c>
      <c r="H47" s="19" t="s">
        <v>137</v>
      </c>
      <c r="I47" s="7">
        <v>18000</v>
      </c>
      <c r="J47" s="7">
        <v>0</v>
      </c>
    </row>
    <row r="48" spans="1:10">
      <c r="A48" s="19" t="s">
        <v>17</v>
      </c>
      <c r="B48" s="19" t="s">
        <v>18</v>
      </c>
      <c r="C48" s="19" t="s">
        <v>25</v>
      </c>
      <c r="D48" s="19">
        <v>1140.3599999999999</v>
      </c>
      <c r="E48" s="46">
        <v>215</v>
      </c>
      <c r="F48" s="19">
        <v>20</v>
      </c>
      <c r="G48" s="35" t="str">
        <f t="shared" si="0"/>
        <v>BOYACIK21520</v>
      </c>
      <c r="H48" s="19" t="s">
        <v>137</v>
      </c>
      <c r="I48" s="7">
        <v>19000</v>
      </c>
      <c r="J48" s="7">
        <v>0</v>
      </c>
    </row>
    <row r="49" spans="1:10">
      <c r="A49" s="19" t="s">
        <v>17</v>
      </c>
      <c r="B49" s="19" t="s">
        <v>18</v>
      </c>
      <c r="C49" s="19" t="s">
        <v>35</v>
      </c>
      <c r="D49" s="51">
        <v>1528.07</v>
      </c>
      <c r="E49" s="46">
        <v>128</v>
      </c>
      <c r="F49" s="19">
        <v>2</v>
      </c>
      <c r="G49" s="35" t="str">
        <f t="shared" si="0"/>
        <v>KULALAR1282</v>
      </c>
      <c r="H49" s="19" t="s">
        <v>137</v>
      </c>
      <c r="I49" s="7">
        <v>55000</v>
      </c>
      <c r="J49" s="7">
        <v>0</v>
      </c>
    </row>
    <row r="50" spans="1:10">
      <c r="A50" s="19" t="s">
        <v>17</v>
      </c>
      <c r="B50" s="19" t="s">
        <v>18</v>
      </c>
      <c r="C50" s="19" t="s">
        <v>20</v>
      </c>
      <c r="D50" s="51">
        <v>2059.02</v>
      </c>
      <c r="E50" s="46">
        <v>103</v>
      </c>
      <c r="F50" s="19">
        <v>558</v>
      </c>
      <c r="G50" s="35" t="str">
        <f t="shared" si="0"/>
        <v>MİNNETLER103558</v>
      </c>
      <c r="H50" s="19" t="s">
        <v>137</v>
      </c>
      <c r="I50" s="7">
        <v>30000</v>
      </c>
      <c r="J50" s="7">
        <v>0</v>
      </c>
    </row>
    <row r="51" spans="1:10">
      <c r="A51" s="19" t="s">
        <v>17</v>
      </c>
      <c r="B51" s="19" t="s">
        <v>18</v>
      </c>
      <c r="C51" s="19" t="s">
        <v>20</v>
      </c>
      <c r="D51" s="19">
        <v>1372.87</v>
      </c>
      <c r="E51" s="46">
        <v>103</v>
      </c>
      <c r="F51" s="19">
        <v>557</v>
      </c>
      <c r="G51" s="35" t="str">
        <f t="shared" si="0"/>
        <v>MİNNETLER103557</v>
      </c>
      <c r="H51" s="19" t="s">
        <v>137</v>
      </c>
      <c r="I51" s="7">
        <v>29000</v>
      </c>
      <c r="J51" s="7">
        <v>0</v>
      </c>
    </row>
    <row r="52" spans="1:10">
      <c r="A52" s="20" t="s">
        <v>14</v>
      </c>
      <c r="B52" s="20" t="s">
        <v>15</v>
      </c>
      <c r="C52" s="20" t="s">
        <v>16</v>
      </c>
      <c r="D52" s="20">
        <v>415.41</v>
      </c>
      <c r="E52" s="34">
        <v>157</v>
      </c>
      <c r="F52" s="20">
        <v>1</v>
      </c>
      <c r="G52" s="35" t="str">
        <f t="shared" si="0"/>
        <v>REŞADİYE1571</v>
      </c>
      <c r="H52" s="20" t="s">
        <v>137</v>
      </c>
      <c r="I52" s="21">
        <v>301000</v>
      </c>
      <c r="J52" s="21">
        <v>315000</v>
      </c>
    </row>
    <row r="53" spans="1:10">
      <c r="A53" s="20" t="s">
        <v>14</v>
      </c>
      <c r="B53" s="20" t="s">
        <v>23</v>
      </c>
      <c r="C53" s="20" t="s">
        <v>110</v>
      </c>
      <c r="D53" s="20">
        <v>905.42</v>
      </c>
      <c r="E53" s="34">
        <v>141</v>
      </c>
      <c r="F53" s="20">
        <v>6</v>
      </c>
      <c r="G53" s="35" t="str">
        <f t="shared" si="0"/>
        <v>YAYLACIK1416</v>
      </c>
      <c r="H53" s="20" t="s">
        <v>137</v>
      </c>
      <c r="I53" s="21">
        <v>351000</v>
      </c>
      <c r="J53" s="21">
        <v>370000</v>
      </c>
    </row>
    <row r="54" spans="1:10">
      <c r="A54" s="20" t="s">
        <v>46</v>
      </c>
      <c r="B54" s="20" t="s">
        <v>47</v>
      </c>
      <c r="C54" s="20" t="s">
        <v>48</v>
      </c>
      <c r="D54" s="20">
        <v>437.58</v>
      </c>
      <c r="E54" s="34">
        <v>103</v>
      </c>
      <c r="F54" s="20">
        <v>1</v>
      </c>
      <c r="G54" s="35" t="str">
        <f t="shared" si="0"/>
        <v>İSLAMLAR1031</v>
      </c>
      <c r="H54" s="20" t="s">
        <v>137</v>
      </c>
      <c r="I54" s="21">
        <v>100000</v>
      </c>
      <c r="J54" s="21">
        <v>105000</v>
      </c>
    </row>
    <row r="55" spans="1:10">
      <c r="A55" s="20" t="s">
        <v>14</v>
      </c>
      <c r="B55" s="20" t="s">
        <v>23</v>
      </c>
      <c r="C55" s="20" t="s">
        <v>60</v>
      </c>
      <c r="D55" s="20">
        <v>419.81</v>
      </c>
      <c r="E55" s="34">
        <v>141</v>
      </c>
      <c r="F55" s="20">
        <v>3</v>
      </c>
      <c r="G55" s="35" t="str">
        <f t="shared" si="0"/>
        <v>TURPLU1413</v>
      </c>
      <c r="H55" s="20" t="s">
        <v>137</v>
      </c>
      <c r="I55" s="21">
        <v>45000</v>
      </c>
      <c r="J55" s="21">
        <v>50000</v>
      </c>
    </row>
    <row r="56" spans="1:10">
      <c r="A56" s="20" t="s">
        <v>46</v>
      </c>
      <c r="B56" s="20" t="s">
        <v>47</v>
      </c>
      <c r="C56" s="20" t="s">
        <v>70</v>
      </c>
      <c r="D56" s="20">
        <v>449.97</v>
      </c>
      <c r="E56" s="34">
        <v>149</v>
      </c>
      <c r="F56" s="20">
        <v>5</v>
      </c>
      <c r="G56" s="35" t="str">
        <f t="shared" si="0"/>
        <v>KATIRALANI1495</v>
      </c>
      <c r="H56" s="20" t="s">
        <v>137</v>
      </c>
      <c r="I56" s="21">
        <v>1000000</v>
      </c>
      <c r="J56" s="21">
        <v>500000</v>
      </c>
    </row>
    <row r="57" spans="1:10">
      <c r="A57" s="42" t="s">
        <v>46</v>
      </c>
      <c r="B57" s="42" t="s">
        <v>47</v>
      </c>
      <c r="C57" s="42" t="s">
        <v>70</v>
      </c>
      <c r="D57" s="42">
        <v>477.95</v>
      </c>
      <c r="E57" s="43">
        <v>149</v>
      </c>
      <c r="F57" s="42">
        <v>10</v>
      </c>
      <c r="G57" s="35" t="str">
        <f t="shared" si="0"/>
        <v>KATIRALANI14910</v>
      </c>
      <c r="H57" s="42" t="s">
        <v>137</v>
      </c>
      <c r="I57" s="44">
        <v>705000</v>
      </c>
      <c r="J57" s="44">
        <v>710000</v>
      </c>
    </row>
    <row r="58" spans="1:10">
      <c r="A58" s="20" t="s">
        <v>46</v>
      </c>
      <c r="B58" s="20" t="s">
        <v>47</v>
      </c>
      <c r="C58" s="20" t="s">
        <v>70</v>
      </c>
      <c r="D58" s="20">
        <v>477.18</v>
      </c>
      <c r="E58" s="34">
        <v>149</v>
      </c>
      <c r="F58" s="20">
        <v>3</v>
      </c>
      <c r="G58" s="35" t="str">
        <f t="shared" si="0"/>
        <v>KATIRALANI1493</v>
      </c>
      <c r="H58" s="20" t="s">
        <v>137</v>
      </c>
      <c r="I58" s="21">
        <v>900000</v>
      </c>
      <c r="J58" s="21">
        <v>900000</v>
      </c>
    </row>
    <row r="59" spans="1:10">
      <c r="A59" s="42" t="s">
        <v>46</v>
      </c>
      <c r="B59" s="42" t="s">
        <v>47</v>
      </c>
      <c r="C59" s="42" t="s">
        <v>70</v>
      </c>
      <c r="D59" s="42">
        <v>429.23</v>
      </c>
      <c r="E59" s="43">
        <v>149</v>
      </c>
      <c r="F59" s="42">
        <v>9</v>
      </c>
      <c r="G59" s="35" t="str">
        <f t="shared" si="0"/>
        <v>KATIRALANI1499</v>
      </c>
      <c r="H59" s="42" t="s">
        <v>137</v>
      </c>
      <c r="I59" s="44">
        <v>1000000</v>
      </c>
      <c r="J59" s="44">
        <v>1000000</v>
      </c>
    </row>
    <row r="60" spans="1:10">
      <c r="A60" s="20" t="s">
        <v>17</v>
      </c>
      <c r="B60" s="20" t="s">
        <v>21</v>
      </c>
      <c r="C60" s="20" t="s">
        <v>111</v>
      </c>
      <c r="D60" s="20">
        <v>395</v>
      </c>
      <c r="E60" s="34">
        <v>313</v>
      </c>
      <c r="F60" s="20">
        <v>8</v>
      </c>
      <c r="G60" s="35" t="str">
        <f t="shared" si="0"/>
        <v>YEŞİLYURT3138</v>
      </c>
      <c r="H60" s="20" t="s">
        <v>137</v>
      </c>
      <c r="I60" s="21">
        <v>166600</v>
      </c>
      <c r="J60" s="21">
        <v>175000</v>
      </c>
    </row>
    <row r="61" spans="1:10">
      <c r="A61" s="42" t="s">
        <v>17</v>
      </c>
      <c r="B61" s="42" t="s">
        <v>21</v>
      </c>
      <c r="C61" s="42" t="s">
        <v>22</v>
      </c>
      <c r="D61" s="42">
        <v>60</v>
      </c>
      <c r="E61" s="43">
        <v>241</v>
      </c>
      <c r="F61" s="42">
        <v>15</v>
      </c>
      <c r="G61" s="35" t="str">
        <f t="shared" si="0"/>
        <v>KİLLİK24115</v>
      </c>
      <c r="H61" s="42" t="s">
        <v>137</v>
      </c>
      <c r="I61" s="44">
        <v>51600</v>
      </c>
      <c r="J61" s="44">
        <v>55000</v>
      </c>
    </row>
    <row r="62" spans="1:10">
      <c r="A62" s="20" t="s">
        <v>17</v>
      </c>
      <c r="B62" s="20" t="s">
        <v>21</v>
      </c>
      <c r="C62" s="20" t="s">
        <v>111</v>
      </c>
      <c r="D62" s="20">
        <v>395</v>
      </c>
      <c r="E62" s="34">
        <v>313</v>
      </c>
      <c r="F62" s="20">
        <v>9</v>
      </c>
      <c r="G62" s="35" t="str">
        <f t="shared" si="0"/>
        <v>YEŞİLYURT3139</v>
      </c>
      <c r="H62" s="20" t="s">
        <v>137</v>
      </c>
      <c r="I62" s="21">
        <v>186600</v>
      </c>
      <c r="J62" s="21">
        <v>190000</v>
      </c>
    </row>
    <row r="63" spans="1:10">
      <c r="A63" s="42" t="s">
        <v>17</v>
      </c>
      <c r="B63" s="42" t="s">
        <v>21</v>
      </c>
      <c r="C63" s="42" t="s">
        <v>22</v>
      </c>
      <c r="D63" s="42">
        <v>60</v>
      </c>
      <c r="E63" s="43">
        <v>241</v>
      </c>
      <c r="F63" s="42">
        <v>6</v>
      </c>
      <c r="G63" s="35" t="str">
        <f t="shared" si="0"/>
        <v>KİLLİK2416</v>
      </c>
      <c r="H63" s="42" t="s">
        <v>137</v>
      </c>
      <c r="I63" s="44">
        <v>45000</v>
      </c>
      <c r="J63" s="44">
        <v>50000</v>
      </c>
    </row>
    <row r="64" spans="1:10">
      <c r="A64" s="42" t="s">
        <v>17</v>
      </c>
      <c r="B64" s="42" t="s">
        <v>21</v>
      </c>
      <c r="C64" s="42" t="s">
        <v>22</v>
      </c>
      <c r="D64" s="42">
        <v>60</v>
      </c>
      <c r="E64" s="43">
        <v>241</v>
      </c>
      <c r="F64" s="42">
        <v>7</v>
      </c>
      <c r="G64" s="35" t="str">
        <f t="shared" si="0"/>
        <v>KİLLİK2417</v>
      </c>
      <c r="H64" s="42" t="s">
        <v>137</v>
      </c>
      <c r="I64" s="44">
        <v>72600</v>
      </c>
      <c r="J64" s="44">
        <v>75000</v>
      </c>
    </row>
    <row r="65" spans="1:10">
      <c r="A65" s="42" t="s">
        <v>17</v>
      </c>
      <c r="B65" s="42" t="s">
        <v>21</v>
      </c>
      <c r="C65" s="42" t="s">
        <v>22</v>
      </c>
      <c r="D65" s="42">
        <v>60</v>
      </c>
      <c r="E65" s="43">
        <v>241</v>
      </c>
      <c r="F65" s="42">
        <v>5</v>
      </c>
      <c r="G65" s="35" t="str">
        <f t="shared" si="0"/>
        <v>KİLLİK2415</v>
      </c>
      <c r="H65" s="42" t="s">
        <v>137</v>
      </c>
      <c r="I65" s="44">
        <v>56600</v>
      </c>
      <c r="J65" s="44">
        <v>60000</v>
      </c>
    </row>
    <row r="66" spans="1:10">
      <c r="A66" s="42" t="s">
        <v>14</v>
      </c>
      <c r="B66" s="42" t="s">
        <v>23</v>
      </c>
      <c r="C66" s="43" t="s">
        <v>56</v>
      </c>
      <c r="D66" s="42">
        <v>304.64999999999998</v>
      </c>
      <c r="E66" s="43">
        <v>12450</v>
      </c>
      <c r="F66" s="42">
        <v>8</v>
      </c>
      <c r="G66" s="35" t="str">
        <f t="shared" si="0"/>
        <v>KUVAYİ MİLLİYE124508</v>
      </c>
      <c r="H66" s="42" t="s">
        <v>137</v>
      </c>
      <c r="I66" s="44">
        <v>165000</v>
      </c>
      <c r="J66" s="44">
        <v>166000</v>
      </c>
    </row>
    <row r="67" spans="1:10">
      <c r="A67" s="42" t="s">
        <v>14</v>
      </c>
      <c r="B67" s="42" t="s">
        <v>23</v>
      </c>
      <c r="C67" s="42" t="s">
        <v>41</v>
      </c>
      <c r="D67" s="42">
        <v>675.4</v>
      </c>
      <c r="E67" s="43">
        <v>125</v>
      </c>
      <c r="F67" s="42">
        <v>4</v>
      </c>
      <c r="G67" s="35" t="str">
        <f t="shared" ref="G67:G130" si="1">C67&amp;E67&amp;F67</f>
        <v>BÜYÜKPINAR1254</v>
      </c>
      <c r="H67" s="42" t="s">
        <v>137</v>
      </c>
      <c r="I67" s="44">
        <v>25000</v>
      </c>
      <c r="J67" s="44">
        <v>30000</v>
      </c>
    </row>
    <row r="68" spans="1:10">
      <c r="A68" s="42" t="s">
        <v>14</v>
      </c>
      <c r="B68" s="42" t="s">
        <v>23</v>
      </c>
      <c r="C68" s="42" t="s">
        <v>41</v>
      </c>
      <c r="D68" s="42">
        <v>614.75</v>
      </c>
      <c r="E68" s="43">
        <v>125</v>
      </c>
      <c r="F68" s="42">
        <v>5</v>
      </c>
      <c r="G68" s="35" t="str">
        <f t="shared" si="1"/>
        <v>BÜYÜKPINAR1255</v>
      </c>
      <c r="H68" s="42" t="s">
        <v>137</v>
      </c>
      <c r="I68" s="44">
        <v>25000</v>
      </c>
      <c r="J68" s="44">
        <v>30000</v>
      </c>
    </row>
    <row r="69" spans="1:10">
      <c r="A69" s="35" t="s">
        <v>14</v>
      </c>
      <c r="B69" s="35" t="s">
        <v>33</v>
      </c>
      <c r="C69" s="35" t="s">
        <v>34</v>
      </c>
      <c r="D69" s="35">
        <v>816</v>
      </c>
      <c r="E69" s="35">
        <v>102</v>
      </c>
      <c r="F69" s="2">
        <v>7</v>
      </c>
      <c r="G69" s="35" t="str">
        <f t="shared" si="1"/>
        <v>ARMUTLU1027</v>
      </c>
      <c r="H69" s="35" t="s">
        <v>138</v>
      </c>
      <c r="I69" s="49">
        <v>460000</v>
      </c>
      <c r="J69" s="48"/>
    </row>
    <row r="70" spans="1:10">
      <c r="A70" s="42" t="s">
        <v>17</v>
      </c>
      <c r="B70" s="42" t="s">
        <v>39</v>
      </c>
      <c r="C70" s="42" t="s">
        <v>40</v>
      </c>
      <c r="D70" s="42">
        <v>302.20999999999998</v>
      </c>
      <c r="E70" s="43">
        <v>103</v>
      </c>
      <c r="F70" s="42">
        <v>6</v>
      </c>
      <c r="G70" s="35" t="str">
        <f t="shared" si="1"/>
        <v>BEĞEL1036</v>
      </c>
      <c r="H70" s="42" t="s">
        <v>137</v>
      </c>
      <c r="I70" s="44">
        <v>20000</v>
      </c>
      <c r="J70" s="44">
        <v>22000</v>
      </c>
    </row>
    <row r="71" spans="1:10">
      <c r="A71" s="42" t="s">
        <v>14</v>
      </c>
      <c r="B71" s="42" t="s">
        <v>23</v>
      </c>
      <c r="C71" s="42" t="s">
        <v>41</v>
      </c>
      <c r="D71" s="42">
        <v>988.72</v>
      </c>
      <c r="E71" s="43">
        <v>135</v>
      </c>
      <c r="F71" s="42">
        <v>4</v>
      </c>
      <c r="G71" s="35" t="str">
        <f t="shared" si="1"/>
        <v>BÜYÜKPINAR1354</v>
      </c>
      <c r="H71" s="42" t="s">
        <v>137</v>
      </c>
      <c r="I71" s="44">
        <v>30000</v>
      </c>
      <c r="J71" s="44">
        <v>35000</v>
      </c>
    </row>
    <row r="72" spans="1:10">
      <c r="A72" s="42" t="s">
        <v>14</v>
      </c>
      <c r="B72" s="42" t="s">
        <v>23</v>
      </c>
      <c r="C72" s="42" t="s">
        <v>55</v>
      </c>
      <c r="D72" s="42">
        <v>433.54</v>
      </c>
      <c r="E72" s="43">
        <v>180</v>
      </c>
      <c r="F72" s="42">
        <v>13</v>
      </c>
      <c r="G72" s="35" t="str">
        <f t="shared" si="1"/>
        <v>KIRMIZILAR18013</v>
      </c>
      <c r="H72" s="42" t="s">
        <v>137</v>
      </c>
      <c r="I72" s="44">
        <v>50000</v>
      </c>
      <c r="J72" s="44">
        <v>52000</v>
      </c>
    </row>
    <row r="73" spans="1:10">
      <c r="A73" s="20" t="s">
        <v>14</v>
      </c>
      <c r="B73" s="20" t="s">
        <v>23</v>
      </c>
      <c r="C73" s="20" t="s">
        <v>55</v>
      </c>
      <c r="D73" s="20">
        <v>461.08</v>
      </c>
      <c r="E73" s="34">
        <v>180</v>
      </c>
      <c r="F73" s="20">
        <v>14</v>
      </c>
      <c r="G73" s="35" t="str">
        <f t="shared" si="1"/>
        <v>KIRMIZILAR18014</v>
      </c>
      <c r="H73" s="20" t="s">
        <v>137</v>
      </c>
      <c r="I73" s="21">
        <v>50000</v>
      </c>
      <c r="J73" s="21">
        <v>52000</v>
      </c>
    </row>
    <row r="74" spans="1:10">
      <c r="A74" s="42" t="s">
        <v>14</v>
      </c>
      <c r="B74" s="42" t="s">
        <v>23</v>
      </c>
      <c r="C74" s="42" t="s">
        <v>56</v>
      </c>
      <c r="D74" s="42">
        <v>304.48</v>
      </c>
      <c r="E74" s="42">
        <v>12450</v>
      </c>
      <c r="F74" s="52">
        <v>10</v>
      </c>
      <c r="G74" s="35" t="str">
        <f t="shared" si="1"/>
        <v>KUVAYİ MİLLİYE1245010</v>
      </c>
      <c r="H74" s="42" t="s">
        <v>137</v>
      </c>
      <c r="I74" s="44">
        <v>165000</v>
      </c>
      <c r="J74" s="44">
        <v>170000</v>
      </c>
    </row>
    <row r="75" spans="1:10">
      <c r="A75" s="35" t="s">
        <v>14</v>
      </c>
      <c r="B75" s="35" t="s">
        <v>23</v>
      </c>
      <c r="C75" s="35" t="s">
        <v>56</v>
      </c>
      <c r="D75" s="35">
        <v>299.33999999999997</v>
      </c>
      <c r="E75" s="35">
        <v>12450</v>
      </c>
      <c r="F75" s="53">
        <v>2</v>
      </c>
      <c r="G75" s="35" t="str">
        <f t="shared" si="1"/>
        <v>KUVAYİ MİLLİYE124502</v>
      </c>
      <c r="H75" s="35" t="s">
        <v>137</v>
      </c>
      <c r="I75" s="48">
        <v>165000</v>
      </c>
      <c r="J75" s="48"/>
    </row>
    <row r="76" spans="1:10">
      <c r="A76" s="42" t="s">
        <v>14</v>
      </c>
      <c r="B76" s="42" t="s">
        <v>23</v>
      </c>
      <c r="C76" s="42" t="s">
        <v>56</v>
      </c>
      <c r="D76" s="42">
        <v>303.02999999999997</v>
      </c>
      <c r="E76" s="42">
        <v>12450</v>
      </c>
      <c r="F76" s="52">
        <v>3</v>
      </c>
      <c r="G76" s="35" t="str">
        <f t="shared" si="1"/>
        <v>KUVAYİ MİLLİYE124503</v>
      </c>
      <c r="H76" s="42" t="s">
        <v>137</v>
      </c>
      <c r="I76" s="44">
        <v>165000</v>
      </c>
      <c r="J76" s="44">
        <v>170000</v>
      </c>
    </row>
    <row r="77" spans="1:10">
      <c r="A77" s="42" t="s">
        <v>14</v>
      </c>
      <c r="B77" s="42" t="s">
        <v>23</v>
      </c>
      <c r="C77" s="42" t="s">
        <v>56</v>
      </c>
      <c r="D77" s="42">
        <v>306.77</v>
      </c>
      <c r="E77" s="42">
        <v>12450</v>
      </c>
      <c r="F77" s="52">
        <v>4</v>
      </c>
      <c r="G77" s="35" t="str">
        <f t="shared" si="1"/>
        <v>KUVAYİ MİLLİYE124504</v>
      </c>
      <c r="H77" s="42" t="s">
        <v>137</v>
      </c>
      <c r="I77" s="44">
        <v>165000</v>
      </c>
      <c r="J77" s="44">
        <v>170000</v>
      </c>
    </row>
    <row r="78" spans="1:10">
      <c r="A78" s="42" t="s">
        <v>14</v>
      </c>
      <c r="B78" s="42" t="s">
        <v>23</v>
      </c>
      <c r="C78" s="42" t="s">
        <v>56</v>
      </c>
      <c r="D78" s="42">
        <v>310.77</v>
      </c>
      <c r="E78" s="42">
        <v>12450</v>
      </c>
      <c r="F78" s="52">
        <v>5</v>
      </c>
      <c r="G78" s="35" t="str">
        <f t="shared" si="1"/>
        <v>KUVAYİ MİLLİYE124505</v>
      </c>
      <c r="H78" s="42" t="s">
        <v>137</v>
      </c>
      <c r="I78" s="44">
        <v>165000</v>
      </c>
      <c r="J78" s="44">
        <v>170000</v>
      </c>
    </row>
    <row r="79" spans="1:10">
      <c r="A79" s="42" t="s">
        <v>14</v>
      </c>
      <c r="B79" s="42" t="s">
        <v>23</v>
      </c>
      <c r="C79" s="42" t="s">
        <v>56</v>
      </c>
      <c r="D79" s="42">
        <v>375.52</v>
      </c>
      <c r="E79" s="42">
        <v>12450</v>
      </c>
      <c r="F79" s="52">
        <v>6</v>
      </c>
      <c r="G79" s="35" t="str">
        <f t="shared" si="1"/>
        <v>KUVAYİ MİLLİYE124506</v>
      </c>
      <c r="H79" s="42" t="s">
        <v>137</v>
      </c>
      <c r="I79" s="44">
        <v>205000</v>
      </c>
      <c r="J79" s="44">
        <v>210000</v>
      </c>
    </row>
    <row r="80" spans="1:10">
      <c r="A80" s="20" t="s">
        <v>46</v>
      </c>
      <c r="B80" s="20" t="s">
        <v>47</v>
      </c>
      <c r="C80" s="20" t="s">
        <v>48</v>
      </c>
      <c r="D80" s="20">
        <v>438.52</v>
      </c>
      <c r="E80" s="34">
        <v>103</v>
      </c>
      <c r="F80" s="20">
        <v>7</v>
      </c>
      <c r="G80" s="35" t="str">
        <f t="shared" si="1"/>
        <v>İSLAMLAR1037</v>
      </c>
      <c r="H80" s="20" t="s">
        <v>137</v>
      </c>
      <c r="I80" s="21">
        <v>350000</v>
      </c>
      <c r="J80" s="21">
        <v>500000</v>
      </c>
    </row>
    <row r="81" spans="1:10">
      <c r="A81" s="20" t="s">
        <v>46</v>
      </c>
      <c r="B81" s="20" t="s">
        <v>47</v>
      </c>
      <c r="C81" s="20" t="s">
        <v>70</v>
      </c>
      <c r="D81" s="20">
        <v>444.86</v>
      </c>
      <c r="E81" s="34">
        <v>150</v>
      </c>
      <c r="F81" s="20">
        <v>10</v>
      </c>
      <c r="G81" s="35" t="str">
        <f t="shared" si="1"/>
        <v>KATIRALANI15010</v>
      </c>
      <c r="H81" s="20" t="s">
        <v>137</v>
      </c>
      <c r="I81" s="21">
        <v>1050000</v>
      </c>
      <c r="J81" s="21">
        <v>1102500</v>
      </c>
    </row>
    <row r="82" spans="1:10">
      <c r="A82" s="42" t="s">
        <v>46</v>
      </c>
      <c r="B82" s="42" t="s">
        <v>47</v>
      </c>
      <c r="C82" s="42" t="s">
        <v>70</v>
      </c>
      <c r="D82" s="42">
        <v>437.6</v>
      </c>
      <c r="E82" s="43">
        <v>155</v>
      </c>
      <c r="F82" s="42">
        <v>8</v>
      </c>
      <c r="G82" s="35" t="str">
        <f t="shared" si="1"/>
        <v>KATIRALANI1558</v>
      </c>
      <c r="H82" s="42" t="s">
        <v>137</v>
      </c>
      <c r="I82" s="44">
        <v>1350000</v>
      </c>
      <c r="J82" s="44">
        <v>1355000</v>
      </c>
    </row>
    <row r="83" spans="1:10">
      <c r="A83" s="20" t="s">
        <v>46</v>
      </c>
      <c r="B83" s="20" t="s">
        <v>47</v>
      </c>
      <c r="C83" s="20" t="s">
        <v>70</v>
      </c>
      <c r="D83" s="20">
        <v>442.79</v>
      </c>
      <c r="E83" s="34">
        <v>155</v>
      </c>
      <c r="F83" s="20">
        <v>3</v>
      </c>
      <c r="G83" s="35" t="str">
        <f t="shared" si="1"/>
        <v>KATIRALANI1553</v>
      </c>
      <c r="H83" s="20" t="s">
        <v>137</v>
      </c>
      <c r="I83" s="21">
        <v>950000</v>
      </c>
      <c r="J83" s="21">
        <v>975000</v>
      </c>
    </row>
    <row r="84" spans="1:10">
      <c r="A84" s="20" t="s">
        <v>46</v>
      </c>
      <c r="B84" s="20" t="s">
        <v>47</v>
      </c>
      <c r="C84" s="20" t="s">
        <v>70</v>
      </c>
      <c r="D84" s="20">
        <v>464.42</v>
      </c>
      <c r="E84" s="34">
        <v>155</v>
      </c>
      <c r="F84" s="20">
        <v>4</v>
      </c>
      <c r="G84" s="35" t="str">
        <f t="shared" si="1"/>
        <v>KATIRALANI1554</v>
      </c>
      <c r="H84" s="20" t="s">
        <v>137</v>
      </c>
      <c r="I84" s="21">
        <v>1150000</v>
      </c>
      <c r="J84" s="21">
        <v>1200000</v>
      </c>
    </row>
    <row r="85" spans="1:10">
      <c r="A85" s="20" t="s">
        <v>46</v>
      </c>
      <c r="B85" s="20" t="s">
        <v>47</v>
      </c>
      <c r="C85" s="20" t="s">
        <v>70</v>
      </c>
      <c r="D85" s="20">
        <v>479.53</v>
      </c>
      <c r="E85" s="34">
        <v>155</v>
      </c>
      <c r="F85" s="20">
        <v>5</v>
      </c>
      <c r="G85" s="35" t="str">
        <f t="shared" si="1"/>
        <v>KATIRALANI1555</v>
      </c>
      <c r="H85" s="20" t="s">
        <v>137</v>
      </c>
      <c r="I85" s="21">
        <v>1350000</v>
      </c>
      <c r="J85" s="21">
        <v>1400000</v>
      </c>
    </row>
    <row r="86" spans="1:10">
      <c r="A86" s="42" t="s">
        <v>14</v>
      </c>
      <c r="B86" s="42" t="s">
        <v>15</v>
      </c>
      <c r="C86" s="42" t="s">
        <v>16</v>
      </c>
      <c r="D86" s="42">
        <v>484</v>
      </c>
      <c r="E86" s="43">
        <v>157</v>
      </c>
      <c r="F86" s="42">
        <v>5</v>
      </c>
      <c r="G86" s="35" t="str">
        <f t="shared" si="1"/>
        <v>REŞADİYE1575</v>
      </c>
      <c r="H86" s="42" t="s">
        <v>137</v>
      </c>
      <c r="I86" s="44">
        <v>476000</v>
      </c>
      <c r="J86" s="44">
        <v>490000</v>
      </c>
    </row>
    <row r="87" spans="1:10">
      <c r="A87" s="42" t="s">
        <v>14</v>
      </c>
      <c r="B87" s="42" t="s">
        <v>15</v>
      </c>
      <c r="C87" s="42" t="s">
        <v>16</v>
      </c>
      <c r="D87" s="42">
        <v>465.71</v>
      </c>
      <c r="E87" s="43">
        <v>157</v>
      </c>
      <c r="F87" s="42">
        <v>6</v>
      </c>
      <c r="G87" s="35" t="str">
        <f t="shared" si="1"/>
        <v>REŞADİYE1576</v>
      </c>
      <c r="H87" s="42" t="s">
        <v>137</v>
      </c>
      <c r="I87" s="44">
        <v>501000</v>
      </c>
      <c r="J87" s="44">
        <v>502000</v>
      </c>
    </row>
    <row r="88" spans="1:10">
      <c r="A88" s="42" t="s">
        <v>14</v>
      </c>
      <c r="B88" s="42" t="s">
        <v>15</v>
      </c>
      <c r="C88" s="42" t="s">
        <v>16</v>
      </c>
      <c r="D88" s="42">
        <v>480</v>
      </c>
      <c r="E88" s="43">
        <v>157</v>
      </c>
      <c r="F88" s="42">
        <v>4</v>
      </c>
      <c r="G88" s="35" t="str">
        <f t="shared" si="1"/>
        <v>REŞADİYE1574</v>
      </c>
      <c r="H88" s="42" t="s">
        <v>137</v>
      </c>
      <c r="I88" s="44">
        <v>451000</v>
      </c>
      <c r="J88" s="44">
        <v>455000</v>
      </c>
    </row>
    <row r="89" spans="1:10">
      <c r="A89" s="20" t="s">
        <v>14</v>
      </c>
      <c r="B89" s="20" t="s">
        <v>33</v>
      </c>
      <c r="C89" s="20" t="s">
        <v>34</v>
      </c>
      <c r="D89" s="20">
        <v>816.47</v>
      </c>
      <c r="E89" s="20">
        <v>102</v>
      </c>
      <c r="F89" s="23">
        <v>8</v>
      </c>
      <c r="G89" s="35" t="str">
        <f t="shared" si="1"/>
        <v>ARMUTLU1028</v>
      </c>
      <c r="H89" s="20" t="s">
        <v>138</v>
      </c>
      <c r="I89" s="41">
        <v>455000</v>
      </c>
      <c r="J89" s="21">
        <v>525000</v>
      </c>
    </row>
    <row r="90" spans="1:10">
      <c r="A90" s="19" t="s">
        <v>14</v>
      </c>
      <c r="B90" s="19" t="s">
        <v>33</v>
      </c>
      <c r="C90" s="19" t="s">
        <v>34</v>
      </c>
      <c r="D90" s="19">
        <v>559.92999999999995</v>
      </c>
      <c r="E90" s="19">
        <v>104</v>
      </c>
      <c r="F90" s="17">
        <v>7</v>
      </c>
      <c r="G90" s="35" t="str">
        <f t="shared" si="1"/>
        <v>ARMUTLU1047</v>
      </c>
      <c r="H90" s="19" t="s">
        <v>138</v>
      </c>
      <c r="I90" s="54">
        <v>310000</v>
      </c>
      <c r="J90" s="7"/>
    </row>
    <row r="91" spans="1:10">
      <c r="A91" s="36" t="s">
        <v>14</v>
      </c>
      <c r="B91" s="36" t="s">
        <v>15</v>
      </c>
      <c r="C91" s="36" t="s">
        <v>16</v>
      </c>
      <c r="D91" s="36">
        <v>655.61</v>
      </c>
      <c r="E91" s="55">
        <v>158</v>
      </c>
      <c r="F91" s="39">
        <v>1</v>
      </c>
      <c r="G91" s="35" t="str">
        <f t="shared" si="1"/>
        <v>REŞADİYE1581</v>
      </c>
      <c r="H91" s="36" t="s">
        <v>137</v>
      </c>
      <c r="I91" s="38">
        <v>251000</v>
      </c>
      <c r="J91" s="38"/>
    </row>
    <row r="92" spans="1:10">
      <c r="A92" s="36" t="s">
        <v>14</v>
      </c>
      <c r="B92" s="36" t="s">
        <v>15</v>
      </c>
      <c r="C92" s="36" t="s">
        <v>16</v>
      </c>
      <c r="D92" s="36">
        <v>534.41999999999996</v>
      </c>
      <c r="E92" s="55">
        <v>158</v>
      </c>
      <c r="F92" s="39">
        <v>2</v>
      </c>
      <c r="G92" s="35" t="str">
        <f t="shared" si="1"/>
        <v>REŞADİYE1582</v>
      </c>
      <c r="H92" s="36" t="s">
        <v>137</v>
      </c>
      <c r="I92" s="38">
        <v>465000</v>
      </c>
      <c r="J92" s="38"/>
    </row>
    <row r="93" spans="1:10">
      <c r="A93" s="36" t="s">
        <v>14</v>
      </c>
      <c r="B93" s="36" t="s">
        <v>15</v>
      </c>
      <c r="C93" s="36" t="s">
        <v>16</v>
      </c>
      <c r="D93" s="36">
        <v>671.79</v>
      </c>
      <c r="E93" s="55">
        <v>158</v>
      </c>
      <c r="F93" s="39">
        <v>3</v>
      </c>
      <c r="G93" s="35" t="str">
        <f t="shared" si="1"/>
        <v>REŞADİYE1583</v>
      </c>
      <c r="H93" s="36" t="s">
        <v>137</v>
      </c>
      <c r="I93" s="38">
        <v>250000</v>
      </c>
      <c r="J93" s="38"/>
    </row>
    <row r="94" spans="1:10">
      <c r="A94" s="36" t="s">
        <v>14</v>
      </c>
      <c r="B94" s="36" t="s">
        <v>15</v>
      </c>
      <c r="C94" s="36" t="s">
        <v>16</v>
      </c>
      <c r="D94" s="36">
        <v>715.06</v>
      </c>
      <c r="E94" s="55">
        <v>158</v>
      </c>
      <c r="F94" s="39">
        <v>4</v>
      </c>
      <c r="G94" s="35" t="str">
        <f t="shared" si="1"/>
        <v>REŞADİYE1584</v>
      </c>
      <c r="H94" s="36" t="s">
        <v>137</v>
      </c>
      <c r="I94" s="38">
        <v>400000</v>
      </c>
      <c r="J94" s="38"/>
    </row>
    <row r="95" spans="1:10">
      <c r="A95" s="36" t="s">
        <v>14</v>
      </c>
      <c r="B95" s="36" t="s">
        <v>15</v>
      </c>
      <c r="C95" s="36" t="s">
        <v>16</v>
      </c>
      <c r="D95" s="36">
        <v>663.6</v>
      </c>
      <c r="E95" s="55">
        <v>158</v>
      </c>
      <c r="F95" s="39">
        <v>5</v>
      </c>
      <c r="G95" s="35" t="str">
        <f t="shared" si="1"/>
        <v>REŞADİYE1585</v>
      </c>
      <c r="H95" s="36" t="s">
        <v>137</v>
      </c>
      <c r="I95" s="38">
        <v>320000</v>
      </c>
      <c r="J95" s="38"/>
    </row>
    <row r="96" spans="1:10">
      <c r="A96" s="36" t="s">
        <v>14</v>
      </c>
      <c r="B96" s="36" t="s">
        <v>15</v>
      </c>
      <c r="C96" s="36" t="s">
        <v>16</v>
      </c>
      <c r="D96" s="36">
        <v>647.39</v>
      </c>
      <c r="E96" s="55">
        <v>158</v>
      </c>
      <c r="F96" s="39">
        <v>6</v>
      </c>
      <c r="G96" s="35" t="str">
        <f t="shared" si="1"/>
        <v>REŞADİYE1586</v>
      </c>
      <c r="H96" s="36" t="s">
        <v>137</v>
      </c>
      <c r="I96" s="38">
        <v>236000</v>
      </c>
      <c r="J96" s="38"/>
    </row>
    <row r="97" spans="1:10">
      <c r="A97" s="19" t="s">
        <v>14</v>
      </c>
      <c r="B97" s="19" t="s">
        <v>15</v>
      </c>
      <c r="C97" s="19" t="s">
        <v>16</v>
      </c>
      <c r="D97" s="19">
        <v>342.81</v>
      </c>
      <c r="E97" s="19">
        <v>158</v>
      </c>
      <c r="F97" s="17">
        <v>7</v>
      </c>
      <c r="G97" s="35" t="str">
        <f t="shared" si="1"/>
        <v>REŞADİYE1587</v>
      </c>
      <c r="H97" s="19" t="s">
        <v>137</v>
      </c>
      <c r="I97" s="7">
        <f>($I$91/$D$91)*D97</f>
        <v>131244.65764707676</v>
      </c>
      <c r="J97" s="7">
        <v>136500</v>
      </c>
    </row>
    <row r="98" spans="1:10">
      <c r="A98" s="20" t="s">
        <v>14</v>
      </c>
      <c r="B98" s="20" t="s">
        <v>15</v>
      </c>
      <c r="C98" s="20" t="s">
        <v>16</v>
      </c>
      <c r="D98" s="20">
        <v>312.8</v>
      </c>
      <c r="E98" s="20">
        <v>158</v>
      </c>
      <c r="F98" s="23">
        <v>8</v>
      </c>
      <c r="G98" s="35" t="str">
        <f t="shared" si="1"/>
        <v>REŞADİYE1588</v>
      </c>
      <c r="H98" s="20" t="s">
        <v>137</v>
      </c>
      <c r="I98" s="21">
        <f>($I$91/$D$91)*D98</f>
        <v>119755.34235292322</v>
      </c>
      <c r="J98" s="21">
        <v>129000</v>
      </c>
    </row>
    <row r="99" spans="1:10">
      <c r="A99" s="20" t="s">
        <v>14</v>
      </c>
      <c r="B99" s="20" t="s">
        <v>15</v>
      </c>
      <c r="C99" s="20" t="s">
        <v>16</v>
      </c>
      <c r="D99" s="20">
        <v>261.37</v>
      </c>
      <c r="E99" s="20">
        <v>158</v>
      </c>
      <c r="F99" s="23">
        <v>9</v>
      </c>
      <c r="G99" s="35" t="str">
        <f t="shared" si="1"/>
        <v>REŞADİYE1589</v>
      </c>
      <c r="H99" s="20" t="s">
        <v>137</v>
      </c>
      <c r="I99" s="21">
        <f>($I$92/$D$92)*D99</f>
        <v>227418.60334568319</v>
      </c>
      <c r="J99" s="21">
        <v>244000</v>
      </c>
    </row>
    <row r="100" spans="1:10">
      <c r="A100" s="20" t="s">
        <v>14</v>
      </c>
      <c r="B100" s="20" t="s">
        <v>15</v>
      </c>
      <c r="C100" s="20" t="s">
        <v>16</v>
      </c>
      <c r="D100" s="20">
        <v>273.05</v>
      </c>
      <c r="E100" s="20">
        <v>158</v>
      </c>
      <c r="F100" s="23">
        <v>10</v>
      </c>
      <c r="G100" s="35" t="str">
        <f t="shared" si="1"/>
        <v>REŞADİYE15810</v>
      </c>
      <c r="H100" s="20" t="s">
        <v>137</v>
      </c>
      <c r="I100" s="21">
        <f>($I$92/$D$92)*D100</f>
        <v>237581.39665431686</v>
      </c>
      <c r="J100" s="21">
        <v>249500</v>
      </c>
    </row>
    <row r="101" spans="1:10">
      <c r="A101" s="56" t="s">
        <v>14</v>
      </c>
      <c r="B101" s="56" t="s">
        <v>15</v>
      </c>
      <c r="C101" s="56" t="s">
        <v>16</v>
      </c>
      <c r="D101" s="56">
        <v>365.23</v>
      </c>
      <c r="E101" s="56">
        <v>158</v>
      </c>
      <c r="F101" s="57">
        <v>12</v>
      </c>
      <c r="G101" s="35" t="str">
        <f t="shared" si="1"/>
        <v>REŞADİYE15812</v>
      </c>
      <c r="H101" s="58" t="s">
        <v>137</v>
      </c>
      <c r="I101" s="60">
        <f>($I$93+$I$94)/($D$93+$D$94)*D101</f>
        <v>171178.93067022393</v>
      </c>
      <c r="J101" s="59">
        <v>0</v>
      </c>
    </row>
    <row r="102" spans="1:10">
      <c r="A102" s="56" t="s">
        <v>14</v>
      </c>
      <c r="B102" s="56" t="s">
        <v>15</v>
      </c>
      <c r="C102" s="56" t="s">
        <v>16</v>
      </c>
      <c r="D102" s="56">
        <v>368.2</v>
      </c>
      <c r="E102" s="56">
        <v>158</v>
      </c>
      <c r="F102" s="57">
        <v>13</v>
      </c>
      <c r="G102" s="35" t="str">
        <f t="shared" si="1"/>
        <v>REŞADİYE15813</v>
      </c>
      <c r="H102" s="58" t="s">
        <v>137</v>
      </c>
      <c r="I102" s="60">
        <f>($I$93+$I$94)/($D$93+$D$94)*D102</f>
        <v>172570.93413130476</v>
      </c>
      <c r="J102" s="59">
        <v>0</v>
      </c>
    </row>
    <row r="103" spans="1:10">
      <c r="A103" s="20" t="s">
        <v>14</v>
      </c>
      <c r="B103" s="20" t="s">
        <v>15</v>
      </c>
      <c r="C103" s="20" t="s">
        <v>16</v>
      </c>
      <c r="D103" s="20">
        <v>326.64</v>
      </c>
      <c r="E103" s="20">
        <v>158</v>
      </c>
      <c r="F103" s="23">
        <v>14</v>
      </c>
      <c r="G103" s="35" t="str">
        <f t="shared" si="1"/>
        <v>REŞADİYE15814</v>
      </c>
      <c r="H103" s="20" t="s">
        <v>137</v>
      </c>
      <c r="I103" s="41">
        <f>($I$93+$I$94)/($D$93+$D$94)*D103</f>
        <v>153092.25943685332</v>
      </c>
      <c r="J103" s="21">
        <v>200000</v>
      </c>
    </row>
    <row r="104" spans="1:10">
      <c r="A104" s="20" t="s">
        <v>14</v>
      </c>
      <c r="B104" s="20" t="s">
        <v>15</v>
      </c>
      <c r="C104" s="20" t="s">
        <v>16</v>
      </c>
      <c r="D104" s="20">
        <v>326.77999999999997</v>
      </c>
      <c r="E104" s="20">
        <v>158</v>
      </c>
      <c r="F104" s="23">
        <v>15</v>
      </c>
      <c r="G104" s="35" t="str">
        <f t="shared" si="1"/>
        <v>REŞADİYE15815</v>
      </c>
      <c r="H104" s="20" t="s">
        <v>137</v>
      </c>
      <c r="I104" s="41">
        <f>($I$93+$I$94)/($D$93+$D$94)*D104</f>
        <v>153157.87576161805</v>
      </c>
      <c r="J104" s="21">
        <v>182000</v>
      </c>
    </row>
    <row r="105" spans="1:10">
      <c r="A105" s="19" t="s">
        <v>14</v>
      </c>
      <c r="B105" s="19" t="s">
        <v>33</v>
      </c>
      <c r="C105" s="19" t="s">
        <v>34</v>
      </c>
      <c r="D105" s="19">
        <v>549.12</v>
      </c>
      <c r="E105" s="19">
        <v>104</v>
      </c>
      <c r="F105" s="17">
        <v>13</v>
      </c>
      <c r="G105" s="35" t="str">
        <f t="shared" si="1"/>
        <v>ARMUTLU10413</v>
      </c>
      <c r="H105" s="19" t="s">
        <v>138</v>
      </c>
      <c r="I105" s="54">
        <v>305000</v>
      </c>
      <c r="J105" s="7"/>
    </row>
    <row r="106" spans="1:10">
      <c r="A106" s="20" t="s">
        <v>14</v>
      </c>
      <c r="B106" s="20" t="s">
        <v>15</v>
      </c>
      <c r="C106" s="20" t="s">
        <v>16</v>
      </c>
      <c r="D106" s="20">
        <v>349.22</v>
      </c>
      <c r="E106" s="20">
        <v>158</v>
      </c>
      <c r="F106" s="23">
        <v>18</v>
      </c>
      <c r="G106" s="35" t="str">
        <f t="shared" si="1"/>
        <v>REŞADİYE15818</v>
      </c>
      <c r="H106" s="20" t="s">
        <v>137</v>
      </c>
      <c r="I106" s="41">
        <f>(I95+I96)/(D95+D96)*D106</f>
        <v>148106.63696900816</v>
      </c>
      <c r="J106" s="21">
        <v>134000</v>
      </c>
    </row>
    <row r="107" spans="1:10">
      <c r="A107" s="20" t="s">
        <v>14</v>
      </c>
      <c r="B107" s="20" t="s">
        <v>15</v>
      </c>
      <c r="C107" s="20" t="s">
        <v>16</v>
      </c>
      <c r="D107" s="20">
        <v>304.31</v>
      </c>
      <c r="E107" s="20">
        <v>158</v>
      </c>
      <c r="F107" s="23">
        <v>19</v>
      </c>
      <c r="G107" s="35" t="str">
        <f t="shared" si="1"/>
        <v>REŞADİYE15819</v>
      </c>
      <c r="H107" s="20" t="s">
        <v>137</v>
      </c>
      <c r="I107" s="41">
        <f>(I95+I96)/(D95+D96)*D107</f>
        <v>129059.99282984616</v>
      </c>
      <c r="J107" s="21">
        <v>116500</v>
      </c>
    </row>
    <row r="108" spans="1:10">
      <c r="A108" s="20" t="s">
        <v>14</v>
      </c>
      <c r="B108" s="20" t="s">
        <v>15</v>
      </c>
      <c r="C108" s="20" t="s">
        <v>16</v>
      </c>
      <c r="D108" s="20">
        <v>304.3</v>
      </c>
      <c r="E108" s="20">
        <v>158</v>
      </c>
      <c r="F108" s="23">
        <v>20</v>
      </c>
      <c r="G108" s="35" t="str">
        <f t="shared" si="1"/>
        <v>REŞADİYE15820</v>
      </c>
      <c r="H108" s="20" t="s">
        <v>137</v>
      </c>
      <c r="I108" s="41">
        <f>(I95+I96)/(D95+D96)*D108</f>
        <v>129055.75176012023</v>
      </c>
      <c r="J108" s="21">
        <v>154000</v>
      </c>
    </row>
    <row r="109" spans="1:10">
      <c r="A109" s="42" t="s">
        <v>14</v>
      </c>
      <c r="B109" s="42" t="s">
        <v>15</v>
      </c>
      <c r="C109" s="42" t="s">
        <v>16</v>
      </c>
      <c r="D109" s="42">
        <v>800.67</v>
      </c>
      <c r="E109" s="43">
        <v>159</v>
      </c>
      <c r="F109" s="42">
        <v>2</v>
      </c>
      <c r="G109" s="35" t="str">
        <f t="shared" si="1"/>
        <v>REŞADİYE1592</v>
      </c>
      <c r="H109" s="42" t="s">
        <v>137</v>
      </c>
      <c r="I109" s="44">
        <v>285000</v>
      </c>
      <c r="J109" s="44">
        <v>300000</v>
      </c>
    </row>
    <row r="110" spans="1:10">
      <c r="A110" s="36" t="s">
        <v>14</v>
      </c>
      <c r="B110" s="36" t="s">
        <v>15</v>
      </c>
      <c r="C110" s="36" t="s">
        <v>16</v>
      </c>
      <c r="D110" s="36">
        <v>606.77</v>
      </c>
      <c r="E110" s="55">
        <v>159</v>
      </c>
      <c r="F110" s="39">
        <v>4</v>
      </c>
      <c r="G110" s="35" t="str">
        <f t="shared" si="1"/>
        <v>REŞADİYE1594</v>
      </c>
      <c r="H110" s="36" t="s">
        <v>137</v>
      </c>
      <c r="I110" s="38">
        <v>235000</v>
      </c>
      <c r="J110" s="38">
        <v>250000</v>
      </c>
    </row>
    <row r="111" spans="1:10">
      <c r="A111" s="36" t="s">
        <v>14</v>
      </c>
      <c r="B111" s="36" t="s">
        <v>15</v>
      </c>
      <c r="C111" s="36" t="s">
        <v>16</v>
      </c>
      <c r="D111" s="36">
        <v>794.68</v>
      </c>
      <c r="E111" s="55">
        <v>159</v>
      </c>
      <c r="F111" s="39">
        <v>3</v>
      </c>
      <c r="G111" s="35" t="str">
        <f t="shared" si="1"/>
        <v>REŞADİYE1593</v>
      </c>
      <c r="H111" s="36" t="s">
        <v>137</v>
      </c>
      <c r="I111" s="38">
        <v>280000</v>
      </c>
      <c r="J111" s="36"/>
    </row>
    <row r="112" spans="1:10">
      <c r="A112" s="20" t="s">
        <v>14</v>
      </c>
      <c r="B112" s="20" t="s">
        <v>15</v>
      </c>
      <c r="C112" s="20" t="s">
        <v>16</v>
      </c>
      <c r="D112" s="20">
        <v>387.93</v>
      </c>
      <c r="E112" s="20">
        <v>159</v>
      </c>
      <c r="F112" s="23">
        <v>7</v>
      </c>
      <c r="G112" s="35" t="str">
        <f t="shared" si="1"/>
        <v>REŞADİYE1597</v>
      </c>
      <c r="H112" s="20" t="s">
        <v>137</v>
      </c>
      <c r="I112" s="21">
        <f>($I$111/$D$111)*D112</f>
        <v>136684.45160316103</v>
      </c>
      <c r="J112" s="21">
        <v>140000</v>
      </c>
    </row>
    <row r="113" spans="1:10">
      <c r="A113" s="20" t="s">
        <v>14</v>
      </c>
      <c r="B113" s="20" t="s">
        <v>15</v>
      </c>
      <c r="C113" s="20" t="s">
        <v>16</v>
      </c>
      <c r="D113" s="20">
        <v>406.75</v>
      </c>
      <c r="E113" s="20">
        <v>159</v>
      </c>
      <c r="F113" s="23">
        <v>6</v>
      </c>
      <c r="G113" s="35" t="str">
        <f t="shared" si="1"/>
        <v>REŞADİYE1596</v>
      </c>
      <c r="H113" s="20" t="s">
        <v>137</v>
      </c>
      <c r="I113" s="21">
        <f>($I$111/$D$111)*D113</f>
        <v>143315.54839683897</v>
      </c>
      <c r="J113" s="21">
        <v>163315.54999999999</v>
      </c>
    </row>
    <row r="114" spans="1:10">
      <c r="A114" s="20" t="s">
        <v>14</v>
      </c>
      <c r="B114" s="20" t="s">
        <v>15</v>
      </c>
      <c r="C114" s="20" t="s">
        <v>16</v>
      </c>
      <c r="D114" s="20">
        <v>303.38</v>
      </c>
      <c r="E114" s="20">
        <v>159</v>
      </c>
      <c r="F114" s="23">
        <v>9</v>
      </c>
      <c r="G114" s="35" t="str">
        <f t="shared" si="1"/>
        <v>REŞADİYE1599</v>
      </c>
      <c r="H114" s="20" t="s">
        <v>137</v>
      </c>
      <c r="I114" s="41">
        <f>($I$110/$D$110)*D114</f>
        <v>117498.06351665377</v>
      </c>
      <c r="J114" s="20"/>
    </row>
    <row r="115" spans="1:10">
      <c r="A115" s="20" t="s">
        <v>14</v>
      </c>
      <c r="B115" s="20" t="s">
        <v>15</v>
      </c>
      <c r="C115" s="20" t="s">
        <v>16</v>
      </c>
      <c r="D115" s="20">
        <v>387.93</v>
      </c>
      <c r="E115" s="20">
        <v>159</v>
      </c>
      <c r="F115" s="23">
        <v>7</v>
      </c>
      <c r="G115" s="35" t="str">
        <f t="shared" si="1"/>
        <v>REŞADİYE1597</v>
      </c>
      <c r="H115" s="20" t="s">
        <v>141</v>
      </c>
      <c r="I115" s="41">
        <v>140000</v>
      </c>
      <c r="J115" s="21">
        <v>150000</v>
      </c>
    </row>
    <row r="116" spans="1:10">
      <c r="A116" s="20" t="s">
        <v>14</v>
      </c>
      <c r="B116" s="20" t="s">
        <v>15</v>
      </c>
      <c r="C116" s="20" t="s">
        <v>16</v>
      </c>
      <c r="D116" s="20">
        <v>303.39</v>
      </c>
      <c r="E116" s="20">
        <v>159</v>
      </c>
      <c r="F116" s="23">
        <v>8</v>
      </c>
      <c r="G116" s="35" t="str">
        <f t="shared" si="1"/>
        <v>REŞADİYE1598</v>
      </c>
      <c r="H116" s="20" t="s">
        <v>137</v>
      </c>
      <c r="I116" s="41">
        <f>($I$110/$D$110)*D116</f>
        <v>117501.93648334625</v>
      </c>
      <c r="J116" s="21">
        <v>145500</v>
      </c>
    </row>
    <row r="117" spans="1:10">
      <c r="A117" s="36" t="s">
        <v>14</v>
      </c>
      <c r="B117" s="36" t="s">
        <v>15</v>
      </c>
      <c r="C117" s="36" t="s">
        <v>16</v>
      </c>
      <c r="D117" s="36">
        <v>605.32000000000005</v>
      </c>
      <c r="E117" s="55">
        <v>160</v>
      </c>
      <c r="F117" s="36">
        <v>2</v>
      </c>
      <c r="G117" s="35" t="str">
        <f t="shared" si="1"/>
        <v>REŞADİYE1602</v>
      </c>
      <c r="H117" s="36" t="s">
        <v>137</v>
      </c>
      <c r="I117" s="38">
        <v>445000</v>
      </c>
      <c r="J117" s="38"/>
    </row>
    <row r="118" spans="1:10">
      <c r="A118" s="20" t="s">
        <v>14</v>
      </c>
      <c r="B118" s="20" t="s">
        <v>15</v>
      </c>
      <c r="C118" s="20" t="s">
        <v>16</v>
      </c>
      <c r="D118" s="20">
        <v>317.68</v>
      </c>
      <c r="E118" s="20">
        <v>160</v>
      </c>
      <c r="F118" s="23">
        <v>5</v>
      </c>
      <c r="G118" s="35" t="str">
        <f t="shared" si="1"/>
        <v>REŞADİYE1605</v>
      </c>
      <c r="H118" s="20" t="s">
        <v>137</v>
      </c>
      <c r="I118" s="21">
        <f>($I$117/$D$117)*D118</f>
        <v>233541.92823630475</v>
      </c>
      <c r="J118" s="21">
        <v>238550</v>
      </c>
    </row>
    <row r="119" spans="1:10">
      <c r="A119" s="20" t="s">
        <v>14</v>
      </c>
      <c r="B119" s="20" t="s">
        <v>15</v>
      </c>
      <c r="C119" s="20" t="s">
        <v>16</v>
      </c>
      <c r="D119" s="20">
        <v>287.64</v>
      </c>
      <c r="E119" s="20">
        <v>160</v>
      </c>
      <c r="F119" s="23">
        <v>6</v>
      </c>
      <c r="G119" s="35" t="str">
        <f t="shared" si="1"/>
        <v>REŞADİYE1606</v>
      </c>
      <c r="H119" s="20" t="s">
        <v>137</v>
      </c>
      <c r="I119" s="21">
        <f>($I$117/$D$117)*D119</f>
        <v>211458.07176369522</v>
      </c>
      <c r="J119" s="21">
        <v>216450</v>
      </c>
    </row>
    <row r="120" spans="1:10">
      <c r="A120" s="36" t="s">
        <v>14</v>
      </c>
      <c r="B120" s="36" t="s">
        <v>15</v>
      </c>
      <c r="C120" s="36" t="s">
        <v>16</v>
      </c>
      <c r="D120" s="36">
        <v>699.91</v>
      </c>
      <c r="E120" s="55">
        <v>161</v>
      </c>
      <c r="F120" s="39">
        <v>1</v>
      </c>
      <c r="G120" s="35" t="str">
        <f t="shared" si="1"/>
        <v>REŞADİYE1611</v>
      </c>
      <c r="H120" s="36" t="s">
        <v>137</v>
      </c>
      <c r="I120" s="38">
        <v>405000</v>
      </c>
      <c r="J120" s="38">
        <v>406000</v>
      </c>
    </row>
    <row r="121" spans="1:10">
      <c r="A121" s="36" t="s">
        <v>14</v>
      </c>
      <c r="B121" s="36" t="s">
        <v>15</v>
      </c>
      <c r="C121" s="36" t="s">
        <v>16</v>
      </c>
      <c r="D121" s="36">
        <v>896.13</v>
      </c>
      <c r="E121" s="55">
        <v>161</v>
      </c>
      <c r="F121" s="39">
        <v>2</v>
      </c>
      <c r="G121" s="35" t="str">
        <f t="shared" si="1"/>
        <v>REŞADİYE1612</v>
      </c>
      <c r="H121" s="36" t="s">
        <v>137</v>
      </c>
      <c r="I121" s="38">
        <v>315000</v>
      </c>
      <c r="J121" s="38">
        <v>316000</v>
      </c>
    </row>
    <row r="122" spans="1:10">
      <c r="A122" s="36" t="s">
        <v>14</v>
      </c>
      <c r="B122" s="36" t="s">
        <v>15</v>
      </c>
      <c r="C122" s="36" t="s">
        <v>16</v>
      </c>
      <c r="D122" s="36">
        <v>620.96</v>
      </c>
      <c r="E122" s="55">
        <v>161</v>
      </c>
      <c r="F122" s="39">
        <v>3</v>
      </c>
      <c r="G122" s="35" t="str">
        <f t="shared" si="1"/>
        <v>REŞADİYE1613</v>
      </c>
      <c r="H122" s="36" t="s">
        <v>137</v>
      </c>
      <c r="I122" s="38">
        <v>220000</v>
      </c>
      <c r="J122" s="38">
        <v>221000</v>
      </c>
    </row>
    <row r="123" spans="1:10">
      <c r="A123" s="20" t="s">
        <v>14</v>
      </c>
      <c r="B123" s="20" t="s">
        <v>15</v>
      </c>
      <c r="C123" s="20" t="s">
        <v>16</v>
      </c>
      <c r="D123" s="20">
        <v>264.95999999999998</v>
      </c>
      <c r="E123" s="20">
        <v>161</v>
      </c>
      <c r="F123" s="23">
        <v>4</v>
      </c>
      <c r="G123" s="35" t="str">
        <f t="shared" si="1"/>
        <v>REŞADİYE1614</v>
      </c>
      <c r="H123" s="20" t="s">
        <v>137</v>
      </c>
      <c r="I123" s="41">
        <f>($J$121/$D$121)*D123</f>
        <v>93432.1582806066</v>
      </c>
      <c r="J123" s="21">
        <v>110000</v>
      </c>
    </row>
    <row r="124" spans="1:10">
      <c r="A124" s="42" t="s">
        <v>14</v>
      </c>
      <c r="B124" s="42" t="s">
        <v>15</v>
      </c>
      <c r="C124" s="42" t="s">
        <v>16</v>
      </c>
      <c r="D124" s="42">
        <v>268.82</v>
      </c>
      <c r="E124" s="42">
        <v>161</v>
      </c>
      <c r="F124" s="50">
        <v>5</v>
      </c>
      <c r="G124" s="35" t="str">
        <f t="shared" si="1"/>
        <v>REŞADİYE1615</v>
      </c>
      <c r="H124" s="42" t="s">
        <v>137</v>
      </c>
      <c r="I124" s="61">
        <f>($J$121/$D$121)*D124</f>
        <v>94793.300079229579</v>
      </c>
      <c r="J124" s="42"/>
    </row>
    <row r="125" spans="1:10">
      <c r="A125" s="42" t="s">
        <v>14</v>
      </c>
      <c r="B125" s="42" t="s">
        <v>15</v>
      </c>
      <c r="C125" s="42" t="s">
        <v>16</v>
      </c>
      <c r="D125" s="42">
        <v>362.35</v>
      </c>
      <c r="E125" s="42">
        <v>161</v>
      </c>
      <c r="F125" s="50">
        <v>6</v>
      </c>
      <c r="G125" s="35" t="str">
        <f t="shared" si="1"/>
        <v>REŞADİYE1616</v>
      </c>
      <c r="H125" s="42" t="s">
        <v>137</v>
      </c>
      <c r="I125" s="61">
        <f>($J$121/$D$121)*D125</f>
        <v>127774.54164016382</v>
      </c>
      <c r="J125" s="42"/>
    </row>
    <row r="126" spans="1:10">
      <c r="A126" s="42" t="s">
        <v>14</v>
      </c>
      <c r="B126" s="42" t="s">
        <v>15</v>
      </c>
      <c r="C126" s="42" t="s">
        <v>16</v>
      </c>
      <c r="D126" s="42">
        <v>300.72000000000003</v>
      </c>
      <c r="E126" s="42">
        <v>161</v>
      </c>
      <c r="F126" s="50">
        <v>7</v>
      </c>
      <c r="G126" s="35" t="str">
        <f t="shared" si="1"/>
        <v>REŞADİYE1617</v>
      </c>
      <c r="H126" s="42" t="s">
        <v>137</v>
      </c>
      <c r="I126" s="61">
        <f>($J$122/$D$122)*D126</f>
        <v>107026.41071888688</v>
      </c>
      <c r="J126" s="42"/>
    </row>
    <row r="127" spans="1:10">
      <c r="A127" s="42" t="s">
        <v>14</v>
      </c>
      <c r="B127" s="42" t="s">
        <v>15</v>
      </c>
      <c r="C127" s="42" t="s">
        <v>16</v>
      </c>
      <c r="D127" s="42">
        <v>320.24</v>
      </c>
      <c r="E127" s="42">
        <v>161</v>
      </c>
      <c r="F127" s="50">
        <v>8</v>
      </c>
      <c r="G127" s="35" t="str">
        <f t="shared" si="1"/>
        <v>REŞADİYE1618</v>
      </c>
      <c r="H127" s="42" t="s">
        <v>137</v>
      </c>
      <c r="I127" s="61">
        <f>($J$122/$D$122)*D127</f>
        <v>113973.58928111311</v>
      </c>
      <c r="J127" s="42"/>
    </row>
    <row r="128" spans="1:10">
      <c r="A128" s="42" t="s">
        <v>14</v>
      </c>
      <c r="B128" s="42" t="s">
        <v>15</v>
      </c>
      <c r="C128" s="42" t="s">
        <v>16</v>
      </c>
      <c r="D128" s="42">
        <v>329.13</v>
      </c>
      <c r="E128" s="42">
        <v>161</v>
      </c>
      <c r="F128" s="50">
        <v>9</v>
      </c>
      <c r="G128" s="35" t="str">
        <f t="shared" si="1"/>
        <v>REŞADİYE1619</v>
      </c>
      <c r="H128" s="42" t="s">
        <v>137</v>
      </c>
      <c r="I128" s="61">
        <f>($J$120/$D$120)*D128</f>
        <v>190919.94685030935</v>
      </c>
      <c r="J128" s="42"/>
    </row>
    <row r="129" spans="1:10">
      <c r="A129" s="42" t="s">
        <v>14</v>
      </c>
      <c r="B129" s="42" t="s">
        <v>15</v>
      </c>
      <c r="C129" s="42" t="s">
        <v>16</v>
      </c>
      <c r="D129" s="42">
        <v>280.77999999999997</v>
      </c>
      <c r="E129" s="42">
        <v>161</v>
      </c>
      <c r="F129" s="50">
        <v>10</v>
      </c>
      <c r="G129" s="35" t="str">
        <f t="shared" si="1"/>
        <v>REŞADİYE16110</v>
      </c>
      <c r="H129" s="42" t="s">
        <v>137</v>
      </c>
      <c r="I129" s="61">
        <f>($J$120/$D$120)*D129</f>
        <v>162873.34085811034</v>
      </c>
      <c r="J129" s="42"/>
    </row>
    <row r="130" spans="1:10">
      <c r="A130" s="20" t="s">
        <v>14</v>
      </c>
      <c r="B130" s="20" t="s">
        <v>15</v>
      </c>
      <c r="C130" s="20" t="s">
        <v>16</v>
      </c>
      <c r="D130" s="20">
        <v>537.67999999999995</v>
      </c>
      <c r="E130" s="34">
        <v>162</v>
      </c>
      <c r="F130" s="20">
        <v>2</v>
      </c>
      <c r="G130" s="35" t="str">
        <f t="shared" si="1"/>
        <v>REŞADİYE1622</v>
      </c>
      <c r="H130" s="20" t="s">
        <v>137</v>
      </c>
      <c r="I130" s="21">
        <v>225000</v>
      </c>
      <c r="J130" s="21">
        <v>240000</v>
      </c>
    </row>
    <row r="131" spans="1:10">
      <c r="A131" s="36" t="s">
        <v>14</v>
      </c>
      <c r="B131" s="36" t="s">
        <v>15</v>
      </c>
      <c r="C131" s="36" t="s">
        <v>16</v>
      </c>
      <c r="D131" s="36">
        <v>736.25</v>
      </c>
      <c r="E131" s="55">
        <v>162</v>
      </c>
      <c r="F131" s="39">
        <v>10</v>
      </c>
      <c r="G131" s="35" t="str">
        <f t="shared" ref="G131:G194" si="2">C131&amp;E131&amp;F131</f>
        <v>REŞADİYE16210</v>
      </c>
      <c r="H131" s="36" t="s">
        <v>137</v>
      </c>
      <c r="I131" s="38">
        <v>270000</v>
      </c>
      <c r="J131" s="38">
        <v>271000</v>
      </c>
    </row>
    <row r="132" spans="1:10">
      <c r="A132" s="20" t="s">
        <v>14</v>
      </c>
      <c r="B132" s="20" t="s">
        <v>15</v>
      </c>
      <c r="C132" s="20" t="s">
        <v>16</v>
      </c>
      <c r="D132" s="20">
        <v>740.83</v>
      </c>
      <c r="E132" s="34">
        <v>162</v>
      </c>
      <c r="F132" s="20">
        <v>11</v>
      </c>
      <c r="G132" s="35" t="str">
        <f t="shared" si="2"/>
        <v>REŞADİYE16211</v>
      </c>
      <c r="H132" s="20" t="s">
        <v>137</v>
      </c>
      <c r="I132" s="21">
        <v>270000</v>
      </c>
      <c r="J132" s="21">
        <v>280000</v>
      </c>
    </row>
    <row r="133" spans="1:10">
      <c r="A133" s="20" t="s">
        <v>14</v>
      </c>
      <c r="B133" s="20" t="s">
        <v>15</v>
      </c>
      <c r="C133" s="20" t="s">
        <v>16</v>
      </c>
      <c r="D133" s="20">
        <v>756.98</v>
      </c>
      <c r="E133" s="34">
        <v>162</v>
      </c>
      <c r="F133" s="20">
        <v>4</v>
      </c>
      <c r="G133" s="35" t="str">
        <f t="shared" si="2"/>
        <v>REŞADİYE1624</v>
      </c>
      <c r="H133" s="20" t="s">
        <v>137</v>
      </c>
      <c r="I133" s="21">
        <v>278000</v>
      </c>
      <c r="J133" s="21">
        <v>280000</v>
      </c>
    </row>
    <row r="134" spans="1:10">
      <c r="A134" s="36" t="s">
        <v>14</v>
      </c>
      <c r="B134" s="36" t="s">
        <v>15</v>
      </c>
      <c r="C134" s="36" t="s">
        <v>16</v>
      </c>
      <c r="D134" s="36">
        <v>751.82</v>
      </c>
      <c r="E134" s="55">
        <v>162</v>
      </c>
      <c r="F134" s="39">
        <v>5</v>
      </c>
      <c r="G134" s="35" t="str">
        <f t="shared" si="2"/>
        <v>REŞADİYE1625</v>
      </c>
      <c r="H134" s="36" t="s">
        <v>137</v>
      </c>
      <c r="I134" s="38">
        <v>275000</v>
      </c>
      <c r="J134" s="38">
        <v>276000</v>
      </c>
    </row>
    <row r="135" spans="1:10">
      <c r="A135" s="36" t="s">
        <v>14</v>
      </c>
      <c r="B135" s="36" t="s">
        <v>15</v>
      </c>
      <c r="C135" s="36" t="s">
        <v>16</v>
      </c>
      <c r="D135" s="36">
        <v>758.05</v>
      </c>
      <c r="E135" s="55">
        <v>162</v>
      </c>
      <c r="F135" s="39">
        <v>6</v>
      </c>
      <c r="G135" s="35" t="str">
        <f t="shared" si="2"/>
        <v>REŞADİYE1626</v>
      </c>
      <c r="H135" s="36" t="s">
        <v>137</v>
      </c>
      <c r="I135" s="38">
        <v>421000</v>
      </c>
      <c r="J135" s="38">
        <v>422000</v>
      </c>
    </row>
    <row r="136" spans="1:10">
      <c r="A136" s="36" t="s">
        <v>14</v>
      </c>
      <c r="B136" s="36" t="s">
        <v>15</v>
      </c>
      <c r="C136" s="36" t="s">
        <v>16</v>
      </c>
      <c r="D136" s="36">
        <v>761.98</v>
      </c>
      <c r="E136" s="55">
        <v>162</v>
      </c>
      <c r="F136" s="39">
        <v>7</v>
      </c>
      <c r="G136" s="35" t="str">
        <f t="shared" si="2"/>
        <v>REŞADİYE1627</v>
      </c>
      <c r="H136" s="36" t="s">
        <v>137</v>
      </c>
      <c r="I136" s="38">
        <v>421000</v>
      </c>
      <c r="J136" s="38">
        <v>422000</v>
      </c>
    </row>
    <row r="137" spans="1:10">
      <c r="A137" s="36" t="s">
        <v>14</v>
      </c>
      <c r="B137" s="36" t="s">
        <v>15</v>
      </c>
      <c r="C137" s="36" t="s">
        <v>16</v>
      </c>
      <c r="D137" s="36">
        <v>748.35</v>
      </c>
      <c r="E137" s="55">
        <v>162</v>
      </c>
      <c r="F137" s="39">
        <v>8</v>
      </c>
      <c r="G137" s="35" t="str">
        <f t="shared" si="2"/>
        <v>REŞADİYE1628</v>
      </c>
      <c r="H137" s="36" t="s">
        <v>137</v>
      </c>
      <c r="I137" s="38">
        <v>430000</v>
      </c>
      <c r="J137" s="38">
        <v>431000</v>
      </c>
    </row>
    <row r="138" spans="1:10">
      <c r="A138" s="36" t="s">
        <v>14</v>
      </c>
      <c r="B138" s="36" t="s">
        <v>15</v>
      </c>
      <c r="C138" s="36" t="s">
        <v>16</v>
      </c>
      <c r="D138" s="36">
        <v>742.47</v>
      </c>
      <c r="E138" s="55">
        <v>162</v>
      </c>
      <c r="F138" s="39">
        <v>9</v>
      </c>
      <c r="G138" s="35" t="str">
        <f t="shared" si="2"/>
        <v>REŞADİYE1629</v>
      </c>
      <c r="H138" s="36" t="s">
        <v>137</v>
      </c>
      <c r="I138" s="38">
        <v>430000</v>
      </c>
      <c r="J138" s="38">
        <v>431000</v>
      </c>
    </row>
    <row r="139" spans="1:10">
      <c r="A139" s="42" t="s">
        <v>14</v>
      </c>
      <c r="B139" s="42" t="s">
        <v>15</v>
      </c>
      <c r="C139" s="42" t="s">
        <v>16</v>
      </c>
      <c r="D139" s="42">
        <v>375.54</v>
      </c>
      <c r="E139" s="42">
        <v>162</v>
      </c>
      <c r="F139" s="50">
        <v>13</v>
      </c>
      <c r="G139" s="35" t="str">
        <f t="shared" si="2"/>
        <v>REŞADİYE16213</v>
      </c>
      <c r="H139" s="42" t="s">
        <v>137</v>
      </c>
      <c r="I139" s="61">
        <f>($J$134/$D$134)*D139</f>
        <v>137864.16961506743</v>
      </c>
      <c r="J139" s="42"/>
    </row>
    <row r="140" spans="1:10">
      <c r="A140" s="42" t="s">
        <v>14</v>
      </c>
      <c r="B140" s="42" t="s">
        <v>15</v>
      </c>
      <c r="C140" s="42" t="s">
        <v>16</v>
      </c>
      <c r="D140" s="42">
        <v>376.28</v>
      </c>
      <c r="E140" s="42">
        <v>162</v>
      </c>
      <c r="F140" s="50">
        <v>14</v>
      </c>
      <c r="G140" s="35" t="str">
        <f t="shared" si="2"/>
        <v>REŞADİYE16214</v>
      </c>
      <c r="H140" s="42" t="s">
        <v>137</v>
      </c>
      <c r="I140" s="61">
        <f>($J$134/$D$134)*D140</f>
        <v>138135.83038493255</v>
      </c>
      <c r="J140" s="42"/>
    </row>
    <row r="141" spans="1:10">
      <c r="A141" s="42" t="s">
        <v>14</v>
      </c>
      <c r="B141" s="42" t="s">
        <v>15</v>
      </c>
      <c r="C141" s="42" t="s">
        <v>16</v>
      </c>
      <c r="D141" s="42">
        <v>378.74</v>
      </c>
      <c r="E141" s="42">
        <v>162</v>
      </c>
      <c r="F141" s="50">
        <v>15</v>
      </c>
      <c r="G141" s="35" t="str">
        <f t="shared" si="2"/>
        <v>REŞADİYE16215</v>
      </c>
      <c r="H141" s="42" t="s">
        <v>137</v>
      </c>
      <c r="I141" s="61">
        <f>($J$135/$D$135)*D141</f>
        <v>210841.34291933253</v>
      </c>
      <c r="J141" s="42"/>
    </row>
    <row r="142" spans="1:10">
      <c r="A142" s="42" t="s">
        <v>14</v>
      </c>
      <c r="B142" s="42" t="s">
        <v>15</v>
      </c>
      <c r="C142" s="42" t="s">
        <v>16</v>
      </c>
      <c r="D142" s="42">
        <v>379.31</v>
      </c>
      <c r="E142" s="42">
        <v>162</v>
      </c>
      <c r="F142" s="50">
        <v>16</v>
      </c>
      <c r="G142" s="35" t="str">
        <f t="shared" si="2"/>
        <v>REŞADİYE16216</v>
      </c>
      <c r="H142" s="42" t="s">
        <v>137</v>
      </c>
      <c r="I142" s="61">
        <f>($J$135/$D$135)*D142</f>
        <v>211158.65708066753</v>
      </c>
      <c r="J142" s="42"/>
    </row>
    <row r="143" spans="1:10">
      <c r="A143" s="42" t="s">
        <v>14</v>
      </c>
      <c r="B143" s="42" t="s">
        <v>15</v>
      </c>
      <c r="C143" s="42" t="s">
        <v>16</v>
      </c>
      <c r="D143" s="42">
        <v>367.56</v>
      </c>
      <c r="E143" s="42">
        <v>162</v>
      </c>
      <c r="F143" s="50">
        <v>21</v>
      </c>
      <c r="G143" s="35" t="str">
        <f t="shared" si="2"/>
        <v>REŞADİYE16221</v>
      </c>
      <c r="H143" s="42" t="s">
        <v>137</v>
      </c>
      <c r="I143" s="61">
        <f>($J$131/$D$131)*D143</f>
        <v>135292.03395585739</v>
      </c>
      <c r="J143" s="42"/>
    </row>
    <row r="144" spans="1:10">
      <c r="A144" s="42" t="s">
        <v>14</v>
      </c>
      <c r="B144" s="42" t="s">
        <v>15</v>
      </c>
      <c r="C144" s="42" t="s">
        <v>16</v>
      </c>
      <c r="D144" s="42">
        <v>368.69</v>
      </c>
      <c r="E144" s="42">
        <v>162</v>
      </c>
      <c r="F144" s="50">
        <v>22</v>
      </c>
      <c r="G144" s="35" t="str">
        <f t="shared" si="2"/>
        <v>REŞADİYE16222</v>
      </c>
      <c r="H144" s="42" t="s">
        <v>137</v>
      </c>
      <c r="I144" s="61">
        <f>($J$131/$D$131)*D144</f>
        <v>135707.96604414261</v>
      </c>
      <c r="J144" s="42"/>
    </row>
    <row r="145" spans="1:10">
      <c r="A145" s="42" t="s">
        <v>14</v>
      </c>
      <c r="B145" s="42" t="s">
        <v>15</v>
      </c>
      <c r="C145" s="42" t="s">
        <v>16</v>
      </c>
      <c r="D145" s="42">
        <v>370.95</v>
      </c>
      <c r="E145" s="42">
        <v>162</v>
      </c>
      <c r="F145" s="50">
        <v>19</v>
      </c>
      <c r="G145" s="35" t="str">
        <f t="shared" si="2"/>
        <v>REŞADİYE16219</v>
      </c>
      <c r="H145" s="42" t="s">
        <v>137</v>
      </c>
      <c r="I145" s="61">
        <f>($J$138/$D$138)*D145</f>
        <v>215334.55897207966</v>
      </c>
      <c r="J145" s="42"/>
    </row>
    <row r="146" spans="1:10">
      <c r="A146" s="42" t="s">
        <v>14</v>
      </c>
      <c r="B146" s="42" t="s">
        <v>15</v>
      </c>
      <c r="C146" s="42" t="s">
        <v>16</v>
      </c>
      <c r="D146" s="42">
        <v>371.52</v>
      </c>
      <c r="E146" s="42">
        <v>162</v>
      </c>
      <c r="F146" s="50">
        <v>20</v>
      </c>
      <c r="G146" s="35" t="str">
        <f t="shared" si="2"/>
        <v>REŞADİYE16220</v>
      </c>
      <c r="H146" s="42" t="s">
        <v>137</v>
      </c>
      <c r="I146" s="61">
        <f>($J$138/$D$138)*D146</f>
        <v>215665.44102792029</v>
      </c>
      <c r="J146" s="42"/>
    </row>
    <row r="147" spans="1:10">
      <c r="A147" s="42" t="s">
        <v>14</v>
      </c>
      <c r="B147" s="42" t="s">
        <v>15</v>
      </c>
      <c r="C147" s="42" t="s">
        <v>16</v>
      </c>
      <c r="D147" s="42">
        <v>380.28</v>
      </c>
      <c r="E147" s="42">
        <v>162</v>
      </c>
      <c r="F147" s="50">
        <v>23</v>
      </c>
      <c r="G147" s="35" t="str">
        <f t="shared" si="2"/>
        <v>REŞADİYE16223</v>
      </c>
      <c r="H147" s="42" t="s">
        <v>137</v>
      </c>
      <c r="I147" s="61">
        <f>($J$136/$D$136)*D147</f>
        <v>210606.78757972646</v>
      </c>
      <c r="J147" s="42"/>
    </row>
    <row r="148" spans="1:10">
      <c r="A148" s="42" t="s">
        <v>14</v>
      </c>
      <c r="B148" s="42" t="s">
        <v>15</v>
      </c>
      <c r="C148" s="42" t="s">
        <v>16</v>
      </c>
      <c r="D148" s="42">
        <v>381.7</v>
      </c>
      <c r="E148" s="42">
        <v>162</v>
      </c>
      <c r="F148" s="50">
        <v>24</v>
      </c>
      <c r="G148" s="35" t="str">
        <f t="shared" si="2"/>
        <v>REŞADİYE16224</v>
      </c>
      <c r="H148" s="42" t="s">
        <v>137</v>
      </c>
      <c r="I148" s="61">
        <f>($J$136/$D$136)*D148</f>
        <v>211393.21242027348</v>
      </c>
      <c r="J148" s="42"/>
    </row>
    <row r="149" spans="1:10">
      <c r="A149" s="42" t="s">
        <v>14</v>
      </c>
      <c r="B149" s="42" t="s">
        <v>15</v>
      </c>
      <c r="C149" s="42" t="s">
        <v>16</v>
      </c>
      <c r="D149" s="42">
        <v>374.25</v>
      </c>
      <c r="E149" s="42">
        <v>162</v>
      </c>
      <c r="F149" s="50">
        <v>17</v>
      </c>
      <c r="G149" s="35" t="str">
        <f t="shared" si="2"/>
        <v>REŞADİYE16217</v>
      </c>
      <c r="H149" s="42" t="s">
        <v>137</v>
      </c>
      <c r="I149" s="61">
        <f>($J$137/$D$137)*D149</f>
        <v>215543.19502906394</v>
      </c>
      <c r="J149" s="42"/>
    </row>
    <row r="150" spans="1:10">
      <c r="A150" s="42" t="s">
        <v>14</v>
      </c>
      <c r="B150" s="42" t="s">
        <v>15</v>
      </c>
      <c r="C150" s="42" t="s">
        <v>16</v>
      </c>
      <c r="D150" s="42">
        <v>374.1</v>
      </c>
      <c r="E150" s="42">
        <v>162</v>
      </c>
      <c r="F150" s="50">
        <v>18</v>
      </c>
      <c r="G150" s="35" t="str">
        <f t="shared" si="2"/>
        <v>REŞADİYE16218</v>
      </c>
      <c r="H150" s="42" t="s">
        <v>137</v>
      </c>
      <c r="I150" s="61">
        <f>($J$137/$D$137)*D150</f>
        <v>215456.80497093606</v>
      </c>
      <c r="J150" s="42"/>
    </row>
    <row r="151" spans="1:10">
      <c r="A151" s="19" t="s">
        <v>14</v>
      </c>
      <c r="B151" s="19" t="s">
        <v>33</v>
      </c>
      <c r="C151" s="19" t="s">
        <v>34</v>
      </c>
      <c r="D151" s="19">
        <v>665.52</v>
      </c>
      <c r="E151" s="19">
        <v>105</v>
      </c>
      <c r="F151" s="17">
        <v>2</v>
      </c>
      <c r="G151" s="35" t="str">
        <f t="shared" si="2"/>
        <v>ARMUTLU1052</v>
      </c>
      <c r="H151" s="19" t="s">
        <v>138</v>
      </c>
      <c r="I151" s="54">
        <v>370000</v>
      </c>
      <c r="J151" s="7"/>
    </row>
    <row r="152" spans="1:10">
      <c r="A152" s="20" t="s">
        <v>14</v>
      </c>
      <c r="B152" s="20" t="s">
        <v>15</v>
      </c>
      <c r="C152" s="20" t="s">
        <v>16</v>
      </c>
      <c r="D152" s="20">
        <v>740.38</v>
      </c>
      <c r="E152" s="34">
        <v>163</v>
      </c>
      <c r="F152" s="20">
        <v>3</v>
      </c>
      <c r="G152" s="35" t="str">
        <f t="shared" si="2"/>
        <v>REŞADİYE1633</v>
      </c>
      <c r="H152" s="20" t="s">
        <v>137</v>
      </c>
      <c r="I152" s="21">
        <v>430000</v>
      </c>
      <c r="J152" s="21">
        <v>445000</v>
      </c>
    </row>
    <row r="153" spans="1:10">
      <c r="A153" s="20" t="s">
        <v>14</v>
      </c>
      <c r="B153" s="20" t="s">
        <v>15</v>
      </c>
      <c r="C153" s="20" t="s">
        <v>16</v>
      </c>
      <c r="D153" s="20">
        <v>750.8</v>
      </c>
      <c r="E153" s="34">
        <v>163</v>
      </c>
      <c r="F153" s="20">
        <v>4</v>
      </c>
      <c r="G153" s="35" t="str">
        <f t="shared" si="2"/>
        <v>REŞADİYE1634</v>
      </c>
      <c r="H153" s="20" t="s">
        <v>137</v>
      </c>
      <c r="I153" s="21">
        <v>470000</v>
      </c>
      <c r="J153" s="21">
        <v>485000</v>
      </c>
    </row>
    <row r="154" spans="1:10">
      <c r="A154" s="20" t="s">
        <v>14</v>
      </c>
      <c r="B154" s="20" t="s">
        <v>15</v>
      </c>
      <c r="C154" s="20" t="s">
        <v>16</v>
      </c>
      <c r="D154" s="20">
        <v>734.68</v>
      </c>
      <c r="E154" s="34">
        <v>163</v>
      </c>
      <c r="F154" s="20">
        <v>8</v>
      </c>
      <c r="G154" s="35" t="str">
        <f t="shared" si="2"/>
        <v>REŞADİYE1638</v>
      </c>
      <c r="H154" s="20" t="s">
        <v>137</v>
      </c>
      <c r="I154" s="21">
        <v>450000</v>
      </c>
      <c r="J154" s="21">
        <v>465000</v>
      </c>
    </row>
    <row r="155" spans="1:10">
      <c r="A155" s="42" t="s">
        <v>17</v>
      </c>
      <c r="B155" s="42" t="s">
        <v>21</v>
      </c>
      <c r="C155" s="42" t="s">
        <v>52</v>
      </c>
      <c r="D155" s="42">
        <v>475</v>
      </c>
      <c r="E155" s="43">
        <v>102</v>
      </c>
      <c r="F155" s="42">
        <v>1</v>
      </c>
      <c r="G155" s="35" t="str">
        <f t="shared" si="2"/>
        <v>KEMALİYE1021</v>
      </c>
      <c r="H155" s="42" t="s">
        <v>137</v>
      </c>
      <c r="I155" s="44">
        <v>352000</v>
      </c>
      <c r="J155" s="44">
        <v>353000</v>
      </c>
    </row>
    <row r="156" spans="1:10">
      <c r="A156" s="42" t="s">
        <v>17</v>
      </c>
      <c r="B156" s="42" t="s">
        <v>21</v>
      </c>
      <c r="C156" s="42" t="s">
        <v>52</v>
      </c>
      <c r="D156" s="42">
        <v>453</v>
      </c>
      <c r="E156" s="43">
        <v>102</v>
      </c>
      <c r="F156" s="42">
        <v>2</v>
      </c>
      <c r="G156" s="35" t="str">
        <f t="shared" si="2"/>
        <v>KEMALİYE1022</v>
      </c>
      <c r="H156" s="42" t="s">
        <v>137</v>
      </c>
      <c r="I156" s="44">
        <v>333000</v>
      </c>
      <c r="J156" s="44">
        <v>350000</v>
      </c>
    </row>
    <row r="157" spans="1:10">
      <c r="A157" s="42" t="s">
        <v>17</v>
      </c>
      <c r="B157" s="42" t="s">
        <v>21</v>
      </c>
      <c r="C157" s="42" t="s">
        <v>52</v>
      </c>
      <c r="D157" s="42">
        <v>425</v>
      </c>
      <c r="E157" s="43">
        <v>102</v>
      </c>
      <c r="F157" s="42">
        <v>3</v>
      </c>
      <c r="G157" s="35" t="str">
        <f t="shared" si="2"/>
        <v>KEMALİYE1023</v>
      </c>
      <c r="H157" s="42" t="s">
        <v>137</v>
      </c>
      <c r="I157" s="44">
        <v>332000</v>
      </c>
      <c r="J157" s="44">
        <v>350000</v>
      </c>
    </row>
    <row r="158" spans="1:10">
      <c r="A158" s="42" t="s">
        <v>17</v>
      </c>
      <c r="B158" s="42" t="s">
        <v>21</v>
      </c>
      <c r="C158" s="42" t="s">
        <v>52</v>
      </c>
      <c r="D158" s="42">
        <v>446</v>
      </c>
      <c r="E158" s="43">
        <v>105</v>
      </c>
      <c r="F158" s="42">
        <v>19</v>
      </c>
      <c r="G158" s="35" t="str">
        <f t="shared" si="2"/>
        <v>KEMALİYE10519</v>
      </c>
      <c r="H158" s="42" t="s">
        <v>137</v>
      </c>
      <c r="I158" s="44">
        <v>351500</v>
      </c>
      <c r="J158" s="44">
        <v>352500</v>
      </c>
    </row>
    <row r="159" spans="1:10">
      <c r="A159" s="42" t="s">
        <v>17</v>
      </c>
      <c r="B159" s="42" t="s">
        <v>21</v>
      </c>
      <c r="C159" s="42" t="s">
        <v>52</v>
      </c>
      <c r="D159" s="42">
        <v>370</v>
      </c>
      <c r="E159" s="43">
        <v>132</v>
      </c>
      <c r="F159" s="42">
        <v>1</v>
      </c>
      <c r="G159" s="35" t="str">
        <f t="shared" si="2"/>
        <v>KEMALİYE1321</v>
      </c>
      <c r="H159" s="42" t="s">
        <v>137</v>
      </c>
      <c r="I159" s="44">
        <v>367000</v>
      </c>
      <c r="J159" s="44">
        <v>368000</v>
      </c>
    </row>
    <row r="160" spans="1:10">
      <c r="A160" s="42" t="s">
        <v>17</v>
      </c>
      <c r="B160" s="42" t="s">
        <v>21</v>
      </c>
      <c r="C160" s="42" t="s">
        <v>52</v>
      </c>
      <c r="D160" s="42">
        <v>415</v>
      </c>
      <c r="E160" s="43">
        <v>132</v>
      </c>
      <c r="F160" s="42">
        <v>4</v>
      </c>
      <c r="G160" s="35" t="str">
        <f t="shared" si="2"/>
        <v>KEMALİYE1324</v>
      </c>
      <c r="H160" s="42" t="s">
        <v>137</v>
      </c>
      <c r="I160" s="44">
        <v>380000</v>
      </c>
      <c r="J160" s="44">
        <v>382000</v>
      </c>
    </row>
    <row r="161" spans="1:10">
      <c r="A161" s="42" t="s">
        <v>17</v>
      </c>
      <c r="B161" s="42" t="s">
        <v>21</v>
      </c>
      <c r="C161" s="42" t="s">
        <v>22</v>
      </c>
      <c r="D161" s="42">
        <v>679</v>
      </c>
      <c r="E161" s="43">
        <v>105</v>
      </c>
      <c r="F161" s="42">
        <v>16</v>
      </c>
      <c r="G161" s="35" t="str">
        <f t="shared" si="2"/>
        <v>KİLLİK10516</v>
      </c>
      <c r="H161" s="42" t="s">
        <v>137</v>
      </c>
      <c r="I161" s="44">
        <v>310000</v>
      </c>
      <c r="J161" s="44">
        <v>325000</v>
      </c>
    </row>
    <row r="162" spans="1:10">
      <c r="A162" s="20" t="s">
        <v>17</v>
      </c>
      <c r="B162" s="20" t="s">
        <v>21</v>
      </c>
      <c r="C162" s="20" t="s">
        <v>22</v>
      </c>
      <c r="D162" s="20">
        <v>413</v>
      </c>
      <c r="E162" s="34">
        <v>205</v>
      </c>
      <c r="F162" s="20">
        <v>8</v>
      </c>
      <c r="G162" s="35" t="str">
        <f t="shared" si="2"/>
        <v>KİLLİK2058</v>
      </c>
      <c r="H162" s="20" t="s">
        <v>137</v>
      </c>
      <c r="I162" s="21">
        <v>187000</v>
      </c>
      <c r="J162" s="21">
        <v>190000</v>
      </c>
    </row>
    <row r="163" spans="1:10">
      <c r="A163" s="20" t="s">
        <v>17</v>
      </c>
      <c r="B163" s="20" t="s">
        <v>21</v>
      </c>
      <c r="C163" s="20" t="s">
        <v>22</v>
      </c>
      <c r="D163" s="20">
        <v>430</v>
      </c>
      <c r="E163" s="34">
        <v>205</v>
      </c>
      <c r="F163" s="20">
        <v>9</v>
      </c>
      <c r="G163" s="35" t="str">
        <f t="shared" si="2"/>
        <v>KİLLİK2059</v>
      </c>
      <c r="H163" s="20" t="s">
        <v>137</v>
      </c>
      <c r="I163" s="21">
        <v>230000</v>
      </c>
      <c r="J163" s="21">
        <v>240000</v>
      </c>
    </row>
    <row r="164" spans="1:10">
      <c r="A164" s="42" t="s">
        <v>17</v>
      </c>
      <c r="B164" s="42" t="s">
        <v>21</v>
      </c>
      <c r="C164" s="42" t="s">
        <v>22</v>
      </c>
      <c r="D164" s="42">
        <v>529</v>
      </c>
      <c r="E164" s="43">
        <v>214</v>
      </c>
      <c r="F164" s="42">
        <v>10</v>
      </c>
      <c r="G164" s="35" t="str">
        <f t="shared" si="2"/>
        <v>KİLLİK21410</v>
      </c>
      <c r="H164" s="42" t="s">
        <v>137</v>
      </c>
      <c r="I164" s="44">
        <v>240000</v>
      </c>
      <c r="J164" s="44">
        <v>241000</v>
      </c>
    </row>
    <row r="165" spans="1:10">
      <c r="A165" s="42" t="s">
        <v>17</v>
      </c>
      <c r="B165" s="42" t="s">
        <v>21</v>
      </c>
      <c r="C165" s="42" t="s">
        <v>22</v>
      </c>
      <c r="D165" s="42">
        <v>499</v>
      </c>
      <c r="E165" s="43">
        <v>214</v>
      </c>
      <c r="F165" s="42">
        <v>11</v>
      </c>
      <c r="G165" s="35" t="str">
        <f t="shared" si="2"/>
        <v>KİLLİK21411</v>
      </c>
      <c r="H165" s="42" t="s">
        <v>137</v>
      </c>
      <c r="I165" s="44">
        <v>230000</v>
      </c>
      <c r="J165" s="44">
        <v>235000</v>
      </c>
    </row>
    <row r="166" spans="1:10">
      <c r="A166" s="42" t="s">
        <v>17</v>
      </c>
      <c r="B166" s="42" t="s">
        <v>21</v>
      </c>
      <c r="C166" s="42" t="s">
        <v>22</v>
      </c>
      <c r="D166" s="42">
        <v>430</v>
      </c>
      <c r="E166" s="43">
        <v>236</v>
      </c>
      <c r="F166" s="42">
        <v>5</v>
      </c>
      <c r="G166" s="35" t="str">
        <f t="shared" si="2"/>
        <v>KİLLİK2365</v>
      </c>
      <c r="H166" s="42" t="s">
        <v>137</v>
      </c>
      <c r="I166" s="44">
        <v>261000</v>
      </c>
      <c r="J166" s="44">
        <v>262000</v>
      </c>
    </row>
    <row r="167" spans="1:10">
      <c r="A167" s="19" t="s">
        <v>14</v>
      </c>
      <c r="B167" s="19" t="s">
        <v>33</v>
      </c>
      <c r="C167" s="19" t="s">
        <v>34</v>
      </c>
      <c r="D167" s="19">
        <v>810.1</v>
      </c>
      <c r="E167" s="19">
        <v>103</v>
      </c>
      <c r="F167" s="17">
        <v>4</v>
      </c>
      <c r="G167" s="35" t="str">
        <f t="shared" si="2"/>
        <v>ARMUTLU1034</v>
      </c>
      <c r="H167" s="19" t="s">
        <v>138</v>
      </c>
      <c r="I167" s="54">
        <v>455000</v>
      </c>
      <c r="J167" s="7"/>
    </row>
    <row r="168" spans="1:10">
      <c r="A168" s="42" t="s">
        <v>17</v>
      </c>
      <c r="B168" s="42" t="s">
        <v>21</v>
      </c>
      <c r="C168" s="42" t="s">
        <v>22</v>
      </c>
      <c r="D168" s="42">
        <v>78</v>
      </c>
      <c r="E168" s="43">
        <v>240</v>
      </c>
      <c r="F168" s="42">
        <v>14</v>
      </c>
      <c r="G168" s="35" t="str">
        <f t="shared" si="2"/>
        <v>KİLLİK24014</v>
      </c>
      <c r="H168" s="42" t="s">
        <v>137</v>
      </c>
      <c r="I168" s="44">
        <v>63000</v>
      </c>
      <c r="J168" s="44">
        <v>64000</v>
      </c>
    </row>
    <row r="169" spans="1:10">
      <c r="A169" s="20" t="s">
        <v>17</v>
      </c>
      <c r="B169" s="20" t="s">
        <v>21</v>
      </c>
      <c r="C169" s="20" t="s">
        <v>111</v>
      </c>
      <c r="D169" s="20">
        <v>413</v>
      </c>
      <c r="E169" s="34">
        <v>315</v>
      </c>
      <c r="F169" s="20">
        <v>31</v>
      </c>
      <c r="G169" s="35" t="str">
        <f t="shared" si="2"/>
        <v>YEŞİLYURT31531</v>
      </c>
      <c r="H169" s="20" t="s">
        <v>137</v>
      </c>
      <c r="I169" s="21">
        <v>376000</v>
      </c>
      <c r="J169" s="21">
        <v>394000</v>
      </c>
    </row>
    <row r="170" spans="1:10">
      <c r="A170" s="20" t="s">
        <v>17</v>
      </c>
      <c r="B170" s="20" t="s">
        <v>21</v>
      </c>
      <c r="C170" s="20" t="s">
        <v>111</v>
      </c>
      <c r="D170" s="20">
        <v>340</v>
      </c>
      <c r="E170" s="34">
        <v>319</v>
      </c>
      <c r="F170" s="20">
        <v>10</v>
      </c>
      <c r="G170" s="35" t="str">
        <f t="shared" si="2"/>
        <v>YEŞİLYURT31910</v>
      </c>
      <c r="H170" s="20" t="s">
        <v>137</v>
      </c>
      <c r="I170" s="21">
        <v>281000</v>
      </c>
      <c r="J170" s="21">
        <v>295000</v>
      </c>
    </row>
    <row r="171" spans="1:10">
      <c r="A171" s="20" t="s">
        <v>17</v>
      </c>
      <c r="B171" s="20" t="s">
        <v>21</v>
      </c>
      <c r="C171" s="20" t="s">
        <v>111</v>
      </c>
      <c r="D171" s="20">
        <v>470</v>
      </c>
      <c r="E171" s="34">
        <v>319</v>
      </c>
      <c r="F171" s="20">
        <v>12</v>
      </c>
      <c r="G171" s="35" t="str">
        <f t="shared" si="2"/>
        <v>YEŞİLYURT31912</v>
      </c>
      <c r="H171" s="20" t="s">
        <v>137</v>
      </c>
      <c r="I171" s="21">
        <v>329000</v>
      </c>
      <c r="J171" s="21">
        <v>430000</v>
      </c>
    </row>
    <row r="172" spans="1:10">
      <c r="A172" s="42" t="s">
        <v>17</v>
      </c>
      <c r="B172" s="42" t="s">
        <v>21</v>
      </c>
      <c r="C172" s="42" t="s">
        <v>52</v>
      </c>
      <c r="D172" s="42">
        <v>403</v>
      </c>
      <c r="E172" s="43">
        <v>132</v>
      </c>
      <c r="F172" s="42">
        <v>2</v>
      </c>
      <c r="G172" s="35" t="str">
        <f t="shared" si="2"/>
        <v>KEMALİYE1322</v>
      </c>
      <c r="H172" s="42" t="s">
        <v>137</v>
      </c>
      <c r="I172" s="44">
        <v>311500</v>
      </c>
      <c r="J172" s="44">
        <v>325000</v>
      </c>
    </row>
    <row r="173" spans="1:10">
      <c r="A173" s="62" t="s">
        <v>14</v>
      </c>
      <c r="B173" s="42" t="s">
        <v>33</v>
      </c>
      <c r="C173" s="42" t="s">
        <v>42</v>
      </c>
      <c r="D173" s="42">
        <v>837.79</v>
      </c>
      <c r="E173" s="43">
        <v>110</v>
      </c>
      <c r="F173" s="42">
        <v>1</v>
      </c>
      <c r="G173" s="35" t="str">
        <f t="shared" si="2"/>
        <v>İBİLLER1101</v>
      </c>
      <c r="H173" s="42" t="s">
        <v>137</v>
      </c>
      <c r="I173" s="44">
        <v>420000</v>
      </c>
      <c r="J173" s="44">
        <v>425000</v>
      </c>
    </row>
    <row r="174" spans="1:10">
      <c r="A174" s="62" t="s">
        <v>14</v>
      </c>
      <c r="B174" s="42" t="s">
        <v>33</v>
      </c>
      <c r="C174" s="42" t="s">
        <v>42</v>
      </c>
      <c r="D174" s="42">
        <v>671.12</v>
      </c>
      <c r="E174" s="43">
        <v>110</v>
      </c>
      <c r="F174" s="42">
        <v>5</v>
      </c>
      <c r="G174" s="35" t="str">
        <f t="shared" si="2"/>
        <v>İBİLLER1105</v>
      </c>
      <c r="H174" s="42" t="s">
        <v>137</v>
      </c>
      <c r="I174" s="44">
        <v>410000</v>
      </c>
      <c r="J174" s="44">
        <v>415000</v>
      </c>
    </row>
    <row r="175" spans="1:10">
      <c r="A175" s="63" t="s">
        <v>14</v>
      </c>
      <c r="B175" s="36" t="s">
        <v>33</v>
      </c>
      <c r="C175" s="36" t="s">
        <v>42</v>
      </c>
      <c r="D175" s="36">
        <v>657.64</v>
      </c>
      <c r="E175" s="55">
        <v>111</v>
      </c>
      <c r="F175" s="39">
        <v>7</v>
      </c>
      <c r="G175" s="35" t="str">
        <f t="shared" si="2"/>
        <v>İBİLLER1117</v>
      </c>
      <c r="H175" s="36" t="s">
        <v>137</v>
      </c>
      <c r="I175" s="38">
        <v>400000</v>
      </c>
      <c r="J175" s="38">
        <v>410000</v>
      </c>
    </row>
    <row r="176" spans="1:10">
      <c r="A176" s="62" t="s">
        <v>14</v>
      </c>
      <c r="B176" s="42" t="s">
        <v>33</v>
      </c>
      <c r="C176" s="42" t="s">
        <v>42</v>
      </c>
      <c r="D176" s="42">
        <v>610</v>
      </c>
      <c r="E176" s="43">
        <v>111</v>
      </c>
      <c r="F176" s="42">
        <v>9</v>
      </c>
      <c r="G176" s="35" t="str">
        <f t="shared" si="2"/>
        <v>İBİLLER1119</v>
      </c>
      <c r="H176" s="42" t="s">
        <v>137</v>
      </c>
      <c r="I176" s="44">
        <v>370000</v>
      </c>
      <c r="J176" s="44">
        <v>550000</v>
      </c>
    </row>
    <row r="177" spans="1:10">
      <c r="A177" s="62" t="s">
        <v>14</v>
      </c>
      <c r="B177" s="42" t="s">
        <v>33</v>
      </c>
      <c r="C177" s="42" t="s">
        <v>42</v>
      </c>
      <c r="D177" s="42">
        <v>610</v>
      </c>
      <c r="E177" s="43">
        <v>111</v>
      </c>
      <c r="F177" s="42">
        <v>8</v>
      </c>
      <c r="G177" s="35" t="str">
        <f t="shared" si="2"/>
        <v>İBİLLER1118</v>
      </c>
      <c r="H177" s="42" t="s">
        <v>137</v>
      </c>
      <c r="I177" s="44">
        <v>370000</v>
      </c>
      <c r="J177" s="44">
        <v>371000</v>
      </c>
    </row>
    <row r="178" spans="1:10">
      <c r="A178" s="62" t="s">
        <v>14</v>
      </c>
      <c r="B178" s="42" t="s">
        <v>33</v>
      </c>
      <c r="C178" s="42" t="s">
        <v>42</v>
      </c>
      <c r="D178" s="42">
        <v>610</v>
      </c>
      <c r="E178" s="43">
        <v>111</v>
      </c>
      <c r="F178" s="42">
        <v>1</v>
      </c>
      <c r="G178" s="35" t="str">
        <f t="shared" si="2"/>
        <v>İBİLLER1111</v>
      </c>
      <c r="H178" s="42" t="s">
        <v>137</v>
      </c>
      <c r="I178" s="44">
        <v>370000</v>
      </c>
      <c r="J178" s="44">
        <v>550000</v>
      </c>
    </row>
    <row r="179" spans="1:10">
      <c r="A179" s="62" t="s">
        <v>14</v>
      </c>
      <c r="B179" s="42" t="s">
        <v>33</v>
      </c>
      <c r="C179" s="42" t="s">
        <v>42</v>
      </c>
      <c r="D179" s="42">
        <v>610</v>
      </c>
      <c r="E179" s="43">
        <v>111</v>
      </c>
      <c r="F179" s="42">
        <v>10</v>
      </c>
      <c r="G179" s="35" t="str">
        <f t="shared" si="2"/>
        <v>İBİLLER11110</v>
      </c>
      <c r="H179" s="42" t="s">
        <v>137</v>
      </c>
      <c r="I179" s="44">
        <v>370000</v>
      </c>
      <c r="J179" s="44">
        <v>550000</v>
      </c>
    </row>
    <row r="180" spans="1:10">
      <c r="A180" s="62" t="s">
        <v>14</v>
      </c>
      <c r="B180" s="42" t="s">
        <v>33</v>
      </c>
      <c r="C180" s="42" t="s">
        <v>42</v>
      </c>
      <c r="D180" s="42">
        <v>610</v>
      </c>
      <c r="E180" s="43">
        <v>111</v>
      </c>
      <c r="F180" s="42">
        <v>11</v>
      </c>
      <c r="G180" s="35" t="str">
        <f t="shared" si="2"/>
        <v>İBİLLER11111</v>
      </c>
      <c r="H180" s="42" t="s">
        <v>137</v>
      </c>
      <c r="I180" s="44">
        <v>370000</v>
      </c>
      <c r="J180" s="44">
        <v>550000</v>
      </c>
    </row>
    <row r="181" spans="1:10">
      <c r="A181" s="62" t="s">
        <v>14</v>
      </c>
      <c r="B181" s="42" t="s">
        <v>33</v>
      </c>
      <c r="C181" s="42" t="s">
        <v>42</v>
      </c>
      <c r="D181" s="42">
        <v>610</v>
      </c>
      <c r="E181" s="43">
        <v>111</v>
      </c>
      <c r="F181" s="42">
        <v>2</v>
      </c>
      <c r="G181" s="35" t="str">
        <f t="shared" si="2"/>
        <v>İBİLLER1112</v>
      </c>
      <c r="H181" s="42" t="s">
        <v>137</v>
      </c>
      <c r="I181" s="44">
        <v>310000</v>
      </c>
      <c r="J181" s="44">
        <v>550000</v>
      </c>
    </row>
    <row r="182" spans="1:10">
      <c r="A182" s="62" t="s">
        <v>14</v>
      </c>
      <c r="B182" s="42" t="s">
        <v>33</v>
      </c>
      <c r="C182" s="42" t="s">
        <v>42</v>
      </c>
      <c r="D182" s="42">
        <v>610</v>
      </c>
      <c r="E182" s="43">
        <v>111</v>
      </c>
      <c r="F182" s="42">
        <v>3</v>
      </c>
      <c r="G182" s="35" t="str">
        <f t="shared" si="2"/>
        <v>İBİLLER1113</v>
      </c>
      <c r="H182" s="42" t="s">
        <v>137</v>
      </c>
      <c r="I182" s="44">
        <v>310000</v>
      </c>
      <c r="J182" s="44">
        <v>550000</v>
      </c>
    </row>
    <row r="183" spans="1:10">
      <c r="A183" s="62" t="s">
        <v>14</v>
      </c>
      <c r="B183" s="42" t="s">
        <v>33</v>
      </c>
      <c r="C183" s="42" t="s">
        <v>42</v>
      </c>
      <c r="D183" s="42">
        <v>610</v>
      </c>
      <c r="E183" s="43">
        <v>111</v>
      </c>
      <c r="F183" s="42">
        <v>4</v>
      </c>
      <c r="G183" s="35" t="str">
        <f t="shared" si="2"/>
        <v>İBİLLER1114</v>
      </c>
      <c r="H183" s="42" t="s">
        <v>137</v>
      </c>
      <c r="I183" s="44">
        <v>310000</v>
      </c>
      <c r="J183" s="44">
        <v>311000</v>
      </c>
    </row>
    <row r="184" spans="1:10">
      <c r="A184" s="42" t="s">
        <v>14</v>
      </c>
      <c r="B184" s="42" t="s">
        <v>23</v>
      </c>
      <c r="C184" s="42" t="s">
        <v>56</v>
      </c>
      <c r="D184" s="42">
        <v>379.04</v>
      </c>
      <c r="E184" s="42">
        <v>12450</v>
      </c>
      <c r="F184" s="52">
        <v>7</v>
      </c>
      <c r="G184" s="35" t="str">
        <f t="shared" si="2"/>
        <v>KUVAYİ MİLLİYE124507</v>
      </c>
      <c r="H184" s="42" t="s">
        <v>137</v>
      </c>
      <c r="I184" s="44">
        <v>165000</v>
      </c>
      <c r="J184" s="44">
        <v>170000</v>
      </c>
    </row>
    <row r="185" spans="1:10">
      <c r="A185" s="19" t="s">
        <v>14</v>
      </c>
      <c r="B185" s="19" t="s">
        <v>33</v>
      </c>
      <c r="C185" s="19" t="s">
        <v>34</v>
      </c>
      <c r="D185" s="19">
        <v>753.25</v>
      </c>
      <c r="E185" s="19">
        <v>103</v>
      </c>
      <c r="F185" s="17">
        <v>7</v>
      </c>
      <c r="G185" s="35" t="str">
        <f t="shared" si="2"/>
        <v>ARMUTLU1037</v>
      </c>
      <c r="H185" s="19" t="s">
        <v>138</v>
      </c>
      <c r="I185" s="54">
        <v>425000</v>
      </c>
      <c r="J185" s="7"/>
    </row>
    <row r="186" spans="1:10">
      <c r="A186" s="19" t="s">
        <v>14</v>
      </c>
      <c r="B186" s="19" t="s">
        <v>33</v>
      </c>
      <c r="C186" s="19" t="s">
        <v>34</v>
      </c>
      <c r="D186" s="19">
        <v>693.25</v>
      </c>
      <c r="E186" s="19">
        <v>105</v>
      </c>
      <c r="F186" s="17">
        <v>3</v>
      </c>
      <c r="G186" s="35" t="str">
        <f t="shared" si="2"/>
        <v>ARMUTLU1053</v>
      </c>
      <c r="H186" s="19" t="s">
        <v>138</v>
      </c>
      <c r="I186" s="54">
        <v>380000</v>
      </c>
      <c r="J186" s="7"/>
    </row>
    <row r="187" spans="1:10">
      <c r="A187" s="35" t="s">
        <v>14</v>
      </c>
      <c r="B187" s="35" t="s">
        <v>33</v>
      </c>
      <c r="C187" s="35" t="s">
        <v>34</v>
      </c>
      <c r="D187" s="35">
        <v>571.47</v>
      </c>
      <c r="E187" s="35">
        <v>106</v>
      </c>
      <c r="F187" s="2">
        <v>2</v>
      </c>
      <c r="G187" s="35" t="str">
        <f t="shared" si="2"/>
        <v>ARMUTLU1062</v>
      </c>
      <c r="H187" s="35" t="s">
        <v>141</v>
      </c>
      <c r="I187" s="49">
        <v>320000</v>
      </c>
      <c r="J187" s="48"/>
    </row>
    <row r="188" spans="1:10">
      <c r="A188" s="42" t="s">
        <v>14</v>
      </c>
      <c r="B188" s="42" t="s">
        <v>23</v>
      </c>
      <c r="C188" s="42" t="s">
        <v>56</v>
      </c>
      <c r="D188" s="42">
        <v>244.22</v>
      </c>
      <c r="E188" s="43">
        <v>12477</v>
      </c>
      <c r="F188" s="42">
        <v>54</v>
      </c>
      <c r="G188" s="35" t="str">
        <f t="shared" si="2"/>
        <v>KUVAYİ MİLLİYE1247754</v>
      </c>
      <c r="H188" s="42" t="s">
        <v>137</v>
      </c>
      <c r="I188" s="44">
        <v>175000</v>
      </c>
      <c r="J188" s="44">
        <v>180000</v>
      </c>
    </row>
    <row r="189" spans="1:10">
      <c r="A189" s="64" t="s">
        <v>14</v>
      </c>
      <c r="B189" s="35" t="s">
        <v>33</v>
      </c>
      <c r="C189" s="35" t="s">
        <v>42</v>
      </c>
      <c r="D189" s="35">
        <v>343.72</v>
      </c>
      <c r="E189" s="35">
        <v>111</v>
      </c>
      <c r="F189" s="2">
        <v>12</v>
      </c>
      <c r="G189" s="35" t="str">
        <f t="shared" si="2"/>
        <v>İBİLLER11112</v>
      </c>
      <c r="H189" s="35" t="s">
        <v>137</v>
      </c>
      <c r="I189" s="49">
        <v>206000</v>
      </c>
      <c r="J189" s="48"/>
    </row>
    <row r="190" spans="1:10">
      <c r="A190" s="64" t="s">
        <v>14</v>
      </c>
      <c r="B190" s="35" t="s">
        <v>33</v>
      </c>
      <c r="C190" s="35" t="s">
        <v>42</v>
      </c>
      <c r="D190" s="35">
        <v>313.92</v>
      </c>
      <c r="E190" s="35">
        <v>111</v>
      </c>
      <c r="F190" s="2">
        <v>13</v>
      </c>
      <c r="G190" s="35" t="str">
        <f t="shared" si="2"/>
        <v>İBİLLER11113</v>
      </c>
      <c r="H190" s="35" t="s">
        <v>137</v>
      </c>
      <c r="I190" s="49">
        <f>($J$173/$D$173)*D190</f>
        <v>159247.54413397153</v>
      </c>
      <c r="J190" s="48"/>
    </row>
    <row r="191" spans="1:10">
      <c r="A191" s="64" t="s">
        <v>14</v>
      </c>
      <c r="B191" s="35" t="s">
        <v>33</v>
      </c>
      <c r="C191" s="35" t="s">
        <v>42</v>
      </c>
      <c r="D191" s="35">
        <v>305</v>
      </c>
      <c r="E191" s="35">
        <v>111</v>
      </c>
      <c r="F191" s="2">
        <v>14</v>
      </c>
      <c r="G191" s="35" t="str">
        <f t="shared" si="2"/>
        <v>İBİLLER11114</v>
      </c>
      <c r="H191" s="35" t="s">
        <v>137</v>
      </c>
      <c r="I191" s="49">
        <f>($J$178/$D$178)*D191</f>
        <v>275000</v>
      </c>
      <c r="J191" s="48"/>
    </row>
    <row r="192" spans="1:10">
      <c r="A192" s="64" t="s">
        <v>14</v>
      </c>
      <c r="B192" s="35" t="s">
        <v>33</v>
      </c>
      <c r="C192" s="35" t="s">
        <v>42</v>
      </c>
      <c r="D192" s="35">
        <v>305</v>
      </c>
      <c r="E192" s="35">
        <v>111</v>
      </c>
      <c r="F192" s="2">
        <v>15</v>
      </c>
      <c r="G192" s="35" t="str">
        <f t="shared" si="2"/>
        <v>İBİLLER11115</v>
      </c>
      <c r="H192" s="35" t="s">
        <v>137</v>
      </c>
      <c r="I192" s="49">
        <f>($J$178/$D$178)*D192</f>
        <v>275000</v>
      </c>
      <c r="J192" s="48"/>
    </row>
    <row r="193" spans="1:10">
      <c r="A193" s="64" t="s">
        <v>14</v>
      </c>
      <c r="B193" s="35" t="s">
        <v>33</v>
      </c>
      <c r="C193" s="35" t="s">
        <v>42</v>
      </c>
      <c r="D193" s="35">
        <v>406.86</v>
      </c>
      <c r="E193" s="35">
        <v>111</v>
      </c>
      <c r="F193" s="2">
        <v>21</v>
      </c>
      <c r="G193" s="35" t="str">
        <f t="shared" si="2"/>
        <v>İBİLLER11121</v>
      </c>
      <c r="H193" s="35" t="s">
        <v>137</v>
      </c>
      <c r="I193" s="49">
        <f>(($J$176+$J$179)/($D$176+$D$179))*D193</f>
        <v>366840.98360655736</v>
      </c>
      <c r="J193" s="48"/>
    </row>
    <row r="194" spans="1:10">
      <c r="A194" s="64" t="s">
        <v>14</v>
      </c>
      <c r="B194" s="35" t="s">
        <v>33</v>
      </c>
      <c r="C194" s="35" t="s">
        <v>42</v>
      </c>
      <c r="D194" s="35">
        <v>406.58</v>
      </c>
      <c r="E194" s="35">
        <v>111</v>
      </c>
      <c r="F194" s="2">
        <v>22</v>
      </c>
      <c r="G194" s="35" t="str">
        <f t="shared" si="2"/>
        <v>İBİLLER11122</v>
      </c>
      <c r="H194" s="35" t="s">
        <v>137</v>
      </c>
      <c r="I194" s="49">
        <f>(($J$176+$J$179)/($D$176+$D$179))*D194</f>
        <v>366588.5245901639</v>
      </c>
      <c r="J194" s="48"/>
    </row>
    <row r="195" spans="1:10">
      <c r="A195" s="64" t="s">
        <v>14</v>
      </c>
      <c r="B195" s="35" t="s">
        <v>33</v>
      </c>
      <c r="C195" s="35" t="s">
        <v>42</v>
      </c>
      <c r="D195" s="35">
        <v>406.56</v>
      </c>
      <c r="E195" s="35">
        <v>111</v>
      </c>
      <c r="F195" s="2">
        <v>23</v>
      </c>
      <c r="G195" s="35" t="str">
        <f t="shared" ref="G195:G258" si="3">C195&amp;E195&amp;F195</f>
        <v>İBİLLER11123</v>
      </c>
      <c r="H195" s="35" t="s">
        <v>137</v>
      </c>
      <c r="I195" s="49">
        <f>(($J$176+$J$179)/($D$176+$D$179))*D195</f>
        <v>366570.49180327868</v>
      </c>
      <c r="J195" s="48"/>
    </row>
    <row r="196" spans="1:10">
      <c r="A196" s="64" t="s">
        <v>14</v>
      </c>
      <c r="B196" s="35" t="s">
        <v>33</v>
      </c>
      <c r="C196" s="35" t="s">
        <v>42</v>
      </c>
      <c r="D196" s="35">
        <v>305</v>
      </c>
      <c r="E196" s="35">
        <v>111</v>
      </c>
      <c r="F196" s="2">
        <v>24</v>
      </c>
      <c r="G196" s="35" t="str">
        <f t="shared" si="3"/>
        <v>İBİLLER11124</v>
      </c>
      <c r="H196" s="35" t="s">
        <v>137</v>
      </c>
      <c r="I196" s="49">
        <f>($J$180/$D$180)*D196</f>
        <v>275000</v>
      </c>
      <c r="J196" s="48"/>
    </row>
    <row r="197" spans="1:10">
      <c r="A197" s="64" t="s">
        <v>14</v>
      </c>
      <c r="B197" s="35" t="s">
        <v>33</v>
      </c>
      <c r="C197" s="35" t="s">
        <v>42</v>
      </c>
      <c r="D197" s="35">
        <v>305</v>
      </c>
      <c r="E197" s="35">
        <v>111</v>
      </c>
      <c r="F197" s="2">
        <v>25</v>
      </c>
      <c r="G197" s="35" t="str">
        <f t="shared" si="3"/>
        <v>İBİLLER11125</v>
      </c>
      <c r="H197" s="35" t="s">
        <v>137</v>
      </c>
      <c r="I197" s="49">
        <f>($J$180/$D$180)*D197</f>
        <v>275000</v>
      </c>
      <c r="J197" s="48"/>
    </row>
    <row r="198" spans="1:10">
      <c r="A198" s="62" t="s">
        <v>14</v>
      </c>
      <c r="B198" s="42" t="s">
        <v>33</v>
      </c>
      <c r="C198" s="42" t="s">
        <v>42</v>
      </c>
      <c r="D198" s="42">
        <v>755.01</v>
      </c>
      <c r="E198" s="43">
        <v>116</v>
      </c>
      <c r="F198" s="42">
        <v>1</v>
      </c>
      <c r="G198" s="35" t="str">
        <f t="shared" si="3"/>
        <v>İBİLLER1161</v>
      </c>
      <c r="H198" s="42" t="s">
        <v>137</v>
      </c>
      <c r="I198" s="44">
        <v>460000</v>
      </c>
      <c r="J198" s="44">
        <v>465000</v>
      </c>
    </row>
    <row r="199" spans="1:10">
      <c r="A199" s="62" t="s">
        <v>14</v>
      </c>
      <c r="B199" s="42" t="s">
        <v>33</v>
      </c>
      <c r="C199" s="42" t="s">
        <v>42</v>
      </c>
      <c r="D199" s="42">
        <v>620</v>
      </c>
      <c r="E199" s="43">
        <v>116</v>
      </c>
      <c r="F199" s="42">
        <v>2</v>
      </c>
      <c r="G199" s="35" t="str">
        <f t="shared" si="3"/>
        <v>İBİLLER1162</v>
      </c>
      <c r="H199" s="42" t="s">
        <v>137</v>
      </c>
      <c r="I199" s="44">
        <v>315000</v>
      </c>
      <c r="J199" s="44">
        <v>316000</v>
      </c>
    </row>
    <row r="200" spans="1:10">
      <c r="A200" s="62" t="s">
        <v>14</v>
      </c>
      <c r="B200" s="42" t="s">
        <v>33</v>
      </c>
      <c r="C200" s="42" t="s">
        <v>42</v>
      </c>
      <c r="D200" s="42">
        <v>620</v>
      </c>
      <c r="E200" s="43">
        <v>116</v>
      </c>
      <c r="F200" s="42">
        <v>3</v>
      </c>
      <c r="G200" s="35" t="str">
        <f t="shared" si="3"/>
        <v>İBİLLER1163</v>
      </c>
      <c r="H200" s="42" t="s">
        <v>137</v>
      </c>
      <c r="I200" s="44">
        <v>315000</v>
      </c>
      <c r="J200" s="44">
        <v>316000</v>
      </c>
    </row>
    <row r="201" spans="1:10">
      <c r="A201" s="62" t="s">
        <v>14</v>
      </c>
      <c r="B201" s="42" t="s">
        <v>33</v>
      </c>
      <c r="C201" s="42" t="s">
        <v>42</v>
      </c>
      <c r="D201" s="42">
        <v>620</v>
      </c>
      <c r="E201" s="43">
        <v>116</v>
      </c>
      <c r="F201" s="42">
        <v>4</v>
      </c>
      <c r="G201" s="35" t="str">
        <f t="shared" si="3"/>
        <v>İBİLLER1164</v>
      </c>
      <c r="H201" s="42" t="s">
        <v>137</v>
      </c>
      <c r="I201" s="44">
        <v>315000</v>
      </c>
      <c r="J201" s="44">
        <v>316000</v>
      </c>
    </row>
    <row r="202" spans="1:10">
      <c r="A202" s="63" t="s">
        <v>14</v>
      </c>
      <c r="B202" s="36" t="s">
        <v>33</v>
      </c>
      <c r="C202" s="36" t="s">
        <v>42</v>
      </c>
      <c r="D202" s="36">
        <v>620</v>
      </c>
      <c r="E202" s="55">
        <v>116</v>
      </c>
      <c r="F202" s="39">
        <v>5</v>
      </c>
      <c r="G202" s="35" t="str">
        <f t="shared" si="3"/>
        <v>İBİLLER1165</v>
      </c>
      <c r="H202" s="36" t="s">
        <v>137</v>
      </c>
      <c r="I202" s="38">
        <v>315000</v>
      </c>
      <c r="J202" s="38">
        <v>316000</v>
      </c>
    </row>
    <row r="203" spans="1:10">
      <c r="A203" s="63" t="s">
        <v>14</v>
      </c>
      <c r="B203" s="36" t="s">
        <v>33</v>
      </c>
      <c r="C203" s="36" t="s">
        <v>42</v>
      </c>
      <c r="D203" s="36">
        <v>620</v>
      </c>
      <c r="E203" s="55">
        <v>116</v>
      </c>
      <c r="F203" s="39">
        <v>6</v>
      </c>
      <c r="G203" s="35" t="str">
        <f t="shared" si="3"/>
        <v>İBİLLER1166</v>
      </c>
      <c r="H203" s="36" t="s">
        <v>137</v>
      </c>
      <c r="I203" s="38">
        <v>315000</v>
      </c>
      <c r="J203" s="38">
        <v>316000</v>
      </c>
    </row>
    <row r="204" spans="1:10">
      <c r="A204" s="63" t="s">
        <v>14</v>
      </c>
      <c r="B204" s="36" t="s">
        <v>33</v>
      </c>
      <c r="C204" s="36" t="s">
        <v>42</v>
      </c>
      <c r="D204" s="36">
        <v>727.46</v>
      </c>
      <c r="E204" s="55">
        <v>116</v>
      </c>
      <c r="F204" s="39">
        <v>7</v>
      </c>
      <c r="G204" s="35" t="str">
        <f t="shared" si="3"/>
        <v>İBİLLER1167</v>
      </c>
      <c r="H204" s="36" t="s">
        <v>137</v>
      </c>
      <c r="I204" s="38">
        <v>370000</v>
      </c>
      <c r="J204" s="38">
        <v>371000</v>
      </c>
    </row>
    <row r="205" spans="1:10">
      <c r="A205" s="63" t="s">
        <v>14</v>
      </c>
      <c r="B205" s="36" t="s">
        <v>33</v>
      </c>
      <c r="C205" s="36" t="s">
        <v>42</v>
      </c>
      <c r="D205" s="36">
        <v>799.28</v>
      </c>
      <c r="E205" s="55">
        <v>116</v>
      </c>
      <c r="F205" s="39">
        <v>8</v>
      </c>
      <c r="G205" s="35" t="str">
        <f t="shared" si="3"/>
        <v>İBİLLER1168</v>
      </c>
      <c r="H205" s="36" t="s">
        <v>137</v>
      </c>
      <c r="I205" s="38">
        <v>410000</v>
      </c>
      <c r="J205" s="38">
        <v>411000</v>
      </c>
    </row>
    <row r="206" spans="1:10">
      <c r="A206" s="62" t="s">
        <v>14</v>
      </c>
      <c r="B206" s="42" t="s">
        <v>33</v>
      </c>
      <c r="C206" s="42" t="s">
        <v>42</v>
      </c>
      <c r="D206" s="42">
        <v>683.55</v>
      </c>
      <c r="E206" s="43">
        <v>116</v>
      </c>
      <c r="F206" s="42">
        <v>9</v>
      </c>
      <c r="G206" s="35" t="str">
        <f t="shared" si="3"/>
        <v>İBİLLER1169</v>
      </c>
      <c r="H206" s="42" t="s">
        <v>137</v>
      </c>
      <c r="I206" s="44">
        <v>415000</v>
      </c>
      <c r="J206" s="44">
        <v>416000</v>
      </c>
    </row>
    <row r="207" spans="1:10">
      <c r="A207" s="63" t="s">
        <v>14</v>
      </c>
      <c r="B207" s="36" t="s">
        <v>33</v>
      </c>
      <c r="C207" s="36" t="s">
        <v>42</v>
      </c>
      <c r="D207" s="36">
        <v>653.01</v>
      </c>
      <c r="E207" s="55">
        <v>116</v>
      </c>
      <c r="F207" s="39">
        <v>10</v>
      </c>
      <c r="G207" s="35" t="str">
        <f t="shared" si="3"/>
        <v>İBİLLER11610</v>
      </c>
      <c r="H207" s="36" t="s">
        <v>137</v>
      </c>
      <c r="I207" s="38">
        <v>400000</v>
      </c>
      <c r="J207" s="38">
        <v>401000</v>
      </c>
    </row>
    <row r="208" spans="1:10">
      <c r="A208" s="63" t="s">
        <v>14</v>
      </c>
      <c r="B208" s="36" t="s">
        <v>33</v>
      </c>
      <c r="C208" s="36" t="s">
        <v>42</v>
      </c>
      <c r="D208" s="36">
        <v>657.12</v>
      </c>
      <c r="E208" s="55">
        <v>116</v>
      </c>
      <c r="F208" s="39">
        <v>11</v>
      </c>
      <c r="G208" s="35" t="str">
        <f t="shared" si="3"/>
        <v>İBİLLER11611</v>
      </c>
      <c r="H208" s="36" t="s">
        <v>137</v>
      </c>
      <c r="I208" s="38">
        <v>400000</v>
      </c>
      <c r="J208" s="38">
        <v>401000</v>
      </c>
    </row>
    <row r="209" spans="1:10">
      <c r="A209" s="63" t="s">
        <v>14</v>
      </c>
      <c r="B209" s="36" t="s">
        <v>33</v>
      </c>
      <c r="C209" s="36" t="s">
        <v>42</v>
      </c>
      <c r="D209" s="36">
        <v>661.24</v>
      </c>
      <c r="E209" s="55">
        <v>116</v>
      </c>
      <c r="F209" s="39">
        <v>12</v>
      </c>
      <c r="G209" s="35" t="str">
        <f t="shared" si="3"/>
        <v>İBİLLER11612</v>
      </c>
      <c r="H209" s="36" t="s">
        <v>137</v>
      </c>
      <c r="I209" s="38">
        <v>400000</v>
      </c>
      <c r="J209" s="38">
        <v>401000</v>
      </c>
    </row>
    <row r="210" spans="1:10">
      <c r="A210" s="63" t="s">
        <v>14</v>
      </c>
      <c r="B210" s="36" t="s">
        <v>33</v>
      </c>
      <c r="C210" s="36" t="s">
        <v>42</v>
      </c>
      <c r="D210" s="36">
        <v>664.54</v>
      </c>
      <c r="E210" s="55">
        <v>116</v>
      </c>
      <c r="F210" s="39">
        <v>13</v>
      </c>
      <c r="G210" s="35" t="str">
        <f t="shared" si="3"/>
        <v>İBİLLER11613</v>
      </c>
      <c r="H210" s="36" t="s">
        <v>137</v>
      </c>
      <c r="I210" s="38">
        <v>400000</v>
      </c>
      <c r="J210" s="38">
        <v>401000</v>
      </c>
    </row>
    <row r="211" spans="1:10">
      <c r="A211" s="64" t="s">
        <v>14</v>
      </c>
      <c r="B211" s="35" t="s">
        <v>33</v>
      </c>
      <c r="C211" s="35" t="s">
        <v>42</v>
      </c>
      <c r="D211" s="35">
        <v>464.99</v>
      </c>
      <c r="E211" s="35">
        <v>116</v>
      </c>
      <c r="F211" s="2">
        <v>15</v>
      </c>
      <c r="G211" s="35" t="str">
        <f t="shared" si="3"/>
        <v>İBİLLER11615</v>
      </c>
      <c r="H211" s="35" t="s">
        <v>137</v>
      </c>
      <c r="I211" s="49">
        <f>(($J$202+$J$203+$J$204)/($D$202+$D$203+$D$204))*D211</f>
        <v>237049.27673243673</v>
      </c>
      <c r="J211" s="48"/>
    </row>
    <row r="212" spans="1:10">
      <c r="A212" s="64" t="s">
        <v>14</v>
      </c>
      <c r="B212" s="35" t="s">
        <v>33</v>
      </c>
      <c r="C212" s="35" t="s">
        <v>42</v>
      </c>
      <c r="D212" s="35">
        <v>465.01</v>
      </c>
      <c r="E212" s="35">
        <v>116</v>
      </c>
      <c r="F212" s="2">
        <v>16</v>
      </c>
      <c r="G212" s="35" t="str">
        <f t="shared" si="3"/>
        <v>İBİLLER11616</v>
      </c>
      <c r="H212" s="35" t="s">
        <v>137</v>
      </c>
      <c r="I212" s="49">
        <f>(($J$202+$J$203+$J$204)/($D$202+$D$203+$D$204))*D212</f>
        <v>237059.47261951957</v>
      </c>
      <c r="J212" s="48"/>
    </row>
    <row r="213" spans="1:10">
      <c r="A213" s="64" t="s">
        <v>14</v>
      </c>
      <c r="B213" s="35" t="s">
        <v>33</v>
      </c>
      <c r="C213" s="35" t="s">
        <v>42</v>
      </c>
      <c r="D213" s="35">
        <v>464.95</v>
      </c>
      <c r="E213" s="35">
        <v>116</v>
      </c>
      <c r="F213" s="2">
        <v>17</v>
      </c>
      <c r="G213" s="35" t="str">
        <f t="shared" si="3"/>
        <v>İBİLLER11617</v>
      </c>
      <c r="H213" s="35" t="s">
        <v>137</v>
      </c>
      <c r="I213" s="49">
        <f>(($J$202+$J$203+$J$204)/($D$202+$D$203+$D$204))*D213</f>
        <v>237028.88495827105</v>
      </c>
      <c r="J213" s="48"/>
    </row>
    <row r="214" spans="1:10">
      <c r="A214" s="64" t="s">
        <v>14</v>
      </c>
      <c r="B214" s="35" t="s">
        <v>33</v>
      </c>
      <c r="C214" s="35" t="s">
        <v>42</v>
      </c>
      <c r="D214" s="35">
        <v>572.51</v>
      </c>
      <c r="E214" s="35">
        <v>116</v>
      </c>
      <c r="F214" s="2">
        <v>18</v>
      </c>
      <c r="G214" s="35" t="str">
        <f t="shared" si="3"/>
        <v>İBİLLER11618</v>
      </c>
      <c r="H214" s="35" t="s">
        <v>137</v>
      </c>
      <c r="I214" s="49">
        <f>(($J$202+$J$203+$J$204)/($D$202+$D$203+$D$204))*D214</f>
        <v>291862.36568977259</v>
      </c>
      <c r="J214" s="48"/>
    </row>
    <row r="215" spans="1:10">
      <c r="A215" s="64" t="s">
        <v>14</v>
      </c>
      <c r="B215" s="35" t="s">
        <v>33</v>
      </c>
      <c r="C215" s="35" t="s">
        <v>42</v>
      </c>
      <c r="D215" s="35">
        <v>400.05</v>
      </c>
      <c r="E215" s="35">
        <v>116</v>
      </c>
      <c r="F215" s="2">
        <v>19</v>
      </c>
      <c r="G215" s="35" t="str">
        <f t="shared" si="3"/>
        <v>İBİLLER11619</v>
      </c>
      <c r="H215" s="35" t="s">
        <v>137</v>
      </c>
      <c r="I215" s="49">
        <f>($J$205/$D$205)*D215</f>
        <v>205710.82724452007</v>
      </c>
      <c r="J215" s="48"/>
    </row>
    <row r="216" spans="1:10">
      <c r="A216" s="64" t="s">
        <v>14</v>
      </c>
      <c r="B216" s="35" t="s">
        <v>33</v>
      </c>
      <c r="C216" s="35" t="s">
        <v>42</v>
      </c>
      <c r="D216" s="35">
        <v>399.23</v>
      </c>
      <c r="E216" s="35">
        <v>116</v>
      </c>
      <c r="F216" s="2">
        <v>20</v>
      </c>
      <c r="G216" s="35" t="str">
        <f t="shared" si="3"/>
        <v>İBİLLER11620</v>
      </c>
      <c r="H216" s="35" t="s">
        <v>137</v>
      </c>
      <c r="I216" s="49">
        <f>($J$205/$D$205)*D216</f>
        <v>205289.17275547996</v>
      </c>
      <c r="J216" s="48"/>
    </row>
    <row r="217" spans="1:10">
      <c r="A217" s="64" t="s">
        <v>14</v>
      </c>
      <c r="B217" s="35" t="s">
        <v>33</v>
      </c>
      <c r="C217" s="35" t="s">
        <v>42</v>
      </c>
      <c r="D217" s="35">
        <v>309.19</v>
      </c>
      <c r="E217" s="35">
        <v>116</v>
      </c>
      <c r="F217" s="2">
        <v>22</v>
      </c>
      <c r="G217" s="35" t="str">
        <f t="shared" si="3"/>
        <v>İBİLLER11622</v>
      </c>
      <c r="H217" s="35" t="s">
        <v>137</v>
      </c>
      <c r="I217" s="49">
        <f t="shared" ref="I217:I222" si="4">(($J$207+$J$208+$J$209+$J$210)/($D$207+$D$208+$D$209+$D$210))*D217</f>
        <v>188147.83509300396</v>
      </c>
      <c r="J217" s="48"/>
    </row>
    <row r="218" spans="1:10">
      <c r="A218" s="64" t="s">
        <v>14</v>
      </c>
      <c r="B218" s="35" t="s">
        <v>33</v>
      </c>
      <c r="C218" s="35" t="s">
        <v>42</v>
      </c>
      <c r="D218" s="35">
        <v>415.65</v>
      </c>
      <c r="E218" s="35">
        <v>116</v>
      </c>
      <c r="F218" s="2">
        <v>23</v>
      </c>
      <c r="G218" s="35" t="str">
        <f t="shared" si="3"/>
        <v>İBİLLER11623</v>
      </c>
      <c r="H218" s="35" t="s">
        <v>137</v>
      </c>
      <c r="I218" s="49">
        <f t="shared" si="4"/>
        <v>252930.7146298622</v>
      </c>
      <c r="J218" s="48"/>
    </row>
    <row r="219" spans="1:10">
      <c r="A219" s="64" t="s">
        <v>14</v>
      </c>
      <c r="B219" s="35" t="s">
        <v>33</v>
      </c>
      <c r="C219" s="35" t="s">
        <v>42</v>
      </c>
      <c r="D219" s="35">
        <v>481.05</v>
      </c>
      <c r="E219" s="35">
        <v>116</v>
      </c>
      <c r="F219" s="2">
        <v>24</v>
      </c>
      <c r="G219" s="35" t="str">
        <f t="shared" si="3"/>
        <v>İBİLLER11624</v>
      </c>
      <c r="H219" s="35" t="s">
        <v>137</v>
      </c>
      <c r="I219" s="49">
        <f t="shared" si="4"/>
        <v>292727.82454636163</v>
      </c>
      <c r="J219" s="48"/>
    </row>
    <row r="220" spans="1:10">
      <c r="A220" s="64" t="s">
        <v>14</v>
      </c>
      <c r="B220" s="35" t="s">
        <v>33</v>
      </c>
      <c r="C220" s="35" t="s">
        <v>42</v>
      </c>
      <c r="D220" s="35">
        <v>478.86</v>
      </c>
      <c r="E220" s="35">
        <v>116</v>
      </c>
      <c r="F220" s="2">
        <v>25</v>
      </c>
      <c r="G220" s="35" t="str">
        <f t="shared" si="3"/>
        <v>İBİLLER11625</v>
      </c>
      <c r="H220" s="35" t="s">
        <v>137</v>
      </c>
      <c r="I220" s="49">
        <f t="shared" si="4"/>
        <v>291395.16903080913</v>
      </c>
      <c r="J220" s="48"/>
    </row>
    <row r="221" spans="1:10">
      <c r="A221" s="64" t="s">
        <v>14</v>
      </c>
      <c r="B221" s="35" t="s">
        <v>33</v>
      </c>
      <c r="C221" s="35" t="s">
        <v>42</v>
      </c>
      <c r="D221" s="35">
        <v>476.68</v>
      </c>
      <c r="E221" s="35">
        <v>116</v>
      </c>
      <c r="F221" s="2">
        <v>26</v>
      </c>
      <c r="G221" s="35" t="str">
        <f t="shared" si="3"/>
        <v>İBİLLER11626</v>
      </c>
      <c r="H221" s="35" t="s">
        <v>137</v>
      </c>
      <c r="I221" s="49">
        <f t="shared" si="4"/>
        <v>290068.59870025917</v>
      </c>
      <c r="J221" s="48"/>
    </row>
    <row r="222" spans="1:10">
      <c r="A222" s="64" t="s">
        <v>14</v>
      </c>
      <c r="B222" s="35" t="s">
        <v>33</v>
      </c>
      <c r="C222" s="35" t="s">
        <v>42</v>
      </c>
      <c r="D222" s="35">
        <v>474.48</v>
      </c>
      <c r="E222" s="35">
        <v>116</v>
      </c>
      <c r="F222" s="2">
        <v>27</v>
      </c>
      <c r="G222" s="35" t="str">
        <f t="shared" si="3"/>
        <v>İBİLLER11627</v>
      </c>
      <c r="H222" s="35" t="s">
        <v>137</v>
      </c>
      <c r="I222" s="49">
        <f t="shared" si="4"/>
        <v>288729.85799970414</v>
      </c>
      <c r="J222" s="48"/>
    </row>
    <row r="223" spans="1:10">
      <c r="A223" s="62" t="s">
        <v>14</v>
      </c>
      <c r="B223" s="42" t="s">
        <v>33</v>
      </c>
      <c r="C223" s="42" t="s">
        <v>42</v>
      </c>
      <c r="D223" s="42">
        <v>688.89</v>
      </c>
      <c r="E223" s="43">
        <v>117</v>
      </c>
      <c r="F223" s="42">
        <v>1</v>
      </c>
      <c r="G223" s="35" t="str">
        <f t="shared" si="3"/>
        <v>İBİLLER1171</v>
      </c>
      <c r="H223" s="42" t="s">
        <v>137</v>
      </c>
      <c r="I223" s="44">
        <v>420000</v>
      </c>
      <c r="J223" s="44">
        <v>425000</v>
      </c>
    </row>
    <row r="224" spans="1:10">
      <c r="A224" s="62" t="s">
        <v>14</v>
      </c>
      <c r="B224" s="42" t="s">
        <v>33</v>
      </c>
      <c r="C224" s="42" t="s">
        <v>42</v>
      </c>
      <c r="D224" s="42">
        <v>620.74</v>
      </c>
      <c r="E224" s="43">
        <v>117</v>
      </c>
      <c r="F224" s="42">
        <v>2</v>
      </c>
      <c r="G224" s="35" t="str">
        <f t="shared" si="3"/>
        <v>İBİLLER1172</v>
      </c>
      <c r="H224" s="42" t="s">
        <v>137</v>
      </c>
      <c r="I224" s="44">
        <v>315000</v>
      </c>
      <c r="J224" s="44">
        <v>330000</v>
      </c>
    </row>
    <row r="225" spans="1:10">
      <c r="A225" s="20" t="s">
        <v>14</v>
      </c>
      <c r="B225" s="20" t="s">
        <v>33</v>
      </c>
      <c r="C225" s="20" t="s">
        <v>34</v>
      </c>
      <c r="D225" s="20">
        <v>596.08000000000004</v>
      </c>
      <c r="E225" s="20">
        <v>106</v>
      </c>
      <c r="F225" s="23">
        <v>3</v>
      </c>
      <c r="G225" s="35" t="str">
        <f t="shared" si="3"/>
        <v>ARMUTLU1063</v>
      </c>
      <c r="H225" s="20" t="s">
        <v>141</v>
      </c>
      <c r="I225" s="41">
        <v>330000</v>
      </c>
      <c r="J225" s="21">
        <v>390000</v>
      </c>
    </row>
    <row r="226" spans="1:10">
      <c r="A226" s="20" t="s">
        <v>14</v>
      </c>
      <c r="B226" s="20" t="s">
        <v>33</v>
      </c>
      <c r="C226" s="20" t="s">
        <v>34</v>
      </c>
      <c r="D226" s="20">
        <v>564.29999999999995</v>
      </c>
      <c r="E226" s="20">
        <v>106</v>
      </c>
      <c r="F226" s="23">
        <v>5</v>
      </c>
      <c r="G226" s="35" t="str">
        <f t="shared" si="3"/>
        <v>ARMUTLU1065</v>
      </c>
      <c r="H226" s="20" t="s">
        <v>141</v>
      </c>
      <c r="I226" s="41">
        <v>310000</v>
      </c>
      <c r="J226" s="21">
        <v>365000</v>
      </c>
    </row>
    <row r="227" spans="1:10">
      <c r="A227" s="62" t="s">
        <v>14</v>
      </c>
      <c r="B227" s="42" t="s">
        <v>33</v>
      </c>
      <c r="C227" s="42" t="s">
        <v>42</v>
      </c>
      <c r="D227" s="42">
        <v>620.74</v>
      </c>
      <c r="E227" s="43">
        <v>117</v>
      </c>
      <c r="F227" s="42">
        <v>3</v>
      </c>
      <c r="G227" s="35" t="str">
        <f t="shared" si="3"/>
        <v>İBİLLER1173</v>
      </c>
      <c r="H227" s="42" t="s">
        <v>137</v>
      </c>
      <c r="I227" s="44">
        <v>315000</v>
      </c>
      <c r="J227" s="44">
        <v>330000</v>
      </c>
    </row>
    <row r="228" spans="1:10">
      <c r="A228" s="62" t="s">
        <v>14</v>
      </c>
      <c r="B228" s="42" t="s">
        <v>33</v>
      </c>
      <c r="C228" s="42" t="s">
        <v>42</v>
      </c>
      <c r="D228" s="42">
        <v>605.6</v>
      </c>
      <c r="E228" s="43">
        <v>117</v>
      </c>
      <c r="F228" s="42">
        <v>4</v>
      </c>
      <c r="G228" s="35" t="str">
        <f t="shared" si="3"/>
        <v>İBİLLER1174</v>
      </c>
      <c r="H228" s="42" t="s">
        <v>137</v>
      </c>
      <c r="I228" s="44">
        <v>315000</v>
      </c>
      <c r="J228" s="44">
        <v>330000</v>
      </c>
    </row>
    <row r="229" spans="1:10">
      <c r="A229" s="62" t="s">
        <v>14</v>
      </c>
      <c r="B229" s="42" t="s">
        <v>33</v>
      </c>
      <c r="C229" s="42" t="s">
        <v>42</v>
      </c>
      <c r="D229" s="42">
        <v>620.74</v>
      </c>
      <c r="E229" s="43">
        <v>117</v>
      </c>
      <c r="F229" s="45">
        <v>5</v>
      </c>
      <c r="G229" s="35" t="str">
        <f t="shared" si="3"/>
        <v>İBİLLER1175</v>
      </c>
      <c r="H229" s="42" t="s">
        <v>137</v>
      </c>
      <c r="I229" s="44">
        <v>315000</v>
      </c>
      <c r="J229" s="44">
        <v>331000</v>
      </c>
    </row>
    <row r="230" spans="1:10">
      <c r="A230" s="65" t="s">
        <v>14</v>
      </c>
      <c r="B230" s="19" t="s">
        <v>33</v>
      </c>
      <c r="C230" s="19" t="s">
        <v>42</v>
      </c>
      <c r="D230" s="19">
        <v>620.74</v>
      </c>
      <c r="E230" s="46">
        <v>117</v>
      </c>
      <c r="F230" s="47">
        <v>6</v>
      </c>
      <c r="G230" s="35" t="str">
        <f t="shared" si="3"/>
        <v>İBİLLER1176</v>
      </c>
      <c r="H230" s="19" t="s">
        <v>137</v>
      </c>
      <c r="I230" s="7">
        <v>315000</v>
      </c>
      <c r="J230" s="7"/>
    </row>
    <row r="231" spans="1:10">
      <c r="A231" s="65" t="s">
        <v>14</v>
      </c>
      <c r="B231" s="19" t="s">
        <v>33</v>
      </c>
      <c r="C231" s="19" t="s">
        <v>42</v>
      </c>
      <c r="D231" s="19">
        <v>613.16999999999996</v>
      </c>
      <c r="E231" s="46">
        <v>117</v>
      </c>
      <c r="F231" s="47">
        <v>7</v>
      </c>
      <c r="G231" s="35" t="str">
        <f t="shared" si="3"/>
        <v>İBİLLER1177</v>
      </c>
      <c r="H231" s="19" t="s">
        <v>137</v>
      </c>
      <c r="I231" s="7">
        <v>315000</v>
      </c>
      <c r="J231" s="7"/>
    </row>
    <row r="232" spans="1:10">
      <c r="A232" s="62" t="s">
        <v>14</v>
      </c>
      <c r="B232" s="42" t="s">
        <v>33</v>
      </c>
      <c r="C232" s="42" t="s">
        <v>42</v>
      </c>
      <c r="D232" s="42">
        <v>767.45</v>
      </c>
      <c r="E232" s="43">
        <v>117</v>
      </c>
      <c r="F232" s="42">
        <v>9</v>
      </c>
      <c r="G232" s="35" t="str">
        <f t="shared" si="3"/>
        <v>İBİLLER1179</v>
      </c>
      <c r="H232" s="42" t="s">
        <v>137</v>
      </c>
      <c r="I232" s="44">
        <v>465000</v>
      </c>
      <c r="J232" s="44">
        <v>475000</v>
      </c>
    </row>
    <row r="233" spans="1:10">
      <c r="A233" s="62" t="s">
        <v>14</v>
      </c>
      <c r="B233" s="42" t="s">
        <v>33</v>
      </c>
      <c r="C233" s="42" t="s">
        <v>42</v>
      </c>
      <c r="D233" s="42">
        <v>606.11</v>
      </c>
      <c r="E233" s="43">
        <v>117</v>
      </c>
      <c r="F233" s="42">
        <v>10</v>
      </c>
      <c r="G233" s="35" t="str">
        <f t="shared" si="3"/>
        <v>İBİLLER11710</v>
      </c>
      <c r="H233" s="42" t="s">
        <v>137</v>
      </c>
      <c r="I233" s="44">
        <v>370000</v>
      </c>
      <c r="J233" s="44">
        <v>371000</v>
      </c>
    </row>
    <row r="234" spans="1:10">
      <c r="A234" s="62" t="s">
        <v>14</v>
      </c>
      <c r="B234" s="42" t="s">
        <v>33</v>
      </c>
      <c r="C234" s="42" t="s">
        <v>42</v>
      </c>
      <c r="D234" s="42">
        <v>605.79999999999995</v>
      </c>
      <c r="E234" s="43">
        <v>117</v>
      </c>
      <c r="F234" s="42">
        <v>11</v>
      </c>
      <c r="G234" s="35" t="str">
        <f t="shared" si="3"/>
        <v>İBİLLER11711</v>
      </c>
      <c r="H234" s="42" t="s">
        <v>137</v>
      </c>
      <c r="I234" s="44">
        <v>370000</v>
      </c>
      <c r="J234" s="44">
        <v>371000</v>
      </c>
    </row>
    <row r="235" spans="1:10">
      <c r="A235" s="62" t="s">
        <v>14</v>
      </c>
      <c r="B235" s="42" t="s">
        <v>33</v>
      </c>
      <c r="C235" s="42" t="s">
        <v>42</v>
      </c>
      <c r="D235" s="42">
        <v>605.48</v>
      </c>
      <c r="E235" s="43">
        <v>117</v>
      </c>
      <c r="F235" s="42">
        <v>12</v>
      </c>
      <c r="G235" s="35" t="str">
        <f t="shared" si="3"/>
        <v>İBİLLER11712</v>
      </c>
      <c r="H235" s="42" t="s">
        <v>137</v>
      </c>
      <c r="I235" s="44">
        <v>370000</v>
      </c>
      <c r="J235" s="44">
        <v>371000</v>
      </c>
    </row>
    <row r="236" spans="1:10">
      <c r="A236" s="62" t="s">
        <v>14</v>
      </c>
      <c r="B236" s="42" t="s">
        <v>33</v>
      </c>
      <c r="C236" s="42" t="s">
        <v>42</v>
      </c>
      <c r="D236" s="42">
        <v>605.16</v>
      </c>
      <c r="E236" s="43">
        <v>117</v>
      </c>
      <c r="F236" s="42">
        <v>13</v>
      </c>
      <c r="G236" s="35" t="str">
        <f t="shared" si="3"/>
        <v>İBİLLER11713</v>
      </c>
      <c r="H236" s="42" t="s">
        <v>137</v>
      </c>
      <c r="I236" s="44">
        <v>370000</v>
      </c>
      <c r="J236" s="44">
        <v>380000</v>
      </c>
    </row>
    <row r="237" spans="1:10">
      <c r="A237" s="62" t="s">
        <v>14</v>
      </c>
      <c r="B237" s="42" t="s">
        <v>33</v>
      </c>
      <c r="C237" s="42" t="s">
        <v>42</v>
      </c>
      <c r="D237" s="42">
        <v>604.85</v>
      </c>
      <c r="E237" s="43">
        <v>117</v>
      </c>
      <c r="F237" s="42">
        <v>14</v>
      </c>
      <c r="G237" s="35" t="str">
        <f t="shared" si="3"/>
        <v>İBİLLER11714</v>
      </c>
      <c r="H237" s="42" t="s">
        <v>137</v>
      </c>
      <c r="I237" s="44">
        <v>370000</v>
      </c>
      <c r="J237" s="44">
        <v>380000</v>
      </c>
    </row>
    <row r="238" spans="1:10">
      <c r="A238" s="62" t="s">
        <v>14</v>
      </c>
      <c r="B238" s="42" t="s">
        <v>33</v>
      </c>
      <c r="C238" s="42" t="s">
        <v>42</v>
      </c>
      <c r="D238" s="42">
        <v>604.53</v>
      </c>
      <c r="E238" s="43">
        <v>117</v>
      </c>
      <c r="F238" s="42">
        <v>15</v>
      </c>
      <c r="G238" s="35" t="str">
        <f t="shared" si="3"/>
        <v>İBİLLER11715</v>
      </c>
      <c r="H238" s="42" t="s">
        <v>137</v>
      </c>
      <c r="I238" s="44">
        <v>370000</v>
      </c>
      <c r="J238" s="44">
        <v>380000</v>
      </c>
    </row>
    <row r="239" spans="1:10">
      <c r="A239" s="62" t="s">
        <v>14</v>
      </c>
      <c r="B239" s="42" t="s">
        <v>33</v>
      </c>
      <c r="C239" s="42" t="s">
        <v>42</v>
      </c>
      <c r="D239" s="42">
        <v>604.21</v>
      </c>
      <c r="E239" s="43">
        <v>117</v>
      </c>
      <c r="F239" s="42">
        <v>16</v>
      </c>
      <c r="G239" s="35" t="str">
        <f t="shared" si="3"/>
        <v>İBİLLER11716</v>
      </c>
      <c r="H239" s="42" t="s">
        <v>137</v>
      </c>
      <c r="I239" s="44">
        <v>370000</v>
      </c>
      <c r="J239" s="44">
        <v>385000</v>
      </c>
    </row>
    <row r="240" spans="1:10">
      <c r="A240" s="62" t="s">
        <v>14</v>
      </c>
      <c r="B240" s="42" t="s">
        <v>33</v>
      </c>
      <c r="C240" s="42" t="s">
        <v>42</v>
      </c>
      <c r="D240" s="42">
        <v>660.57</v>
      </c>
      <c r="E240" s="43">
        <v>117</v>
      </c>
      <c r="F240" s="42">
        <v>17</v>
      </c>
      <c r="G240" s="35" t="str">
        <f t="shared" si="3"/>
        <v>İBİLLER11717</v>
      </c>
      <c r="H240" s="42" t="s">
        <v>137</v>
      </c>
      <c r="I240" s="44">
        <v>401000</v>
      </c>
      <c r="J240" s="44">
        <v>411000</v>
      </c>
    </row>
    <row r="241" spans="1:10">
      <c r="A241" s="64" t="s">
        <v>14</v>
      </c>
      <c r="B241" s="35" t="s">
        <v>33</v>
      </c>
      <c r="C241" s="35" t="s">
        <v>42</v>
      </c>
      <c r="D241" s="35">
        <v>454.14</v>
      </c>
      <c r="E241" s="35">
        <v>117</v>
      </c>
      <c r="F241" s="2">
        <v>19</v>
      </c>
      <c r="G241" s="35" t="str">
        <f t="shared" si="3"/>
        <v>İBİLLER11719</v>
      </c>
      <c r="H241" s="35" t="s">
        <v>137</v>
      </c>
      <c r="I241" s="49">
        <f>(J229+I230+I231)/(D229+D230+D231)*D241</f>
        <v>235315.84935162964</v>
      </c>
      <c r="J241" s="48"/>
    </row>
    <row r="242" spans="1:10">
      <c r="A242" s="20" t="s">
        <v>14</v>
      </c>
      <c r="B242" s="20" t="s">
        <v>28</v>
      </c>
      <c r="C242" s="20" t="s">
        <v>45</v>
      </c>
      <c r="D242" s="20">
        <v>461.05</v>
      </c>
      <c r="E242" s="20">
        <v>251</v>
      </c>
      <c r="F242" s="23">
        <v>17</v>
      </c>
      <c r="G242" s="35" t="str">
        <f t="shared" si="3"/>
        <v>DELİCE25117</v>
      </c>
      <c r="H242" s="20" t="s">
        <v>138</v>
      </c>
      <c r="I242" s="41">
        <v>346000</v>
      </c>
      <c r="J242" s="21">
        <v>400000</v>
      </c>
    </row>
    <row r="243" spans="1:10">
      <c r="A243" s="20" t="s">
        <v>14</v>
      </c>
      <c r="B243" s="20" t="s">
        <v>28</v>
      </c>
      <c r="C243" s="20" t="s">
        <v>45</v>
      </c>
      <c r="D243" s="20">
        <v>454.94</v>
      </c>
      <c r="E243" s="20">
        <v>251</v>
      </c>
      <c r="F243" s="23">
        <v>19</v>
      </c>
      <c r="G243" s="35" t="str">
        <f t="shared" si="3"/>
        <v>DELİCE25119</v>
      </c>
      <c r="H243" s="20" t="s">
        <v>138</v>
      </c>
      <c r="I243" s="41">
        <v>342000</v>
      </c>
      <c r="J243" s="21">
        <v>361800</v>
      </c>
    </row>
    <row r="244" spans="1:10">
      <c r="A244" s="35" t="s">
        <v>14</v>
      </c>
      <c r="B244" s="35" t="s">
        <v>79</v>
      </c>
      <c r="C244" s="35" t="s">
        <v>80</v>
      </c>
      <c r="D244" s="35">
        <v>307.69</v>
      </c>
      <c r="E244" s="35">
        <v>13131</v>
      </c>
      <c r="F244" s="3">
        <v>6</v>
      </c>
      <c r="G244" s="35" t="str">
        <f t="shared" si="3"/>
        <v>DİNKÇİLER131316</v>
      </c>
      <c r="H244" s="35" t="s">
        <v>137</v>
      </c>
      <c r="I244" s="49"/>
      <c r="J244" s="48"/>
    </row>
    <row r="245" spans="1:10">
      <c r="A245" s="64" t="s">
        <v>14</v>
      </c>
      <c r="B245" s="35" t="s">
        <v>33</v>
      </c>
      <c r="C245" s="35" t="s">
        <v>42</v>
      </c>
      <c r="D245" s="35">
        <v>394.77</v>
      </c>
      <c r="E245" s="35">
        <v>117</v>
      </c>
      <c r="F245" s="2">
        <v>23</v>
      </c>
      <c r="G245" s="35" t="str">
        <f t="shared" si="3"/>
        <v>İBİLLER11723</v>
      </c>
      <c r="H245" s="35" t="s">
        <v>137</v>
      </c>
      <c r="I245" s="49">
        <f>($J$232/$D$232)*D245</f>
        <v>244336.11310183071</v>
      </c>
      <c r="J245" s="48"/>
    </row>
    <row r="246" spans="1:10">
      <c r="A246" s="64" t="s">
        <v>14</v>
      </c>
      <c r="B246" s="35" t="s">
        <v>33</v>
      </c>
      <c r="C246" s="35" t="s">
        <v>42</v>
      </c>
      <c r="D246" s="35">
        <v>372.68</v>
      </c>
      <c r="E246" s="35">
        <v>117</v>
      </c>
      <c r="F246" s="2">
        <v>24</v>
      </c>
      <c r="G246" s="35" t="str">
        <f t="shared" si="3"/>
        <v>İBİLLER11724</v>
      </c>
      <c r="H246" s="35" t="s">
        <v>137</v>
      </c>
      <c r="I246" s="49">
        <f>($J$232/$D$232)*D246</f>
        <v>230663.88689816924</v>
      </c>
      <c r="J246" s="48"/>
    </row>
    <row r="247" spans="1:10">
      <c r="A247" s="64" t="s">
        <v>14</v>
      </c>
      <c r="B247" s="35" t="s">
        <v>33</v>
      </c>
      <c r="C247" s="35" t="s">
        <v>42</v>
      </c>
      <c r="D247" s="35">
        <v>453.39</v>
      </c>
      <c r="E247" s="35">
        <v>117</v>
      </c>
      <c r="F247" s="2">
        <v>26</v>
      </c>
      <c r="G247" s="35" t="str">
        <f t="shared" si="3"/>
        <v>İBİLLER11726</v>
      </c>
      <c r="H247" s="35" t="s">
        <v>137</v>
      </c>
      <c r="I247" s="49">
        <f>($J$236+$J$237+$J$238)/($D$236+$D$237+$D$238)*D246</f>
        <v>234139.34110022377</v>
      </c>
      <c r="J247" s="48"/>
    </row>
    <row r="248" spans="1:10">
      <c r="A248" s="64" t="s">
        <v>14</v>
      </c>
      <c r="B248" s="35" t="s">
        <v>33</v>
      </c>
      <c r="C248" s="35" t="s">
        <v>42</v>
      </c>
      <c r="D248" s="35">
        <v>453.53</v>
      </c>
      <c r="E248" s="35">
        <v>117</v>
      </c>
      <c r="F248" s="2">
        <v>27</v>
      </c>
      <c r="G248" s="35" t="str">
        <f t="shared" si="3"/>
        <v>İBİLLER11727</v>
      </c>
      <c r="H248" s="35" t="s">
        <v>137</v>
      </c>
      <c r="I248" s="49">
        <f>($J$236+$J$237+$J$238)/($D$236+$D$237+$D$238)*D247</f>
        <v>284846.0766916133</v>
      </c>
      <c r="J248" s="48"/>
    </row>
    <row r="249" spans="1:10">
      <c r="A249" s="64" t="s">
        <v>14</v>
      </c>
      <c r="B249" s="35" t="s">
        <v>33</v>
      </c>
      <c r="C249" s="35" t="s">
        <v>42</v>
      </c>
      <c r="D249" s="35">
        <v>453.74</v>
      </c>
      <c r="E249" s="35">
        <v>117</v>
      </c>
      <c r="F249" s="2">
        <v>28</v>
      </c>
      <c r="G249" s="35" t="str">
        <f t="shared" si="3"/>
        <v>İBİLLER11728</v>
      </c>
      <c r="H249" s="35" t="s">
        <v>137</v>
      </c>
      <c r="I249" s="49">
        <f>($J$236+$J$237+$J$238)/($D$236+$D$237+$D$238)*D248</f>
        <v>284934.03286783426</v>
      </c>
      <c r="J249" s="48"/>
    </row>
    <row r="250" spans="1:10">
      <c r="A250" s="64" t="s">
        <v>14</v>
      </c>
      <c r="B250" s="35" t="s">
        <v>33</v>
      </c>
      <c r="C250" s="35" t="s">
        <v>42</v>
      </c>
      <c r="D250" s="35">
        <v>453.88</v>
      </c>
      <c r="E250" s="35">
        <v>117</v>
      </c>
      <c r="F250" s="2">
        <v>29</v>
      </c>
      <c r="G250" s="35" t="str">
        <f t="shared" si="3"/>
        <v>İBİLLER11729</v>
      </c>
      <c r="H250" s="35" t="s">
        <v>137</v>
      </c>
      <c r="I250" s="49">
        <f>($J$236+$J$237+$J$238)/($D$236+$D$237+$D$238)*D249</f>
        <v>285065.96713216574</v>
      </c>
      <c r="J250" s="48"/>
    </row>
    <row r="251" spans="1:10">
      <c r="A251" s="63" t="s">
        <v>14</v>
      </c>
      <c r="B251" s="36" t="s">
        <v>33</v>
      </c>
      <c r="C251" s="36" t="s">
        <v>42</v>
      </c>
      <c r="D251" s="36">
        <v>725.97</v>
      </c>
      <c r="E251" s="36">
        <v>118</v>
      </c>
      <c r="F251" s="39">
        <v>1</v>
      </c>
      <c r="G251" s="35" t="str">
        <f t="shared" si="3"/>
        <v>İBİLLER1181</v>
      </c>
      <c r="H251" s="36" t="s">
        <v>137</v>
      </c>
      <c r="I251" s="38">
        <v>440000</v>
      </c>
      <c r="J251" s="38">
        <v>462000</v>
      </c>
    </row>
    <row r="252" spans="1:10">
      <c r="A252" s="62" t="s">
        <v>14</v>
      </c>
      <c r="B252" s="42" t="s">
        <v>33</v>
      </c>
      <c r="C252" s="42" t="s">
        <v>42</v>
      </c>
      <c r="D252" s="42">
        <v>575.55999999999995</v>
      </c>
      <c r="E252" s="42">
        <v>118</v>
      </c>
      <c r="F252" s="42">
        <v>2</v>
      </c>
      <c r="G252" s="35" t="str">
        <f t="shared" si="3"/>
        <v>İBİLLER1182</v>
      </c>
      <c r="H252" s="42" t="s">
        <v>137</v>
      </c>
      <c r="I252" s="44">
        <v>290000</v>
      </c>
      <c r="J252" s="44">
        <v>300000</v>
      </c>
    </row>
    <row r="253" spans="1:10">
      <c r="A253" s="63" t="s">
        <v>14</v>
      </c>
      <c r="B253" s="36" t="s">
        <v>33</v>
      </c>
      <c r="C253" s="36" t="s">
        <v>42</v>
      </c>
      <c r="D253" s="36">
        <v>602.47</v>
      </c>
      <c r="E253" s="36">
        <v>118</v>
      </c>
      <c r="F253" s="39">
        <v>3</v>
      </c>
      <c r="G253" s="35" t="str">
        <f t="shared" si="3"/>
        <v>İBİLLER1183</v>
      </c>
      <c r="H253" s="36" t="s">
        <v>137</v>
      </c>
      <c r="I253" s="38">
        <v>305000</v>
      </c>
      <c r="J253" s="38">
        <v>320500</v>
      </c>
    </row>
    <row r="254" spans="1:10">
      <c r="A254" s="63" t="s">
        <v>14</v>
      </c>
      <c r="B254" s="36" t="s">
        <v>33</v>
      </c>
      <c r="C254" s="36" t="s">
        <v>42</v>
      </c>
      <c r="D254" s="36">
        <v>602.79</v>
      </c>
      <c r="E254" s="36">
        <v>118</v>
      </c>
      <c r="F254" s="39">
        <v>4</v>
      </c>
      <c r="G254" s="35" t="str">
        <f t="shared" si="3"/>
        <v>İBİLLER1184</v>
      </c>
      <c r="H254" s="36" t="s">
        <v>137</v>
      </c>
      <c r="I254" s="38">
        <v>305000</v>
      </c>
      <c r="J254" s="38">
        <v>0</v>
      </c>
    </row>
    <row r="255" spans="1:10">
      <c r="A255" s="63" t="s">
        <v>14</v>
      </c>
      <c r="B255" s="36" t="s">
        <v>33</v>
      </c>
      <c r="C255" s="36" t="s">
        <v>42</v>
      </c>
      <c r="D255" s="36">
        <v>603.12</v>
      </c>
      <c r="E255" s="36">
        <v>118</v>
      </c>
      <c r="F255" s="39">
        <v>5</v>
      </c>
      <c r="G255" s="35" t="str">
        <f t="shared" si="3"/>
        <v>İBİLLER1185</v>
      </c>
      <c r="H255" s="36" t="s">
        <v>137</v>
      </c>
      <c r="I255" s="38">
        <v>305000</v>
      </c>
      <c r="J255" s="38">
        <v>0</v>
      </c>
    </row>
    <row r="256" spans="1:10">
      <c r="A256" s="63" t="s">
        <v>14</v>
      </c>
      <c r="B256" s="36" t="s">
        <v>33</v>
      </c>
      <c r="C256" s="36" t="s">
        <v>42</v>
      </c>
      <c r="D256" s="36">
        <v>591.65</v>
      </c>
      <c r="E256" s="36">
        <v>118</v>
      </c>
      <c r="F256" s="39">
        <v>6</v>
      </c>
      <c r="G256" s="35" t="str">
        <f t="shared" si="3"/>
        <v>İBİLLER1186</v>
      </c>
      <c r="H256" s="36" t="s">
        <v>137</v>
      </c>
      <c r="I256" s="38">
        <v>360000</v>
      </c>
      <c r="J256" s="38">
        <v>0</v>
      </c>
    </row>
    <row r="257" spans="1:10">
      <c r="A257" s="62" t="s">
        <v>14</v>
      </c>
      <c r="B257" s="42" t="s">
        <v>33</v>
      </c>
      <c r="C257" s="42" t="s">
        <v>42</v>
      </c>
      <c r="D257" s="42">
        <v>690</v>
      </c>
      <c r="E257" s="42">
        <v>118</v>
      </c>
      <c r="F257" s="42">
        <v>7</v>
      </c>
      <c r="G257" s="35" t="str">
        <f t="shared" si="3"/>
        <v>İBİLLER1187</v>
      </c>
      <c r="H257" s="42" t="s">
        <v>137</v>
      </c>
      <c r="I257" s="44">
        <v>420000</v>
      </c>
      <c r="J257" s="44">
        <v>441000</v>
      </c>
    </row>
    <row r="258" spans="1:10">
      <c r="A258" s="35" t="s">
        <v>36</v>
      </c>
      <c r="B258" s="35" t="s">
        <v>37</v>
      </c>
      <c r="C258" s="35" t="s">
        <v>38</v>
      </c>
      <c r="D258" s="35">
        <v>400</v>
      </c>
      <c r="E258" s="35">
        <v>911</v>
      </c>
      <c r="F258" s="53">
        <v>27</v>
      </c>
      <c r="G258" s="35" t="str">
        <f t="shared" si="3"/>
        <v>GÜNEYCE91127</v>
      </c>
      <c r="H258" s="35" t="s">
        <v>137</v>
      </c>
      <c r="I258" s="49">
        <v>17000</v>
      </c>
      <c r="J258" s="48"/>
    </row>
    <row r="259" spans="1:10">
      <c r="A259" s="35" t="s">
        <v>36</v>
      </c>
      <c r="B259" s="35" t="s">
        <v>37</v>
      </c>
      <c r="C259" s="35" t="s">
        <v>38</v>
      </c>
      <c r="D259" s="35">
        <v>400</v>
      </c>
      <c r="E259" s="35">
        <v>911</v>
      </c>
      <c r="F259" s="53">
        <v>28</v>
      </c>
      <c r="G259" s="35" t="str">
        <f t="shared" ref="G259:G322" si="5">C259&amp;E259&amp;F259</f>
        <v>GÜNEYCE91128</v>
      </c>
      <c r="H259" s="35" t="s">
        <v>137</v>
      </c>
      <c r="I259" s="49">
        <v>17000</v>
      </c>
      <c r="J259" s="48"/>
    </row>
    <row r="260" spans="1:10">
      <c r="A260" s="20" t="s">
        <v>46</v>
      </c>
      <c r="B260" s="20" t="s">
        <v>47</v>
      </c>
      <c r="C260" s="20" t="s">
        <v>70</v>
      </c>
      <c r="D260" s="20">
        <v>437</v>
      </c>
      <c r="E260" s="20">
        <v>153</v>
      </c>
      <c r="F260" s="20">
        <v>2</v>
      </c>
      <c r="G260" s="35" t="str">
        <f t="shared" si="5"/>
        <v>KATIRALANI1532</v>
      </c>
      <c r="H260" s="20" t="s">
        <v>137</v>
      </c>
      <c r="I260" s="21">
        <v>1110000</v>
      </c>
      <c r="J260" s="21">
        <v>1165500</v>
      </c>
    </row>
    <row r="261" spans="1:10">
      <c r="A261" s="20" t="s">
        <v>14</v>
      </c>
      <c r="B261" s="20" t="s">
        <v>15</v>
      </c>
      <c r="C261" s="20" t="s">
        <v>16</v>
      </c>
      <c r="D261" s="20">
        <v>735.08</v>
      </c>
      <c r="E261" s="34">
        <v>163</v>
      </c>
      <c r="F261" s="20">
        <v>10</v>
      </c>
      <c r="G261" s="35" t="str">
        <f t="shared" si="5"/>
        <v>REŞADİYE16310</v>
      </c>
      <c r="H261" s="20" t="s">
        <v>137</v>
      </c>
      <c r="I261" s="21">
        <v>371000</v>
      </c>
      <c r="J261" s="21">
        <v>385000</v>
      </c>
    </row>
    <row r="262" spans="1:10">
      <c r="A262" s="35" t="s">
        <v>36</v>
      </c>
      <c r="B262" s="35" t="s">
        <v>37</v>
      </c>
      <c r="C262" s="35" t="s">
        <v>38</v>
      </c>
      <c r="D262" s="35">
        <v>400</v>
      </c>
      <c r="E262" s="35">
        <v>911</v>
      </c>
      <c r="F262" s="53">
        <v>16</v>
      </c>
      <c r="G262" s="35" t="str">
        <f t="shared" si="5"/>
        <v>GÜNEYCE91116</v>
      </c>
      <c r="H262" s="35" t="s">
        <v>137</v>
      </c>
      <c r="I262" s="49">
        <v>17000</v>
      </c>
      <c r="J262" s="48"/>
    </row>
    <row r="263" spans="1:10">
      <c r="A263" s="35" t="s">
        <v>36</v>
      </c>
      <c r="B263" s="35" t="s">
        <v>37</v>
      </c>
      <c r="C263" s="35" t="s">
        <v>38</v>
      </c>
      <c r="D263" s="35">
        <v>400</v>
      </c>
      <c r="E263" s="35">
        <v>911</v>
      </c>
      <c r="F263" s="53">
        <v>17</v>
      </c>
      <c r="G263" s="35" t="str">
        <f t="shared" si="5"/>
        <v>GÜNEYCE91117</v>
      </c>
      <c r="H263" s="35" t="s">
        <v>137</v>
      </c>
      <c r="I263" s="49">
        <v>17000</v>
      </c>
      <c r="J263" s="48"/>
    </row>
    <row r="264" spans="1:10">
      <c r="A264" s="36" t="s">
        <v>14</v>
      </c>
      <c r="B264" s="36" t="s">
        <v>15</v>
      </c>
      <c r="C264" s="36" t="s">
        <v>16</v>
      </c>
      <c r="D264" s="36">
        <v>758.24</v>
      </c>
      <c r="E264" s="55">
        <v>165</v>
      </c>
      <c r="F264" s="39">
        <v>3</v>
      </c>
      <c r="G264" s="35" t="str">
        <f t="shared" si="5"/>
        <v>REŞADİYE1653</v>
      </c>
      <c r="H264" s="36" t="s">
        <v>137</v>
      </c>
      <c r="I264" s="38">
        <v>400000</v>
      </c>
      <c r="J264" s="38">
        <v>410000</v>
      </c>
    </row>
    <row r="265" spans="1:10">
      <c r="A265" s="36" t="s">
        <v>14</v>
      </c>
      <c r="B265" s="36" t="s">
        <v>15</v>
      </c>
      <c r="C265" s="36" t="s">
        <v>16</v>
      </c>
      <c r="D265" s="36">
        <v>729.61</v>
      </c>
      <c r="E265" s="55">
        <v>165</v>
      </c>
      <c r="F265" s="36">
        <v>4</v>
      </c>
      <c r="G265" s="35" t="str">
        <f t="shared" si="5"/>
        <v>REŞADİYE1654</v>
      </c>
      <c r="H265" s="36" t="s">
        <v>137</v>
      </c>
      <c r="I265" s="38">
        <v>370000</v>
      </c>
      <c r="J265" s="36"/>
    </row>
    <row r="266" spans="1:10">
      <c r="A266" s="36" t="s">
        <v>14</v>
      </c>
      <c r="B266" s="36" t="s">
        <v>15</v>
      </c>
      <c r="C266" s="36" t="s">
        <v>16</v>
      </c>
      <c r="D266" s="36">
        <v>771.52</v>
      </c>
      <c r="E266" s="55">
        <v>165</v>
      </c>
      <c r="F266" s="39">
        <v>6</v>
      </c>
      <c r="G266" s="35" t="str">
        <f t="shared" si="5"/>
        <v>REŞADİYE1656</v>
      </c>
      <c r="H266" s="36" t="s">
        <v>137</v>
      </c>
      <c r="I266" s="38">
        <v>311000</v>
      </c>
      <c r="J266" s="38">
        <v>325000</v>
      </c>
    </row>
    <row r="267" spans="1:10">
      <c r="A267" s="20" t="s">
        <v>14</v>
      </c>
      <c r="B267" s="20" t="s">
        <v>15</v>
      </c>
      <c r="C267" s="20" t="s">
        <v>16</v>
      </c>
      <c r="D267" s="20">
        <v>735.14</v>
      </c>
      <c r="E267" s="34">
        <v>165</v>
      </c>
      <c r="F267" s="20">
        <v>7</v>
      </c>
      <c r="G267" s="35" t="str">
        <f t="shared" si="5"/>
        <v>REŞADİYE1657</v>
      </c>
      <c r="H267" s="20" t="s">
        <v>137</v>
      </c>
      <c r="I267" s="21">
        <v>430000</v>
      </c>
      <c r="J267" s="21">
        <v>435000</v>
      </c>
    </row>
    <row r="268" spans="1:10">
      <c r="A268" s="36" t="s">
        <v>14</v>
      </c>
      <c r="B268" s="36" t="s">
        <v>15</v>
      </c>
      <c r="C268" s="36" t="s">
        <v>16</v>
      </c>
      <c r="D268" s="36">
        <v>730.93</v>
      </c>
      <c r="E268" s="55">
        <v>165</v>
      </c>
      <c r="F268" s="36">
        <v>8</v>
      </c>
      <c r="G268" s="35" t="str">
        <f t="shared" si="5"/>
        <v>REŞADİYE1658</v>
      </c>
      <c r="H268" s="36" t="s">
        <v>137</v>
      </c>
      <c r="I268" s="38">
        <v>480000</v>
      </c>
      <c r="J268" s="36"/>
    </row>
    <row r="269" spans="1:10">
      <c r="A269" s="20" t="s">
        <v>14</v>
      </c>
      <c r="B269" s="20" t="s">
        <v>15</v>
      </c>
      <c r="C269" s="20" t="s">
        <v>16</v>
      </c>
      <c r="D269" s="20">
        <v>366.44</v>
      </c>
      <c r="E269" s="20">
        <v>165</v>
      </c>
      <c r="F269" s="23">
        <v>9</v>
      </c>
      <c r="G269" s="35" t="str">
        <f t="shared" si="5"/>
        <v>REŞADİYE1659</v>
      </c>
      <c r="H269" s="20" t="s">
        <v>137</v>
      </c>
      <c r="I269" s="41">
        <f>($I$265/$D$265)*D269</f>
        <v>185829.14159619523</v>
      </c>
      <c r="J269" s="21">
        <v>220000</v>
      </c>
    </row>
    <row r="270" spans="1:10">
      <c r="A270" s="56" t="s">
        <v>14</v>
      </c>
      <c r="B270" s="56" t="s">
        <v>15</v>
      </c>
      <c r="C270" s="56" t="s">
        <v>16</v>
      </c>
      <c r="D270" s="56">
        <v>363.17</v>
      </c>
      <c r="E270" s="56">
        <v>165</v>
      </c>
      <c r="F270" s="57">
        <v>10</v>
      </c>
      <c r="G270" s="35" t="str">
        <f t="shared" si="5"/>
        <v>REŞADİYE16510</v>
      </c>
      <c r="H270" s="56" t="s">
        <v>137</v>
      </c>
      <c r="I270" s="60">
        <f>($I$265/$D$265)*D270</f>
        <v>184170.85840380477</v>
      </c>
      <c r="J270" s="59">
        <v>0</v>
      </c>
    </row>
    <row r="271" spans="1:10">
      <c r="A271" s="19" t="s">
        <v>14</v>
      </c>
      <c r="B271" s="19" t="s">
        <v>15</v>
      </c>
      <c r="C271" s="19" t="s">
        <v>16</v>
      </c>
      <c r="D271" s="19">
        <v>366.43</v>
      </c>
      <c r="E271" s="19">
        <v>165</v>
      </c>
      <c r="F271" s="17">
        <v>12</v>
      </c>
      <c r="G271" s="35" t="str">
        <f t="shared" si="5"/>
        <v>REŞADİYE16512</v>
      </c>
      <c r="H271" s="19" t="s">
        <v>137</v>
      </c>
      <c r="I271" s="66">
        <f>($I$268/$D$268)*D271</f>
        <v>240633.71321467173</v>
      </c>
      <c r="J271" s="7">
        <v>241500</v>
      </c>
    </row>
    <row r="272" spans="1:10">
      <c r="A272" s="19" t="s">
        <v>14</v>
      </c>
      <c r="B272" s="19" t="s">
        <v>15</v>
      </c>
      <c r="C272" s="19" t="s">
        <v>16</v>
      </c>
      <c r="D272" s="19">
        <v>364.5</v>
      </c>
      <c r="E272" s="19">
        <v>165</v>
      </c>
      <c r="F272" s="17">
        <v>11</v>
      </c>
      <c r="G272" s="35" t="str">
        <f t="shared" si="5"/>
        <v>REŞADİYE16511</v>
      </c>
      <c r="H272" s="19" t="s">
        <v>137</v>
      </c>
      <c r="I272" s="66">
        <f>($I$268/$D$268)*D272</f>
        <v>239366.2867853283</v>
      </c>
      <c r="J272" s="7">
        <v>240500</v>
      </c>
    </row>
    <row r="273" spans="1:10">
      <c r="A273" s="42" t="s">
        <v>14</v>
      </c>
      <c r="B273" s="42" t="s">
        <v>15</v>
      </c>
      <c r="C273" s="42" t="s">
        <v>16</v>
      </c>
      <c r="D273" s="42">
        <v>385.76</v>
      </c>
      <c r="E273" s="42">
        <v>165</v>
      </c>
      <c r="F273" s="50">
        <v>15</v>
      </c>
      <c r="G273" s="35" t="str">
        <f t="shared" si="5"/>
        <v>REŞADİYE16515</v>
      </c>
      <c r="H273" s="42" t="s">
        <v>137</v>
      </c>
      <c r="I273" s="61">
        <f>($J$266/$D$266)*D273</f>
        <v>162500</v>
      </c>
      <c r="J273" s="42"/>
    </row>
    <row r="274" spans="1:10">
      <c r="A274" s="42" t="s">
        <v>14</v>
      </c>
      <c r="B274" s="42" t="s">
        <v>15</v>
      </c>
      <c r="C274" s="42" t="s">
        <v>16</v>
      </c>
      <c r="D274" s="42">
        <v>385.76</v>
      </c>
      <c r="E274" s="42">
        <v>165</v>
      </c>
      <c r="F274" s="50">
        <v>16</v>
      </c>
      <c r="G274" s="35" t="str">
        <f t="shared" si="5"/>
        <v>REŞADİYE16516</v>
      </c>
      <c r="H274" s="42" t="s">
        <v>137</v>
      </c>
      <c r="I274" s="61">
        <f>($J$266/$D$266)*D274</f>
        <v>162500</v>
      </c>
      <c r="J274" s="42"/>
    </row>
    <row r="275" spans="1:10">
      <c r="A275" s="42" t="s">
        <v>14</v>
      </c>
      <c r="B275" s="42" t="s">
        <v>15</v>
      </c>
      <c r="C275" s="42" t="s">
        <v>16</v>
      </c>
      <c r="D275" s="42">
        <v>380.83</v>
      </c>
      <c r="E275" s="42">
        <v>165</v>
      </c>
      <c r="F275" s="50">
        <v>13</v>
      </c>
      <c r="G275" s="35" t="str">
        <f t="shared" si="5"/>
        <v>REŞADİYE16513</v>
      </c>
      <c r="H275" s="42" t="s">
        <v>137</v>
      </c>
      <c r="I275" s="61">
        <f>($J$264/$D$264)*D275</f>
        <v>205924.6412745305</v>
      </c>
      <c r="J275" s="42"/>
    </row>
    <row r="276" spans="1:10">
      <c r="A276" s="42" t="s">
        <v>14</v>
      </c>
      <c r="B276" s="42" t="s">
        <v>15</v>
      </c>
      <c r="C276" s="42" t="s">
        <v>16</v>
      </c>
      <c r="D276" s="42">
        <v>377.41</v>
      </c>
      <c r="E276" s="42">
        <v>165</v>
      </c>
      <c r="F276" s="50">
        <v>14</v>
      </c>
      <c r="G276" s="35" t="str">
        <f t="shared" si="5"/>
        <v>REŞADİYE16514</v>
      </c>
      <c r="H276" s="42" t="s">
        <v>137</v>
      </c>
      <c r="I276" s="61">
        <f>($J$264/$D$264)*D276</f>
        <v>204075.35872546953</v>
      </c>
      <c r="J276" s="42"/>
    </row>
    <row r="277" spans="1:10">
      <c r="A277" s="36" t="s">
        <v>14</v>
      </c>
      <c r="B277" s="36" t="s">
        <v>15</v>
      </c>
      <c r="C277" s="36" t="s">
        <v>16</v>
      </c>
      <c r="D277" s="36">
        <v>683.84</v>
      </c>
      <c r="E277" s="55">
        <v>166</v>
      </c>
      <c r="F277" s="39">
        <v>1</v>
      </c>
      <c r="G277" s="35" t="str">
        <f t="shared" si="5"/>
        <v>REŞADİYE1661</v>
      </c>
      <c r="H277" s="36" t="s">
        <v>137</v>
      </c>
      <c r="I277" s="38">
        <v>266000</v>
      </c>
      <c r="J277" s="36"/>
    </row>
    <row r="278" spans="1:10">
      <c r="A278" s="36" t="s">
        <v>14</v>
      </c>
      <c r="B278" s="36" t="s">
        <v>15</v>
      </c>
      <c r="C278" s="36" t="s">
        <v>16</v>
      </c>
      <c r="D278" s="36">
        <v>735.18</v>
      </c>
      <c r="E278" s="55">
        <v>166</v>
      </c>
      <c r="F278" s="39">
        <v>4</v>
      </c>
      <c r="G278" s="35" t="str">
        <f t="shared" si="5"/>
        <v>REŞADİYE1664</v>
      </c>
      <c r="H278" s="36" t="s">
        <v>137</v>
      </c>
      <c r="I278" s="38">
        <v>271000</v>
      </c>
      <c r="J278" s="38">
        <v>280000</v>
      </c>
    </row>
    <row r="279" spans="1:10">
      <c r="A279" s="36" t="s">
        <v>14</v>
      </c>
      <c r="B279" s="36" t="s">
        <v>15</v>
      </c>
      <c r="C279" s="36" t="s">
        <v>16</v>
      </c>
      <c r="D279" s="36">
        <v>757.14</v>
      </c>
      <c r="E279" s="55">
        <v>166</v>
      </c>
      <c r="F279" s="39">
        <v>5</v>
      </c>
      <c r="G279" s="35" t="str">
        <f t="shared" si="5"/>
        <v>REŞADİYE1665</v>
      </c>
      <c r="H279" s="36" t="s">
        <v>137</v>
      </c>
      <c r="I279" s="38">
        <v>370000</v>
      </c>
      <c r="J279" s="38">
        <v>371000</v>
      </c>
    </row>
    <row r="280" spans="1:10">
      <c r="A280" s="36" t="s">
        <v>14</v>
      </c>
      <c r="B280" s="36" t="s">
        <v>15</v>
      </c>
      <c r="C280" s="36" t="s">
        <v>16</v>
      </c>
      <c r="D280" s="36">
        <v>790.59</v>
      </c>
      <c r="E280" s="55">
        <v>166</v>
      </c>
      <c r="F280" s="39">
        <v>6</v>
      </c>
      <c r="G280" s="35" t="str">
        <f t="shared" si="5"/>
        <v>REŞADİYE1666</v>
      </c>
      <c r="H280" s="36" t="s">
        <v>137</v>
      </c>
      <c r="I280" s="38">
        <v>305000</v>
      </c>
      <c r="J280" s="38">
        <v>320000</v>
      </c>
    </row>
    <row r="281" spans="1:10">
      <c r="A281" s="36" t="s">
        <v>14</v>
      </c>
      <c r="B281" s="36" t="s">
        <v>15</v>
      </c>
      <c r="C281" s="36" t="s">
        <v>16</v>
      </c>
      <c r="D281" s="36">
        <v>756.63</v>
      </c>
      <c r="E281" s="55">
        <v>166</v>
      </c>
      <c r="F281" s="39">
        <v>7</v>
      </c>
      <c r="G281" s="35" t="str">
        <f t="shared" si="5"/>
        <v>REŞADİYE1667</v>
      </c>
      <c r="H281" s="36" t="s">
        <v>137</v>
      </c>
      <c r="I281" s="38">
        <v>282000</v>
      </c>
      <c r="J281" s="38">
        <v>285000</v>
      </c>
    </row>
    <row r="282" spans="1:10">
      <c r="A282" s="36" t="s">
        <v>14</v>
      </c>
      <c r="B282" s="36" t="s">
        <v>15</v>
      </c>
      <c r="C282" s="36" t="s">
        <v>16</v>
      </c>
      <c r="D282" s="36">
        <v>762.01</v>
      </c>
      <c r="E282" s="55">
        <v>166</v>
      </c>
      <c r="F282" s="39">
        <v>8</v>
      </c>
      <c r="G282" s="35" t="str">
        <f t="shared" si="5"/>
        <v>REŞADİYE1668</v>
      </c>
      <c r="H282" s="36" t="s">
        <v>137</v>
      </c>
      <c r="I282" s="38">
        <v>275000</v>
      </c>
      <c r="J282" s="38">
        <v>281000</v>
      </c>
    </row>
    <row r="283" spans="1:10">
      <c r="A283" s="19" t="s">
        <v>14</v>
      </c>
      <c r="B283" s="19" t="s">
        <v>15</v>
      </c>
      <c r="C283" s="19" t="s">
        <v>16</v>
      </c>
      <c r="D283" s="19">
        <v>341.92</v>
      </c>
      <c r="E283" s="19">
        <v>166</v>
      </c>
      <c r="F283" s="17">
        <v>9</v>
      </c>
      <c r="G283" s="35" t="str">
        <f t="shared" si="5"/>
        <v>REŞADİYE1669</v>
      </c>
      <c r="H283" s="19" t="s">
        <v>137</v>
      </c>
      <c r="I283" s="66">
        <f>($I$277/$D$277)*D283</f>
        <v>133000</v>
      </c>
      <c r="J283" s="7">
        <v>134000</v>
      </c>
    </row>
    <row r="284" spans="1:10">
      <c r="A284" s="19" t="s">
        <v>14</v>
      </c>
      <c r="B284" s="19" t="s">
        <v>15</v>
      </c>
      <c r="C284" s="19" t="s">
        <v>16</v>
      </c>
      <c r="D284" s="19">
        <v>341.92</v>
      </c>
      <c r="E284" s="19">
        <v>166</v>
      </c>
      <c r="F284" s="17">
        <v>10</v>
      </c>
      <c r="G284" s="35" t="str">
        <f t="shared" si="5"/>
        <v>REŞADİYE16610</v>
      </c>
      <c r="H284" s="19" t="s">
        <v>137</v>
      </c>
      <c r="I284" s="66">
        <f>($I$277/$D$277)*D284</f>
        <v>133000</v>
      </c>
      <c r="J284" s="7">
        <v>134000</v>
      </c>
    </row>
    <row r="285" spans="1:10">
      <c r="A285" s="42" t="s">
        <v>14</v>
      </c>
      <c r="B285" s="42" t="s">
        <v>15</v>
      </c>
      <c r="C285" s="42" t="s">
        <v>16</v>
      </c>
      <c r="D285" s="42">
        <v>395.3</v>
      </c>
      <c r="E285" s="42">
        <v>166</v>
      </c>
      <c r="F285" s="50">
        <v>11</v>
      </c>
      <c r="G285" s="35" t="str">
        <f t="shared" si="5"/>
        <v>REŞADİYE16611</v>
      </c>
      <c r="H285" s="42" t="s">
        <v>137</v>
      </c>
      <c r="I285" s="61">
        <f>($J$280/$D$280)*D285</f>
        <v>160002.02380500638</v>
      </c>
      <c r="J285" s="42"/>
    </row>
    <row r="286" spans="1:10">
      <c r="A286" s="42" t="s">
        <v>14</v>
      </c>
      <c r="B286" s="42" t="s">
        <v>15</v>
      </c>
      <c r="C286" s="42" t="s">
        <v>16</v>
      </c>
      <c r="D286" s="42">
        <v>395.29</v>
      </c>
      <c r="E286" s="42">
        <v>166</v>
      </c>
      <c r="F286" s="50">
        <v>12</v>
      </c>
      <c r="G286" s="35" t="str">
        <f t="shared" si="5"/>
        <v>REŞADİYE16612</v>
      </c>
      <c r="H286" s="42" t="s">
        <v>137</v>
      </c>
      <c r="I286" s="61">
        <f>($J$280/$D$280)*D286</f>
        <v>159997.97619499359</v>
      </c>
      <c r="J286" s="42"/>
    </row>
    <row r="287" spans="1:10">
      <c r="A287" s="42" t="s">
        <v>14</v>
      </c>
      <c r="B287" s="42" t="s">
        <v>15</v>
      </c>
      <c r="C287" s="42" t="s">
        <v>16</v>
      </c>
      <c r="D287" s="42">
        <v>379.48</v>
      </c>
      <c r="E287" s="42">
        <v>166</v>
      </c>
      <c r="F287" s="50">
        <v>13</v>
      </c>
      <c r="G287" s="35" t="str">
        <f t="shared" si="5"/>
        <v>REŞADİYE16613</v>
      </c>
      <c r="H287" s="42" t="s">
        <v>137</v>
      </c>
      <c r="I287" s="61">
        <f>($J$281/$D$281)*D287</f>
        <v>142938.82082391658</v>
      </c>
      <c r="J287" s="42"/>
    </row>
    <row r="288" spans="1:10">
      <c r="A288" s="42" t="s">
        <v>14</v>
      </c>
      <c r="B288" s="42" t="s">
        <v>15</v>
      </c>
      <c r="C288" s="42" t="s">
        <v>16</v>
      </c>
      <c r="D288" s="42">
        <v>377.15</v>
      </c>
      <c r="E288" s="42">
        <v>166</v>
      </c>
      <c r="F288" s="50">
        <v>14</v>
      </c>
      <c r="G288" s="35" t="str">
        <f t="shared" si="5"/>
        <v>REŞADİYE16614</v>
      </c>
      <c r="H288" s="42" t="s">
        <v>137</v>
      </c>
      <c r="I288" s="61">
        <f>($J$281/$D$281)*D288</f>
        <v>142061.17917608342</v>
      </c>
      <c r="J288" s="42"/>
    </row>
    <row r="289" spans="1:10">
      <c r="A289" s="42" t="s">
        <v>14</v>
      </c>
      <c r="B289" s="42" t="s">
        <v>15</v>
      </c>
      <c r="C289" s="42" t="s">
        <v>16</v>
      </c>
      <c r="D289" s="42">
        <v>382.07</v>
      </c>
      <c r="E289" s="42">
        <v>166</v>
      </c>
      <c r="F289" s="50">
        <v>15</v>
      </c>
      <c r="G289" s="35" t="str">
        <f t="shared" si="5"/>
        <v>REŞADİYE16615</v>
      </c>
      <c r="H289" s="42" t="s">
        <v>137</v>
      </c>
      <c r="I289" s="61">
        <f>($J$282/$D$282)*D289</f>
        <v>140892.73106652143</v>
      </c>
      <c r="J289" s="42"/>
    </row>
    <row r="290" spans="1:10">
      <c r="A290" s="42" t="s">
        <v>14</v>
      </c>
      <c r="B290" s="42" t="s">
        <v>15</v>
      </c>
      <c r="C290" s="42" t="s">
        <v>16</v>
      </c>
      <c r="D290" s="42">
        <v>379.94</v>
      </c>
      <c r="E290" s="42">
        <v>166</v>
      </c>
      <c r="F290" s="50">
        <v>16</v>
      </c>
      <c r="G290" s="35" t="str">
        <f t="shared" si="5"/>
        <v>REŞADİYE16616</v>
      </c>
      <c r="H290" s="42" t="s">
        <v>137</v>
      </c>
      <c r="I290" s="61">
        <f>($J$282/$D$282)*D290</f>
        <v>140107.26893347857</v>
      </c>
      <c r="J290" s="42"/>
    </row>
    <row r="291" spans="1:10">
      <c r="A291" s="42" t="s">
        <v>14</v>
      </c>
      <c r="B291" s="42" t="s">
        <v>23</v>
      </c>
      <c r="C291" s="42" t="s">
        <v>41</v>
      </c>
      <c r="D291" s="42">
        <v>489.34</v>
      </c>
      <c r="E291" s="42">
        <v>140</v>
      </c>
      <c r="F291" s="42">
        <v>1</v>
      </c>
      <c r="G291" s="35" t="str">
        <f t="shared" si="5"/>
        <v>BÜYÜKPINAR1401</v>
      </c>
      <c r="H291" s="42" t="s">
        <v>138</v>
      </c>
      <c r="I291" s="61">
        <v>275000</v>
      </c>
      <c r="J291" s="44">
        <v>290000</v>
      </c>
    </row>
    <row r="292" spans="1:10">
      <c r="A292" s="20" t="s">
        <v>14</v>
      </c>
      <c r="B292" s="20" t="s">
        <v>23</v>
      </c>
      <c r="C292" s="20" t="s">
        <v>24</v>
      </c>
      <c r="D292" s="20">
        <v>1019.82</v>
      </c>
      <c r="E292" s="20">
        <v>104</v>
      </c>
      <c r="F292" s="20">
        <v>2</v>
      </c>
      <c r="G292" s="35" t="str">
        <f t="shared" si="5"/>
        <v>İBİRLER1042</v>
      </c>
      <c r="H292" s="20" t="s">
        <v>138</v>
      </c>
      <c r="I292" s="41">
        <v>1250000</v>
      </c>
      <c r="J292" s="21">
        <v>1300000</v>
      </c>
    </row>
    <row r="293" spans="1:10">
      <c r="A293" s="20" t="s">
        <v>14</v>
      </c>
      <c r="B293" s="20" t="s">
        <v>23</v>
      </c>
      <c r="C293" s="20" t="s">
        <v>26</v>
      </c>
      <c r="D293" s="20">
        <v>800.05</v>
      </c>
      <c r="E293" s="20">
        <v>105</v>
      </c>
      <c r="F293" s="20">
        <v>9</v>
      </c>
      <c r="G293" s="35" t="str">
        <f t="shared" si="5"/>
        <v>KALAYCILAR1059</v>
      </c>
      <c r="H293" s="20" t="s">
        <v>138</v>
      </c>
      <c r="I293" s="41">
        <v>1460000</v>
      </c>
      <c r="J293" s="21">
        <v>1900000</v>
      </c>
    </row>
    <row r="294" spans="1:10">
      <c r="A294" s="20" t="s">
        <v>14</v>
      </c>
      <c r="B294" s="20" t="s">
        <v>23</v>
      </c>
      <c r="C294" s="20" t="s">
        <v>26</v>
      </c>
      <c r="D294" s="20">
        <v>789.05</v>
      </c>
      <c r="E294" s="20">
        <v>105</v>
      </c>
      <c r="F294" s="20">
        <v>10</v>
      </c>
      <c r="G294" s="35" t="str">
        <f t="shared" si="5"/>
        <v>KALAYCILAR10510</v>
      </c>
      <c r="H294" s="20" t="s">
        <v>138</v>
      </c>
      <c r="I294" s="41">
        <v>1450000</v>
      </c>
      <c r="J294" s="21">
        <v>1900000</v>
      </c>
    </row>
    <row r="295" spans="1:10">
      <c r="A295" s="20" t="s">
        <v>14</v>
      </c>
      <c r="B295" s="20" t="s">
        <v>23</v>
      </c>
      <c r="C295" s="20" t="s">
        <v>26</v>
      </c>
      <c r="D295" s="20">
        <v>880.26</v>
      </c>
      <c r="E295" s="20">
        <v>105</v>
      </c>
      <c r="F295" s="20">
        <v>12</v>
      </c>
      <c r="G295" s="35" t="str">
        <f t="shared" si="5"/>
        <v>KALAYCILAR10512</v>
      </c>
      <c r="H295" s="20" t="s">
        <v>138</v>
      </c>
      <c r="I295" s="41">
        <v>1600000</v>
      </c>
      <c r="J295" s="21">
        <v>1680000</v>
      </c>
    </row>
    <row r="296" spans="1:10">
      <c r="A296" s="42" t="s">
        <v>14</v>
      </c>
      <c r="B296" s="42" t="s">
        <v>23</v>
      </c>
      <c r="C296" s="42" t="s">
        <v>26</v>
      </c>
      <c r="D296" s="42">
        <v>879.72</v>
      </c>
      <c r="E296" s="42">
        <v>105</v>
      </c>
      <c r="F296" s="42">
        <v>13</v>
      </c>
      <c r="G296" s="35" t="str">
        <f t="shared" si="5"/>
        <v>KALAYCILAR10513</v>
      </c>
      <c r="H296" s="42" t="s">
        <v>138</v>
      </c>
      <c r="I296" s="61">
        <v>1620000</v>
      </c>
      <c r="J296" s="44">
        <v>2205440</v>
      </c>
    </row>
    <row r="297" spans="1:10">
      <c r="A297" s="42" t="s">
        <v>14</v>
      </c>
      <c r="B297" s="42" t="s">
        <v>23</v>
      </c>
      <c r="C297" s="42" t="s">
        <v>59</v>
      </c>
      <c r="D297" s="42">
        <v>815.21</v>
      </c>
      <c r="E297" s="42">
        <v>120</v>
      </c>
      <c r="F297" s="42">
        <v>14</v>
      </c>
      <c r="G297" s="35" t="str">
        <f t="shared" si="5"/>
        <v>TOYBELEN12014</v>
      </c>
      <c r="H297" s="42" t="s">
        <v>138</v>
      </c>
      <c r="I297" s="61">
        <v>550000</v>
      </c>
      <c r="J297" s="44">
        <v>605000</v>
      </c>
    </row>
    <row r="298" spans="1:10">
      <c r="A298" s="42" t="s">
        <v>14</v>
      </c>
      <c r="B298" s="42" t="s">
        <v>23</v>
      </c>
      <c r="C298" s="42" t="s">
        <v>59</v>
      </c>
      <c r="D298" s="42">
        <v>967.82</v>
      </c>
      <c r="E298" s="42">
        <v>120</v>
      </c>
      <c r="F298" s="42">
        <v>17</v>
      </c>
      <c r="G298" s="35" t="str">
        <f t="shared" si="5"/>
        <v>TOYBELEN12017</v>
      </c>
      <c r="H298" s="42" t="s">
        <v>138</v>
      </c>
      <c r="I298" s="61">
        <v>400000</v>
      </c>
      <c r="J298" s="44">
        <v>544560</v>
      </c>
    </row>
    <row r="299" spans="1:10">
      <c r="A299" s="42" t="s">
        <v>14</v>
      </c>
      <c r="B299" s="42" t="s">
        <v>23</v>
      </c>
      <c r="C299" s="42" t="s">
        <v>59</v>
      </c>
      <c r="D299" s="42">
        <v>1001.98</v>
      </c>
      <c r="E299" s="42">
        <v>120</v>
      </c>
      <c r="F299" s="42">
        <v>19</v>
      </c>
      <c r="G299" s="35" t="str">
        <f t="shared" si="5"/>
        <v>TOYBELEN12019</v>
      </c>
      <c r="H299" s="42" t="s">
        <v>138</v>
      </c>
      <c r="I299" s="61">
        <v>440000</v>
      </c>
      <c r="J299" s="44">
        <v>484000</v>
      </c>
    </row>
    <row r="300" spans="1:10">
      <c r="A300" s="42" t="s">
        <v>14</v>
      </c>
      <c r="B300" s="42" t="s">
        <v>15</v>
      </c>
      <c r="C300" s="42" t="s">
        <v>16</v>
      </c>
      <c r="D300" s="42">
        <v>366.42</v>
      </c>
      <c r="E300" s="42">
        <v>166</v>
      </c>
      <c r="F300" s="50">
        <v>17</v>
      </c>
      <c r="G300" s="35" t="str">
        <f t="shared" si="5"/>
        <v>REŞADİYE16617</v>
      </c>
      <c r="H300" s="42" t="s">
        <v>137</v>
      </c>
      <c r="I300" s="67">
        <f>($J$278/$D$278)*D300</f>
        <v>139554.39484207952</v>
      </c>
      <c r="J300" s="42"/>
    </row>
    <row r="301" spans="1:10">
      <c r="A301" s="42" t="s">
        <v>14</v>
      </c>
      <c r="B301" s="42" t="s">
        <v>15</v>
      </c>
      <c r="C301" s="42" t="s">
        <v>16</v>
      </c>
      <c r="D301" s="42">
        <v>368.76</v>
      </c>
      <c r="E301" s="42">
        <v>166</v>
      </c>
      <c r="F301" s="50">
        <v>18</v>
      </c>
      <c r="G301" s="35" t="str">
        <f t="shared" si="5"/>
        <v>REŞADİYE16618</v>
      </c>
      <c r="H301" s="42" t="s">
        <v>137</v>
      </c>
      <c r="I301" s="67">
        <f>($J$278/$D$278)*D301</f>
        <v>140445.60515792051</v>
      </c>
      <c r="J301" s="42"/>
    </row>
    <row r="302" spans="1:10">
      <c r="A302" s="20" t="s">
        <v>14</v>
      </c>
      <c r="B302" s="20" t="s">
        <v>15</v>
      </c>
      <c r="C302" s="20" t="s">
        <v>16</v>
      </c>
      <c r="D302" s="20">
        <v>378.57</v>
      </c>
      <c r="E302" s="20">
        <v>166</v>
      </c>
      <c r="F302" s="23">
        <v>19</v>
      </c>
      <c r="G302" s="35" t="str">
        <f t="shared" si="5"/>
        <v>REŞADİYE16619</v>
      </c>
      <c r="H302" s="20" t="s">
        <v>137</v>
      </c>
      <c r="I302" s="41">
        <f>($J$279/$D$279)*D302</f>
        <v>185500</v>
      </c>
      <c r="J302" s="20"/>
    </row>
    <row r="303" spans="1:10">
      <c r="A303" s="20" t="s">
        <v>14</v>
      </c>
      <c r="B303" s="20" t="s">
        <v>15</v>
      </c>
      <c r="C303" s="20" t="s">
        <v>16</v>
      </c>
      <c r="D303" s="20">
        <v>378.57</v>
      </c>
      <c r="E303" s="20">
        <v>166</v>
      </c>
      <c r="F303" s="23">
        <v>20</v>
      </c>
      <c r="G303" s="35" t="str">
        <f t="shared" si="5"/>
        <v>REŞADİYE16620</v>
      </c>
      <c r="H303" s="20" t="s">
        <v>137</v>
      </c>
      <c r="I303" s="41">
        <f>($J$279/$D$279)*D303</f>
        <v>185500</v>
      </c>
      <c r="J303" s="20"/>
    </row>
    <row r="304" spans="1:10">
      <c r="A304" s="36" t="s">
        <v>14</v>
      </c>
      <c r="B304" s="36" t="s">
        <v>15</v>
      </c>
      <c r="C304" s="36" t="s">
        <v>16</v>
      </c>
      <c r="D304" s="36">
        <v>675.8</v>
      </c>
      <c r="E304" s="55">
        <v>167</v>
      </c>
      <c r="F304" s="39">
        <v>1</v>
      </c>
      <c r="G304" s="35" t="str">
        <f t="shared" si="5"/>
        <v>REŞADİYE1671</v>
      </c>
      <c r="H304" s="36" t="s">
        <v>137</v>
      </c>
      <c r="I304" s="38">
        <v>440000</v>
      </c>
      <c r="J304" s="36"/>
    </row>
    <row r="305" spans="1:10">
      <c r="A305" s="36" t="s">
        <v>14</v>
      </c>
      <c r="B305" s="36" t="s">
        <v>15</v>
      </c>
      <c r="C305" s="36" t="s">
        <v>16</v>
      </c>
      <c r="D305" s="36">
        <v>743.06</v>
      </c>
      <c r="E305" s="55">
        <v>167</v>
      </c>
      <c r="F305" s="39">
        <v>3</v>
      </c>
      <c r="G305" s="35" t="str">
        <f t="shared" si="5"/>
        <v>REŞADİYE1673</v>
      </c>
      <c r="H305" s="36" t="s">
        <v>137</v>
      </c>
      <c r="I305" s="38">
        <v>276000</v>
      </c>
      <c r="J305" s="36"/>
    </row>
    <row r="306" spans="1:10">
      <c r="A306" s="36" t="s">
        <v>14</v>
      </c>
      <c r="B306" s="36" t="s">
        <v>15</v>
      </c>
      <c r="C306" s="36" t="s">
        <v>16</v>
      </c>
      <c r="D306" s="36">
        <v>741.78</v>
      </c>
      <c r="E306" s="55">
        <v>167</v>
      </c>
      <c r="F306" s="39">
        <v>5</v>
      </c>
      <c r="G306" s="35" t="str">
        <f t="shared" si="5"/>
        <v>REŞADİYE1675</v>
      </c>
      <c r="H306" s="36" t="s">
        <v>137</v>
      </c>
      <c r="I306" s="38">
        <v>280000</v>
      </c>
      <c r="J306" s="38">
        <v>300000</v>
      </c>
    </row>
    <row r="307" spans="1:10">
      <c r="A307" s="36" t="s">
        <v>14</v>
      </c>
      <c r="B307" s="36" t="s">
        <v>15</v>
      </c>
      <c r="C307" s="36" t="s">
        <v>16</v>
      </c>
      <c r="D307" s="36">
        <v>798.23</v>
      </c>
      <c r="E307" s="55">
        <v>167</v>
      </c>
      <c r="F307" s="39">
        <v>6</v>
      </c>
      <c r="G307" s="35" t="str">
        <f t="shared" si="5"/>
        <v>REŞADİYE1676</v>
      </c>
      <c r="H307" s="36" t="s">
        <v>137</v>
      </c>
      <c r="I307" s="38">
        <v>300000</v>
      </c>
      <c r="J307" s="36"/>
    </row>
    <row r="308" spans="1:10">
      <c r="A308" s="19" t="s">
        <v>14</v>
      </c>
      <c r="B308" s="19" t="s">
        <v>15</v>
      </c>
      <c r="C308" s="19" t="s">
        <v>16</v>
      </c>
      <c r="D308" s="19">
        <v>337.9</v>
      </c>
      <c r="E308" s="19">
        <v>167</v>
      </c>
      <c r="F308" s="17">
        <v>9</v>
      </c>
      <c r="G308" s="35" t="str">
        <f t="shared" si="5"/>
        <v>REŞADİYE1679</v>
      </c>
      <c r="H308" s="19" t="s">
        <v>137</v>
      </c>
      <c r="I308" s="68">
        <f>($I$304/$D$304)*D308</f>
        <v>220000.00000000003</v>
      </c>
      <c r="J308" s="7">
        <v>230000</v>
      </c>
    </row>
    <row r="309" spans="1:10">
      <c r="A309" s="19" t="s">
        <v>14</v>
      </c>
      <c r="B309" s="19" t="s">
        <v>15</v>
      </c>
      <c r="C309" s="19" t="s">
        <v>16</v>
      </c>
      <c r="D309" s="19">
        <v>337.9</v>
      </c>
      <c r="E309" s="19">
        <v>167</v>
      </c>
      <c r="F309" s="17">
        <v>10</v>
      </c>
      <c r="G309" s="35" t="str">
        <f t="shared" si="5"/>
        <v>REŞADİYE16710</v>
      </c>
      <c r="H309" s="19" t="s">
        <v>137</v>
      </c>
      <c r="I309" s="68">
        <f>($I$304/$D$304)*D309</f>
        <v>220000.00000000003</v>
      </c>
      <c r="J309" s="7">
        <v>230000</v>
      </c>
    </row>
    <row r="310" spans="1:10">
      <c r="A310" s="19" t="s">
        <v>14</v>
      </c>
      <c r="B310" s="19" t="s">
        <v>15</v>
      </c>
      <c r="C310" s="19" t="s">
        <v>16</v>
      </c>
      <c r="D310" s="19">
        <v>372.41</v>
      </c>
      <c r="E310" s="19">
        <v>167</v>
      </c>
      <c r="F310" s="17">
        <v>11</v>
      </c>
      <c r="G310" s="35" t="str">
        <f t="shared" si="5"/>
        <v>REŞADİYE16711</v>
      </c>
      <c r="H310" s="19" t="s">
        <v>137</v>
      </c>
      <c r="I310" s="68">
        <f>($I$305/$D$305)*D310</f>
        <v>138326.86458697819</v>
      </c>
      <c r="J310" s="7">
        <v>152500</v>
      </c>
    </row>
    <row r="311" spans="1:10">
      <c r="A311" s="19" t="s">
        <v>14</v>
      </c>
      <c r="B311" s="19" t="s">
        <v>15</v>
      </c>
      <c r="C311" s="19" t="s">
        <v>16</v>
      </c>
      <c r="D311" s="19">
        <v>370.65</v>
      </c>
      <c r="E311" s="19">
        <v>167</v>
      </c>
      <c r="F311" s="17">
        <v>12</v>
      </c>
      <c r="G311" s="35" t="str">
        <f t="shared" si="5"/>
        <v>REŞADİYE16712</v>
      </c>
      <c r="H311" s="19" t="s">
        <v>137</v>
      </c>
      <c r="I311" s="68">
        <f>($I$305/$D$305)*D311</f>
        <v>137673.13541302184</v>
      </c>
      <c r="J311" s="7">
        <v>151500</v>
      </c>
    </row>
    <row r="312" spans="1:10">
      <c r="A312" s="56" t="s">
        <v>14</v>
      </c>
      <c r="B312" s="56" t="s">
        <v>15</v>
      </c>
      <c r="C312" s="56" t="s">
        <v>16</v>
      </c>
      <c r="D312" s="56">
        <v>393.99</v>
      </c>
      <c r="E312" s="56">
        <v>167</v>
      </c>
      <c r="F312" s="69">
        <v>13</v>
      </c>
      <c r="G312" s="35" t="str">
        <f t="shared" si="5"/>
        <v>REŞADİYE16713</v>
      </c>
      <c r="H312" s="70" t="s">
        <v>137</v>
      </c>
      <c r="I312" s="71">
        <f>($I$307/$D$307)*D312</f>
        <v>148073.86342282299</v>
      </c>
      <c r="J312" s="59">
        <v>0</v>
      </c>
    </row>
    <row r="313" spans="1:10">
      <c r="A313" s="19" t="s">
        <v>14</v>
      </c>
      <c r="B313" s="19" t="s">
        <v>15</v>
      </c>
      <c r="C313" s="19" t="s">
        <v>16</v>
      </c>
      <c r="D313" s="19">
        <v>404.24</v>
      </c>
      <c r="E313" s="19">
        <v>167</v>
      </c>
      <c r="F313" s="17">
        <v>14</v>
      </c>
      <c r="G313" s="35" t="str">
        <f t="shared" si="5"/>
        <v>REŞADİYE16714</v>
      </c>
      <c r="H313" s="19" t="s">
        <v>137</v>
      </c>
      <c r="I313" s="68">
        <f>($I$307/$D$307)*D313</f>
        <v>151926.13657717701</v>
      </c>
      <c r="J313" s="7">
        <v>153000</v>
      </c>
    </row>
    <row r="314" spans="1:10">
      <c r="A314" s="42" t="s">
        <v>14</v>
      </c>
      <c r="B314" s="42" t="s">
        <v>15</v>
      </c>
      <c r="C314" s="42" t="s">
        <v>16</v>
      </c>
      <c r="D314" s="42">
        <v>370.34</v>
      </c>
      <c r="E314" s="42">
        <v>167</v>
      </c>
      <c r="F314" s="50">
        <v>15</v>
      </c>
      <c r="G314" s="35" t="str">
        <f t="shared" si="5"/>
        <v>REŞADİYE16715</v>
      </c>
      <c r="H314" s="42" t="s">
        <v>137</v>
      </c>
      <c r="I314" s="61">
        <f>($J$306/$D$306)*D314</f>
        <v>149777.5620804012</v>
      </c>
      <c r="J314" s="42"/>
    </row>
    <row r="315" spans="1:10">
      <c r="A315" s="42" t="s">
        <v>14</v>
      </c>
      <c r="B315" s="42" t="s">
        <v>15</v>
      </c>
      <c r="C315" s="42" t="s">
        <v>16</v>
      </c>
      <c r="D315" s="42">
        <v>371.44</v>
      </c>
      <c r="E315" s="42">
        <v>167</v>
      </c>
      <c r="F315" s="50">
        <v>16</v>
      </c>
      <c r="G315" s="35" t="str">
        <f t="shared" si="5"/>
        <v>REŞADİYE16716</v>
      </c>
      <c r="H315" s="42" t="s">
        <v>137</v>
      </c>
      <c r="I315" s="61">
        <f>($J$306/$D$306)*D315</f>
        <v>150222.43791959883</v>
      </c>
      <c r="J315" s="42"/>
    </row>
    <row r="316" spans="1:10">
      <c r="A316" s="36" t="s">
        <v>14</v>
      </c>
      <c r="B316" s="36" t="s">
        <v>15</v>
      </c>
      <c r="C316" s="36" t="s">
        <v>16</v>
      </c>
      <c r="D316" s="36">
        <v>671.61</v>
      </c>
      <c r="E316" s="55">
        <v>168</v>
      </c>
      <c r="F316" s="39">
        <v>1</v>
      </c>
      <c r="G316" s="35" t="str">
        <f t="shared" si="5"/>
        <v>REŞADİYE1681</v>
      </c>
      <c r="H316" s="36" t="s">
        <v>137</v>
      </c>
      <c r="I316" s="38">
        <v>320000</v>
      </c>
      <c r="J316" s="38">
        <v>321000</v>
      </c>
    </row>
    <row r="317" spans="1:10">
      <c r="A317" s="20" t="s">
        <v>14</v>
      </c>
      <c r="B317" s="20" t="s">
        <v>15</v>
      </c>
      <c r="C317" s="20" t="s">
        <v>16</v>
      </c>
      <c r="D317" s="20">
        <v>689.86</v>
      </c>
      <c r="E317" s="34">
        <v>168</v>
      </c>
      <c r="F317" s="20">
        <v>2</v>
      </c>
      <c r="G317" s="35" t="str">
        <f t="shared" si="5"/>
        <v>REŞADİYE1682</v>
      </c>
      <c r="H317" s="20" t="s">
        <v>137</v>
      </c>
      <c r="I317" s="21">
        <v>390000</v>
      </c>
      <c r="J317" s="21">
        <v>391000</v>
      </c>
    </row>
    <row r="318" spans="1:10">
      <c r="A318" s="20" t="s">
        <v>14</v>
      </c>
      <c r="B318" s="20" t="s">
        <v>15</v>
      </c>
      <c r="C318" s="20" t="s">
        <v>16</v>
      </c>
      <c r="D318" s="20">
        <v>753.5</v>
      </c>
      <c r="E318" s="34">
        <v>168</v>
      </c>
      <c r="F318" s="20">
        <v>3</v>
      </c>
      <c r="G318" s="35" t="str">
        <f t="shared" si="5"/>
        <v>REŞADİYE1683</v>
      </c>
      <c r="H318" s="20" t="s">
        <v>137</v>
      </c>
      <c r="I318" s="21">
        <v>285000</v>
      </c>
      <c r="J318" s="21">
        <v>286000</v>
      </c>
    </row>
    <row r="319" spans="1:10">
      <c r="A319" s="20" t="s">
        <v>14</v>
      </c>
      <c r="B319" s="20" t="s">
        <v>15</v>
      </c>
      <c r="C319" s="20" t="s">
        <v>16</v>
      </c>
      <c r="D319" s="20">
        <v>755.88</v>
      </c>
      <c r="E319" s="34">
        <v>168</v>
      </c>
      <c r="F319" s="20">
        <v>4</v>
      </c>
      <c r="G319" s="35" t="str">
        <f t="shared" si="5"/>
        <v>REŞADİYE1684</v>
      </c>
      <c r="H319" s="20" t="s">
        <v>137</v>
      </c>
      <c r="I319" s="21">
        <v>285000</v>
      </c>
      <c r="J319" s="21">
        <v>286000</v>
      </c>
    </row>
    <row r="320" spans="1:10">
      <c r="A320" s="36" t="s">
        <v>14</v>
      </c>
      <c r="B320" s="36" t="s">
        <v>15</v>
      </c>
      <c r="C320" s="36" t="s">
        <v>16</v>
      </c>
      <c r="D320" s="36">
        <v>747.09</v>
      </c>
      <c r="E320" s="55">
        <v>168</v>
      </c>
      <c r="F320" s="36">
        <v>7</v>
      </c>
      <c r="G320" s="35" t="str">
        <f t="shared" si="5"/>
        <v>REŞADİYE1687</v>
      </c>
      <c r="H320" s="36" t="s">
        <v>137</v>
      </c>
      <c r="I320" s="38">
        <v>271000</v>
      </c>
      <c r="J320" s="38">
        <v>285000</v>
      </c>
    </row>
    <row r="321" spans="1:10">
      <c r="A321" s="36" t="s">
        <v>14</v>
      </c>
      <c r="B321" s="36" t="s">
        <v>15</v>
      </c>
      <c r="C321" s="36" t="s">
        <v>16</v>
      </c>
      <c r="D321" s="36">
        <v>743.69</v>
      </c>
      <c r="E321" s="55">
        <v>168</v>
      </c>
      <c r="F321" s="39">
        <v>8</v>
      </c>
      <c r="G321" s="35" t="str">
        <f t="shared" si="5"/>
        <v>REŞADİYE1688</v>
      </c>
      <c r="H321" s="36" t="s">
        <v>137</v>
      </c>
      <c r="I321" s="38">
        <v>271000</v>
      </c>
      <c r="J321" s="38">
        <v>280000</v>
      </c>
    </row>
    <row r="322" spans="1:10">
      <c r="A322" s="42" t="s">
        <v>14</v>
      </c>
      <c r="B322" s="42" t="s">
        <v>15</v>
      </c>
      <c r="C322" s="42" t="s">
        <v>16</v>
      </c>
      <c r="D322" s="42">
        <v>335.8</v>
      </c>
      <c r="E322" s="42">
        <v>168</v>
      </c>
      <c r="F322" s="50">
        <v>9</v>
      </c>
      <c r="G322" s="35" t="str">
        <f t="shared" si="5"/>
        <v>REŞADİYE1689</v>
      </c>
      <c r="H322" s="42" t="s">
        <v>137</v>
      </c>
      <c r="I322" s="61">
        <f>($J$316/$D$316)*D322</f>
        <v>160497.61022021709</v>
      </c>
      <c r="J322" s="42"/>
    </row>
    <row r="323" spans="1:10">
      <c r="A323" s="42" t="s">
        <v>14</v>
      </c>
      <c r="B323" s="42" t="s">
        <v>15</v>
      </c>
      <c r="C323" s="42" t="s">
        <v>16</v>
      </c>
      <c r="D323" s="42">
        <v>335.81</v>
      </c>
      <c r="E323" s="42">
        <v>168</v>
      </c>
      <c r="F323" s="50">
        <v>10</v>
      </c>
      <c r="G323" s="35" t="str">
        <f t="shared" ref="G323:G386" si="6">C323&amp;E323&amp;F323</f>
        <v>REŞADİYE16810</v>
      </c>
      <c r="H323" s="42" t="s">
        <v>137</v>
      </c>
      <c r="I323" s="61">
        <f>($J$316/$D$316)*D323</f>
        <v>160502.38977978291</v>
      </c>
      <c r="J323" s="42"/>
    </row>
    <row r="324" spans="1:10">
      <c r="A324" s="42" t="s">
        <v>14</v>
      </c>
      <c r="B324" s="42" t="s">
        <v>15</v>
      </c>
      <c r="C324" s="42" t="s">
        <v>16</v>
      </c>
      <c r="D324" s="42">
        <v>371.73</v>
      </c>
      <c r="E324" s="42">
        <v>168</v>
      </c>
      <c r="F324" s="50">
        <v>11</v>
      </c>
      <c r="G324" s="35" t="str">
        <f t="shared" si="6"/>
        <v>REŞADİYE16811</v>
      </c>
      <c r="H324" s="42" t="s">
        <v>137</v>
      </c>
      <c r="I324" s="61">
        <f>($J$321/$D$321)*D324</f>
        <v>139956.70238943645</v>
      </c>
      <c r="J324" s="42"/>
    </row>
    <row r="325" spans="1:10">
      <c r="A325" s="42" t="s">
        <v>14</v>
      </c>
      <c r="B325" s="42" t="s">
        <v>15</v>
      </c>
      <c r="C325" s="42" t="s">
        <v>16</v>
      </c>
      <c r="D325" s="42">
        <v>371.96</v>
      </c>
      <c r="E325" s="42">
        <v>168</v>
      </c>
      <c r="F325" s="50">
        <v>12</v>
      </c>
      <c r="G325" s="35" t="str">
        <f t="shared" si="6"/>
        <v>REŞADİYE16812</v>
      </c>
      <c r="H325" s="42" t="s">
        <v>137</v>
      </c>
      <c r="I325" s="61">
        <f>($J$321/$D$321)*D325</f>
        <v>140043.29761056352</v>
      </c>
      <c r="J325" s="42"/>
    </row>
    <row r="326" spans="1:10">
      <c r="A326" s="20" t="s">
        <v>14</v>
      </c>
      <c r="B326" s="20" t="s">
        <v>15</v>
      </c>
      <c r="C326" s="20" t="s">
        <v>16</v>
      </c>
      <c r="D326" s="20">
        <v>592.63</v>
      </c>
      <c r="E326" s="34">
        <v>169</v>
      </c>
      <c r="F326" s="20">
        <v>2</v>
      </c>
      <c r="G326" s="35" t="str">
        <f t="shared" si="6"/>
        <v>REŞADİYE1692</v>
      </c>
      <c r="H326" s="20" t="s">
        <v>137</v>
      </c>
      <c r="I326" s="21">
        <v>232000</v>
      </c>
      <c r="J326" s="21">
        <v>400000</v>
      </c>
    </row>
    <row r="327" spans="1:10">
      <c r="A327" s="36" t="s">
        <v>14</v>
      </c>
      <c r="B327" s="36" t="s">
        <v>15</v>
      </c>
      <c r="C327" s="36" t="s">
        <v>16</v>
      </c>
      <c r="D327" s="36">
        <v>567.17999999999995</v>
      </c>
      <c r="E327" s="55">
        <v>169</v>
      </c>
      <c r="F327" s="39">
        <v>3</v>
      </c>
      <c r="G327" s="35" t="str">
        <f t="shared" si="6"/>
        <v>REŞADİYE1693</v>
      </c>
      <c r="H327" s="36" t="s">
        <v>137</v>
      </c>
      <c r="I327" s="38">
        <v>222000</v>
      </c>
      <c r="J327" s="38">
        <v>223000</v>
      </c>
    </row>
    <row r="328" spans="1:10">
      <c r="A328" s="36" t="s">
        <v>14</v>
      </c>
      <c r="B328" s="36" t="s">
        <v>15</v>
      </c>
      <c r="C328" s="36" t="s">
        <v>16</v>
      </c>
      <c r="D328" s="36">
        <v>583.55999999999995</v>
      </c>
      <c r="E328" s="55">
        <v>169</v>
      </c>
      <c r="F328" s="72">
        <v>4</v>
      </c>
      <c r="G328" s="35" t="str">
        <f t="shared" si="6"/>
        <v>REŞADİYE1694</v>
      </c>
      <c r="H328" s="36" t="s">
        <v>137</v>
      </c>
      <c r="I328" s="38">
        <v>281000</v>
      </c>
      <c r="J328" s="38">
        <v>281500</v>
      </c>
    </row>
    <row r="329" spans="1:10">
      <c r="A329" s="20" t="s">
        <v>14</v>
      </c>
      <c r="B329" s="20" t="s">
        <v>15</v>
      </c>
      <c r="C329" s="20" t="s">
        <v>16</v>
      </c>
      <c r="D329" s="20">
        <v>283.58999999999997</v>
      </c>
      <c r="E329" s="20">
        <v>169</v>
      </c>
      <c r="F329" s="23">
        <v>7</v>
      </c>
      <c r="G329" s="35" t="str">
        <f t="shared" si="6"/>
        <v>REŞADİYE1697</v>
      </c>
      <c r="H329" s="20" t="s">
        <v>137</v>
      </c>
      <c r="I329" s="41">
        <f>($I$327/$D$327)*D329</f>
        <v>111000.00000000001</v>
      </c>
      <c r="J329" s="21">
        <v>117500</v>
      </c>
    </row>
    <row r="330" spans="1:10">
      <c r="A330" s="20" t="s">
        <v>14</v>
      </c>
      <c r="B330" s="20" t="s">
        <v>15</v>
      </c>
      <c r="C330" s="20" t="s">
        <v>16</v>
      </c>
      <c r="D330" s="20">
        <v>283.58999999999997</v>
      </c>
      <c r="E330" s="20">
        <v>169</v>
      </c>
      <c r="F330" s="23">
        <v>8</v>
      </c>
      <c r="G330" s="35" t="str">
        <f t="shared" si="6"/>
        <v>REŞADİYE1698</v>
      </c>
      <c r="H330" s="20" t="s">
        <v>137</v>
      </c>
      <c r="I330" s="41">
        <f>($I$327/$D$327)*D330</f>
        <v>111000.00000000001</v>
      </c>
      <c r="J330" s="21">
        <v>117500</v>
      </c>
    </row>
    <row r="331" spans="1:10">
      <c r="A331" s="35" t="s">
        <v>14</v>
      </c>
      <c r="B331" s="35" t="s">
        <v>15</v>
      </c>
      <c r="C331" s="35" t="s">
        <v>16</v>
      </c>
      <c r="D331" s="35">
        <v>291.2</v>
      </c>
      <c r="E331" s="35">
        <v>169</v>
      </c>
      <c r="F331" s="73">
        <v>9</v>
      </c>
      <c r="G331" s="35" t="str">
        <f t="shared" si="6"/>
        <v>REŞADİYE1699</v>
      </c>
      <c r="H331" s="35" t="s">
        <v>142</v>
      </c>
      <c r="I331" s="49"/>
      <c r="J331" s="48">
        <f>281500/2</f>
        <v>140750</v>
      </c>
    </row>
    <row r="332" spans="1:10">
      <c r="A332" s="35" t="s">
        <v>14</v>
      </c>
      <c r="B332" s="35" t="s">
        <v>15</v>
      </c>
      <c r="C332" s="35" t="s">
        <v>16</v>
      </c>
      <c r="D332" s="35">
        <v>292.36</v>
      </c>
      <c r="E332" s="35">
        <v>169</v>
      </c>
      <c r="F332" s="73">
        <v>10</v>
      </c>
      <c r="G332" s="35" t="str">
        <f t="shared" si="6"/>
        <v>REŞADİYE16910</v>
      </c>
      <c r="H332" s="35" t="s">
        <v>142</v>
      </c>
      <c r="I332" s="49"/>
      <c r="J332" s="48">
        <f>281500/2</f>
        <v>140750</v>
      </c>
    </row>
    <row r="333" spans="1:10">
      <c r="A333" s="36" t="s">
        <v>14</v>
      </c>
      <c r="B333" s="36" t="s">
        <v>15</v>
      </c>
      <c r="C333" s="36" t="s">
        <v>16</v>
      </c>
      <c r="D333" s="36">
        <v>695.64</v>
      </c>
      <c r="E333" s="55">
        <v>170</v>
      </c>
      <c r="F333" s="39">
        <v>6</v>
      </c>
      <c r="G333" s="35" t="str">
        <f t="shared" si="6"/>
        <v>REŞADİYE1706</v>
      </c>
      <c r="H333" s="36" t="s">
        <v>137</v>
      </c>
      <c r="I333" s="38">
        <v>271000</v>
      </c>
      <c r="J333" s="38">
        <v>300000</v>
      </c>
    </row>
    <row r="334" spans="1:10">
      <c r="A334" s="20" t="s">
        <v>14</v>
      </c>
      <c r="B334" s="20" t="s">
        <v>15</v>
      </c>
      <c r="C334" s="20" t="s">
        <v>16</v>
      </c>
      <c r="D334" s="20">
        <v>757.77</v>
      </c>
      <c r="E334" s="34">
        <v>170</v>
      </c>
      <c r="F334" s="20">
        <v>7</v>
      </c>
      <c r="G334" s="35" t="str">
        <f t="shared" si="6"/>
        <v>REŞADİYE1707</v>
      </c>
      <c r="H334" s="20" t="s">
        <v>137</v>
      </c>
      <c r="I334" s="21">
        <v>285000</v>
      </c>
      <c r="J334" s="21">
        <v>286000</v>
      </c>
    </row>
    <row r="335" spans="1:10">
      <c r="A335" s="36" t="s">
        <v>14</v>
      </c>
      <c r="B335" s="36" t="s">
        <v>15</v>
      </c>
      <c r="C335" s="36" t="s">
        <v>16</v>
      </c>
      <c r="D335" s="36">
        <v>644.41999999999996</v>
      </c>
      <c r="E335" s="55">
        <v>170</v>
      </c>
      <c r="F335" s="39">
        <v>3</v>
      </c>
      <c r="G335" s="35" t="str">
        <f t="shared" si="6"/>
        <v>REŞADİYE1703</v>
      </c>
      <c r="H335" s="36" t="s">
        <v>137</v>
      </c>
      <c r="I335" s="38">
        <v>251000</v>
      </c>
      <c r="J335" s="36"/>
    </row>
    <row r="336" spans="1:10">
      <c r="A336" s="56" t="s">
        <v>14</v>
      </c>
      <c r="B336" s="56" t="s">
        <v>15</v>
      </c>
      <c r="C336" s="56" t="s">
        <v>16</v>
      </c>
      <c r="D336" s="56">
        <v>339.27</v>
      </c>
      <c r="E336" s="56">
        <v>170</v>
      </c>
      <c r="F336" s="57">
        <v>10</v>
      </c>
      <c r="G336" s="35" t="str">
        <f t="shared" si="6"/>
        <v>REŞADİYE17010</v>
      </c>
      <c r="H336" s="56" t="s">
        <v>137</v>
      </c>
      <c r="I336" s="60">
        <f>D336*389.49753</f>
        <v>132144.82700309998</v>
      </c>
      <c r="J336" s="59"/>
    </row>
    <row r="337" spans="1:10">
      <c r="A337" s="19" t="s">
        <v>14</v>
      </c>
      <c r="B337" s="19" t="s">
        <v>15</v>
      </c>
      <c r="C337" s="19" t="s">
        <v>16</v>
      </c>
      <c r="D337" s="19">
        <v>305.14999999999998</v>
      </c>
      <c r="E337" s="19">
        <v>170</v>
      </c>
      <c r="F337" s="17">
        <v>9</v>
      </c>
      <c r="G337" s="35" t="str">
        <f t="shared" si="6"/>
        <v>REŞADİYE1709</v>
      </c>
      <c r="H337" s="19" t="s">
        <v>137</v>
      </c>
      <c r="I337" s="68">
        <f>D337*389.49753</f>
        <v>118855.17127949999</v>
      </c>
      <c r="J337" s="7">
        <v>120000</v>
      </c>
    </row>
    <row r="338" spans="1:10">
      <c r="A338" s="42" t="s">
        <v>14</v>
      </c>
      <c r="B338" s="42" t="s">
        <v>15</v>
      </c>
      <c r="C338" s="42" t="s">
        <v>16</v>
      </c>
      <c r="D338" s="42">
        <v>348.76</v>
      </c>
      <c r="E338" s="42">
        <v>170</v>
      </c>
      <c r="F338" s="50">
        <v>12</v>
      </c>
      <c r="G338" s="35" t="str">
        <f t="shared" si="6"/>
        <v>REŞADİYE17012</v>
      </c>
      <c r="H338" s="42" t="s">
        <v>137</v>
      </c>
      <c r="I338" s="61">
        <f>($J$333/$D$333)*D338</f>
        <v>150405.38209418664</v>
      </c>
      <c r="J338" s="42"/>
    </row>
    <row r="339" spans="1:10">
      <c r="A339" s="42" t="s">
        <v>14</v>
      </c>
      <c r="B339" s="42" t="s">
        <v>15</v>
      </c>
      <c r="C339" s="42" t="s">
        <v>16</v>
      </c>
      <c r="D339" s="42">
        <v>346.88</v>
      </c>
      <c r="E339" s="42">
        <v>170</v>
      </c>
      <c r="F339" s="50">
        <v>11</v>
      </c>
      <c r="G339" s="35" t="str">
        <f t="shared" si="6"/>
        <v>REŞADİYE17011</v>
      </c>
      <c r="H339" s="42" t="s">
        <v>137</v>
      </c>
      <c r="I339" s="61">
        <f>($J$333/$D$333)*D339</f>
        <v>149594.61790581336</v>
      </c>
      <c r="J339" s="42"/>
    </row>
    <row r="340" spans="1:10">
      <c r="A340" s="20" t="s">
        <v>14</v>
      </c>
      <c r="B340" s="20" t="s">
        <v>15</v>
      </c>
      <c r="C340" s="20" t="s">
        <v>16</v>
      </c>
      <c r="D340" s="20">
        <v>339</v>
      </c>
      <c r="E340" s="20">
        <v>170</v>
      </c>
      <c r="F340" s="23">
        <v>13</v>
      </c>
      <c r="G340" s="35" t="str">
        <f t="shared" si="6"/>
        <v>REŞADİYE17013</v>
      </c>
      <c r="H340" s="20" t="s">
        <v>138</v>
      </c>
      <c r="I340" s="41">
        <v>425000</v>
      </c>
      <c r="J340" s="21">
        <v>475000</v>
      </c>
    </row>
    <row r="341" spans="1:10">
      <c r="A341" s="35" t="s">
        <v>36</v>
      </c>
      <c r="B341" s="35" t="s">
        <v>37</v>
      </c>
      <c r="C341" s="35" t="s">
        <v>38</v>
      </c>
      <c r="D341" s="35">
        <v>400</v>
      </c>
      <c r="E341" s="35">
        <v>911</v>
      </c>
      <c r="F341" s="53">
        <v>18</v>
      </c>
      <c r="G341" s="35" t="str">
        <f t="shared" si="6"/>
        <v>GÜNEYCE91118</v>
      </c>
      <c r="H341" s="35" t="s">
        <v>137</v>
      </c>
      <c r="I341" s="49">
        <v>17000</v>
      </c>
      <c r="J341" s="48"/>
    </row>
    <row r="342" spans="1:10">
      <c r="A342" s="20" t="s">
        <v>14</v>
      </c>
      <c r="B342" s="20" t="s">
        <v>15</v>
      </c>
      <c r="C342" s="20" t="s">
        <v>16</v>
      </c>
      <c r="D342" s="20">
        <v>758.04</v>
      </c>
      <c r="E342" s="34">
        <v>171</v>
      </c>
      <c r="F342" s="20">
        <v>8</v>
      </c>
      <c r="G342" s="35" t="str">
        <f t="shared" si="6"/>
        <v>REŞADİYE1718</v>
      </c>
      <c r="H342" s="20" t="s">
        <v>137</v>
      </c>
      <c r="I342" s="21">
        <v>169000</v>
      </c>
      <c r="J342" s="21">
        <v>180000</v>
      </c>
    </row>
    <row r="343" spans="1:10">
      <c r="A343" s="36" t="s">
        <v>14</v>
      </c>
      <c r="B343" s="36" t="s">
        <v>15</v>
      </c>
      <c r="C343" s="36" t="s">
        <v>16</v>
      </c>
      <c r="D343" s="36">
        <v>758.7</v>
      </c>
      <c r="E343" s="36">
        <v>171</v>
      </c>
      <c r="F343" s="39">
        <v>6</v>
      </c>
      <c r="G343" s="35" t="str">
        <f t="shared" si="6"/>
        <v>REŞADİYE1716</v>
      </c>
      <c r="H343" s="36" t="s">
        <v>138</v>
      </c>
      <c r="I343" s="74">
        <v>390000</v>
      </c>
      <c r="J343" s="38"/>
    </row>
    <row r="344" spans="1:10">
      <c r="A344" s="20" t="s">
        <v>14</v>
      </c>
      <c r="B344" s="20" t="s">
        <v>15</v>
      </c>
      <c r="C344" s="20" t="s">
        <v>16</v>
      </c>
      <c r="D344" s="20">
        <v>379.15</v>
      </c>
      <c r="E344" s="20">
        <v>171</v>
      </c>
      <c r="F344" s="23">
        <v>11</v>
      </c>
      <c r="G344" s="35" t="str">
        <f t="shared" si="6"/>
        <v>REŞADİYE17111</v>
      </c>
      <c r="H344" s="20" t="s">
        <v>138</v>
      </c>
      <c r="I344" s="41">
        <f>I338/D338*D344</f>
        <v>163511.29894773159</v>
      </c>
      <c r="J344" s="21">
        <v>235000</v>
      </c>
    </row>
    <row r="345" spans="1:10">
      <c r="A345" s="35" t="s">
        <v>36</v>
      </c>
      <c r="B345" s="35" t="s">
        <v>37</v>
      </c>
      <c r="C345" s="35" t="s">
        <v>38</v>
      </c>
      <c r="D345" s="35">
        <v>400</v>
      </c>
      <c r="E345" s="35">
        <v>911</v>
      </c>
      <c r="F345" s="53">
        <v>19</v>
      </c>
      <c r="G345" s="35" t="str">
        <f t="shared" si="6"/>
        <v>GÜNEYCE91119</v>
      </c>
      <c r="H345" s="35" t="s">
        <v>137</v>
      </c>
      <c r="I345" s="49">
        <v>17000</v>
      </c>
      <c r="J345" s="48"/>
    </row>
    <row r="346" spans="1:10">
      <c r="A346" s="75" t="s">
        <v>14</v>
      </c>
      <c r="B346" s="75" t="s">
        <v>15</v>
      </c>
      <c r="C346" s="75" t="s">
        <v>16</v>
      </c>
      <c r="D346" s="75">
        <v>757.03</v>
      </c>
      <c r="E346" s="75">
        <v>171</v>
      </c>
      <c r="F346" s="76">
        <v>7</v>
      </c>
      <c r="G346" s="35" t="str">
        <f t="shared" si="6"/>
        <v>REŞADİYE1717</v>
      </c>
      <c r="H346" s="75" t="s">
        <v>141</v>
      </c>
      <c r="I346" s="78">
        <v>190000</v>
      </c>
      <c r="J346" s="77"/>
    </row>
    <row r="347" spans="1:10">
      <c r="A347" s="20" t="s">
        <v>14</v>
      </c>
      <c r="B347" s="20" t="s">
        <v>15</v>
      </c>
      <c r="C347" s="20" t="s">
        <v>16</v>
      </c>
      <c r="D347" s="20">
        <v>377</v>
      </c>
      <c r="E347" s="20">
        <v>171</v>
      </c>
      <c r="F347" s="23">
        <v>14</v>
      </c>
      <c r="G347" s="35" t="str">
        <f t="shared" si="6"/>
        <v>REŞADİYE17114</v>
      </c>
      <c r="H347" s="20" t="s">
        <v>141</v>
      </c>
      <c r="I347" s="41">
        <v>95000</v>
      </c>
      <c r="J347" s="21">
        <v>115000</v>
      </c>
    </row>
    <row r="348" spans="1:10">
      <c r="A348" s="20" t="s">
        <v>36</v>
      </c>
      <c r="B348" s="20" t="s">
        <v>37</v>
      </c>
      <c r="C348" s="20" t="s">
        <v>38</v>
      </c>
      <c r="D348" s="20">
        <v>400</v>
      </c>
      <c r="E348" s="20">
        <v>911</v>
      </c>
      <c r="F348" s="22">
        <v>20</v>
      </c>
      <c r="G348" s="35" t="str">
        <f t="shared" si="6"/>
        <v>GÜNEYCE91120</v>
      </c>
      <c r="H348" s="20" t="s">
        <v>137</v>
      </c>
      <c r="I348" s="41">
        <v>17000</v>
      </c>
      <c r="J348" s="21">
        <v>600000</v>
      </c>
    </row>
    <row r="349" spans="1:10">
      <c r="A349" s="35" t="s">
        <v>36</v>
      </c>
      <c r="B349" s="35" t="s">
        <v>37</v>
      </c>
      <c r="C349" s="35" t="s">
        <v>38</v>
      </c>
      <c r="D349" s="35">
        <v>400</v>
      </c>
      <c r="E349" s="35">
        <v>911</v>
      </c>
      <c r="F349" s="53">
        <v>26</v>
      </c>
      <c r="G349" s="35" t="str">
        <f t="shared" si="6"/>
        <v>GÜNEYCE91126</v>
      </c>
      <c r="H349" s="35" t="s">
        <v>137</v>
      </c>
      <c r="I349" s="49">
        <v>17000</v>
      </c>
      <c r="J349" s="48"/>
    </row>
    <row r="350" spans="1:10">
      <c r="A350" s="20" t="s">
        <v>14</v>
      </c>
      <c r="B350" s="20" t="s">
        <v>15</v>
      </c>
      <c r="C350" s="20" t="s">
        <v>94</v>
      </c>
      <c r="D350" s="20">
        <v>667.81</v>
      </c>
      <c r="E350" s="20">
        <v>113</v>
      </c>
      <c r="F350" s="20">
        <v>1</v>
      </c>
      <c r="G350" s="35" t="str">
        <f t="shared" si="6"/>
        <v>DEMİRKAPI1131</v>
      </c>
      <c r="H350" s="20" t="s">
        <v>138</v>
      </c>
      <c r="I350" s="41">
        <v>745454.55</v>
      </c>
      <c r="J350" s="21">
        <v>500000</v>
      </c>
    </row>
    <row r="351" spans="1:10">
      <c r="A351" s="36" t="s">
        <v>14</v>
      </c>
      <c r="B351" s="36" t="s">
        <v>15</v>
      </c>
      <c r="C351" s="36" t="s">
        <v>16</v>
      </c>
      <c r="D351" s="36">
        <v>933.07</v>
      </c>
      <c r="E351" s="55">
        <v>178</v>
      </c>
      <c r="F351" s="39">
        <v>6</v>
      </c>
      <c r="G351" s="35" t="str">
        <f t="shared" si="6"/>
        <v>REŞADİYE1786</v>
      </c>
      <c r="H351" s="36" t="s">
        <v>137</v>
      </c>
      <c r="I351" s="38">
        <v>470000</v>
      </c>
      <c r="J351" s="38">
        <v>480000</v>
      </c>
    </row>
    <row r="352" spans="1:10">
      <c r="A352" s="36" t="s">
        <v>14</v>
      </c>
      <c r="B352" s="36" t="s">
        <v>15</v>
      </c>
      <c r="C352" s="36" t="s">
        <v>16</v>
      </c>
      <c r="D352" s="36">
        <v>914.45</v>
      </c>
      <c r="E352" s="55">
        <v>178</v>
      </c>
      <c r="F352" s="39">
        <v>7</v>
      </c>
      <c r="G352" s="35" t="str">
        <f t="shared" si="6"/>
        <v>REŞADİYE1787</v>
      </c>
      <c r="H352" s="36" t="s">
        <v>137</v>
      </c>
      <c r="I352" s="38">
        <v>390000</v>
      </c>
      <c r="J352" s="38">
        <v>395000</v>
      </c>
    </row>
    <row r="353" spans="1:10">
      <c r="A353" s="36" t="s">
        <v>14</v>
      </c>
      <c r="B353" s="36" t="s">
        <v>15</v>
      </c>
      <c r="C353" s="36" t="s">
        <v>16</v>
      </c>
      <c r="D353" s="36">
        <v>861.41</v>
      </c>
      <c r="E353" s="55">
        <v>178</v>
      </c>
      <c r="F353" s="39">
        <v>8</v>
      </c>
      <c r="G353" s="35" t="str">
        <f t="shared" si="6"/>
        <v>REŞADİYE1788</v>
      </c>
      <c r="H353" s="36" t="s">
        <v>137</v>
      </c>
      <c r="I353" s="38">
        <v>347000</v>
      </c>
      <c r="J353" s="36"/>
    </row>
    <row r="354" spans="1:10">
      <c r="A354" s="42" t="s">
        <v>14</v>
      </c>
      <c r="B354" s="42" t="s">
        <v>23</v>
      </c>
      <c r="C354" s="42" t="s">
        <v>41</v>
      </c>
      <c r="D354" s="42">
        <v>529</v>
      </c>
      <c r="E354" s="42">
        <v>135</v>
      </c>
      <c r="F354" s="42">
        <v>12</v>
      </c>
      <c r="G354" s="35" t="str">
        <f t="shared" si="6"/>
        <v>BÜYÜKPINAR13512</v>
      </c>
      <c r="H354" s="42" t="s">
        <v>137</v>
      </c>
      <c r="I354" s="61"/>
      <c r="J354" s="44"/>
    </row>
    <row r="355" spans="1:10">
      <c r="A355" s="19" t="s">
        <v>14</v>
      </c>
      <c r="B355" s="19" t="s">
        <v>15</v>
      </c>
      <c r="C355" s="19" t="s">
        <v>16</v>
      </c>
      <c r="D355" s="19">
        <v>439.45</v>
      </c>
      <c r="E355" s="19">
        <v>178</v>
      </c>
      <c r="F355" s="17">
        <v>10</v>
      </c>
      <c r="G355" s="35" t="str">
        <f t="shared" si="6"/>
        <v>REŞADİYE17810</v>
      </c>
      <c r="H355" s="19" t="s">
        <v>137</v>
      </c>
      <c r="I355" s="66">
        <f>D355*402.82792</f>
        <v>177022.729444</v>
      </c>
      <c r="J355" s="7">
        <v>195000</v>
      </c>
    </row>
    <row r="356" spans="1:10">
      <c r="A356" s="19" t="s">
        <v>14</v>
      </c>
      <c r="B356" s="19" t="s">
        <v>15</v>
      </c>
      <c r="C356" s="19" t="s">
        <v>16</v>
      </c>
      <c r="D356" s="19">
        <v>421.96</v>
      </c>
      <c r="E356" s="19">
        <v>178</v>
      </c>
      <c r="F356" s="17">
        <v>9</v>
      </c>
      <c r="G356" s="35" t="str">
        <f t="shared" si="6"/>
        <v>REŞADİYE1789</v>
      </c>
      <c r="H356" s="19" t="s">
        <v>137</v>
      </c>
      <c r="I356" s="66">
        <f>D356*402.82792</f>
        <v>169977.26912320001</v>
      </c>
      <c r="J356" s="7">
        <v>187000</v>
      </c>
    </row>
    <row r="357" spans="1:10">
      <c r="A357" s="20" t="s">
        <v>14</v>
      </c>
      <c r="B357" s="20" t="s">
        <v>15</v>
      </c>
      <c r="C357" s="20" t="s">
        <v>16</v>
      </c>
      <c r="D357" s="20">
        <v>448.89</v>
      </c>
      <c r="E357" s="20">
        <v>178</v>
      </c>
      <c r="F357" s="23">
        <v>13</v>
      </c>
      <c r="G357" s="35" t="str">
        <f t="shared" si="6"/>
        <v>REŞADİYE17813</v>
      </c>
      <c r="H357" s="20" t="s">
        <v>137</v>
      </c>
      <c r="I357" s="41"/>
      <c r="J357" s="20"/>
    </row>
    <row r="358" spans="1:10">
      <c r="A358" s="20" t="s">
        <v>14</v>
      </c>
      <c r="B358" s="20" t="s">
        <v>33</v>
      </c>
      <c r="C358" s="20" t="s">
        <v>34</v>
      </c>
      <c r="D358" s="20">
        <v>566.69000000000005</v>
      </c>
      <c r="E358" s="20">
        <v>106</v>
      </c>
      <c r="F358" s="23">
        <v>4</v>
      </c>
      <c r="G358" s="35" t="str">
        <f t="shared" si="6"/>
        <v>ARMUTLU1064</v>
      </c>
      <c r="H358" s="20" t="s">
        <v>141</v>
      </c>
      <c r="I358" s="41">
        <v>315000</v>
      </c>
      <c r="J358" s="21">
        <v>375000</v>
      </c>
    </row>
    <row r="359" spans="1:10">
      <c r="A359" s="35" t="s">
        <v>36</v>
      </c>
      <c r="B359" s="35" t="s">
        <v>37</v>
      </c>
      <c r="C359" s="35" t="s">
        <v>38</v>
      </c>
      <c r="D359" s="35">
        <v>400</v>
      </c>
      <c r="E359" s="35">
        <v>911</v>
      </c>
      <c r="F359" s="53">
        <v>29</v>
      </c>
      <c r="G359" s="35" t="str">
        <f t="shared" si="6"/>
        <v>GÜNEYCE91129</v>
      </c>
      <c r="H359" s="35" t="s">
        <v>137</v>
      </c>
      <c r="I359" s="49">
        <v>17001</v>
      </c>
      <c r="J359" s="48"/>
    </row>
    <row r="360" spans="1:10">
      <c r="A360" s="35" t="s">
        <v>36</v>
      </c>
      <c r="B360" s="35" t="s">
        <v>37</v>
      </c>
      <c r="C360" s="35" t="s">
        <v>38</v>
      </c>
      <c r="D360" s="35">
        <v>400</v>
      </c>
      <c r="E360" s="35">
        <v>911</v>
      </c>
      <c r="F360" s="53">
        <v>30</v>
      </c>
      <c r="G360" s="35" t="str">
        <f t="shared" si="6"/>
        <v>GÜNEYCE91130</v>
      </c>
      <c r="H360" s="35" t="s">
        <v>137</v>
      </c>
      <c r="I360" s="49">
        <v>17002</v>
      </c>
      <c r="J360" s="48"/>
    </row>
    <row r="361" spans="1:10">
      <c r="A361" s="35" t="s">
        <v>36</v>
      </c>
      <c r="B361" s="35" t="s">
        <v>37</v>
      </c>
      <c r="C361" s="35" t="s">
        <v>38</v>
      </c>
      <c r="D361" s="35">
        <v>400</v>
      </c>
      <c r="E361" s="35">
        <v>911</v>
      </c>
      <c r="F361" s="53">
        <v>3</v>
      </c>
      <c r="G361" s="35" t="str">
        <f t="shared" si="6"/>
        <v>GÜNEYCE9113</v>
      </c>
      <c r="H361" s="35" t="s">
        <v>137</v>
      </c>
      <c r="I361" s="49">
        <v>17003</v>
      </c>
      <c r="J361" s="48"/>
    </row>
    <row r="362" spans="1:10">
      <c r="A362" s="35" t="s">
        <v>36</v>
      </c>
      <c r="B362" s="35" t="s">
        <v>37</v>
      </c>
      <c r="C362" s="35" t="s">
        <v>38</v>
      </c>
      <c r="D362" s="35">
        <v>400</v>
      </c>
      <c r="E362" s="35">
        <v>911</v>
      </c>
      <c r="F362" s="53">
        <v>4</v>
      </c>
      <c r="G362" s="35" t="str">
        <f t="shared" si="6"/>
        <v>GÜNEYCE9114</v>
      </c>
      <c r="H362" s="35" t="s">
        <v>137</v>
      </c>
      <c r="I362" s="49">
        <v>17004</v>
      </c>
      <c r="J362" s="48"/>
    </row>
    <row r="363" spans="1:10">
      <c r="A363" s="35" t="s">
        <v>36</v>
      </c>
      <c r="B363" s="35" t="s">
        <v>37</v>
      </c>
      <c r="C363" s="35" t="s">
        <v>38</v>
      </c>
      <c r="D363" s="35">
        <v>400</v>
      </c>
      <c r="E363" s="35">
        <v>911</v>
      </c>
      <c r="F363" s="53">
        <v>42</v>
      </c>
      <c r="G363" s="35" t="str">
        <f t="shared" si="6"/>
        <v>GÜNEYCE91142</v>
      </c>
      <c r="H363" s="35" t="s">
        <v>137</v>
      </c>
      <c r="I363" s="49">
        <v>17005</v>
      </c>
      <c r="J363" s="48"/>
    </row>
    <row r="364" spans="1:10">
      <c r="A364" s="64" t="s">
        <v>14</v>
      </c>
      <c r="B364" s="35" t="s">
        <v>33</v>
      </c>
      <c r="C364" s="35" t="s">
        <v>42</v>
      </c>
      <c r="D364" s="35">
        <v>454.13</v>
      </c>
      <c r="E364" s="35">
        <v>117</v>
      </c>
      <c r="F364" s="2">
        <v>20</v>
      </c>
      <c r="G364" s="35" t="str">
        <f t="shared" si="6"/>
        <v>İBİLLER11720</v>
      </c>
      <c r="H364" s="35" t="s">
        <v>137</v>
      </c>
      <c r="I364" s="49">
        <f>(J229+I230+I231)/(D229+D230+D231)*D364</f>
        <v>235310.66778098291</v>
      </c>
      <c r="J364" s="48"/>
    </row>
    <row r="365" spans="1:10">
      <c r="A365" s="64" t="s">
        <v>14</v>
      </c>
      <c r="B365" s="35" t="s">
        <v>33</v>
      </c>
      <c r="C365" s="35" t="s">
        <v>42</v>
      </c>
      <c r="D365" s="35">
        <v>454.23</v>
      </c>
      <c r="E365" s="35">
        <v>117</v>
      </c>
      <c r="F365" s="2">
        <v>21</v>
      </c>
      <c r="G365" s="35" t="str">
        <f t="shared" si="6"/>
        <v>İBİLLER11721</v>
      </c>
      <c r="H365" s="35" t="s">
        <v>137</v>
      </c>
      <c r="I365" s="49">
        <f>(J229+I230+I231)/(D229+D230+D231)*D365</f>
        <v>235362.48348745043</v>
      </c>
      <c r="J365" s="48"/>
    </row>
    <row r="366" spans="1:10">
      <c r="A366" s="79" t="s">
        <v>14</v>
      </c>
      <c r="B366" s="20" t="s">
        <v>33</v>
      </c>
      <c r="C366" s="20" t="s">
        <v>42</v>
      </c>
      <c r="D366" s="20">
        <v>492.15</v>
      </c>
      <c r="E366" s="20">
        <v>117</v>
      </c>
      <c r="F366" s="23">
        <v>22</v>
      </c>
      <c r="G366" s="35" t="str">
        <f t="shared" si="6"/>
        <v>İBİLLER11722</v>
      </c>
      <c r="H366" s="20" t="s">
        <v>137</v>
      </c>
      <c r="I366" s="41">
        <f>(J229+I230+I231)/(D229+D230+D231)*D366</f>
        <v>255010.99937993687</v>
      </c>
      <c r="J366" s="21">
        <v>300000</v>
      </c>
    </row>
    <row r="367" spans="1:10">
      <c r="A367" s="64" t="s">
        <v>14</v>
      </c>
      <c r="B367" s="35" t="s">
        <v>33</v>
      </c>
      <c r="C367" s="35" t="s">
        <v>42</v>
      </c>
      <c r="D367" s="35">
        <v>690</v>
      </c>
      <c r="E367" s="35">
        <v>118</v>
      </c>
      <c r="F367" s="35">
        <v>8</v>
      </c>
      <c r="G367" s="35" t="str">
        <f t="shared" si="6"/>
        <v>İBİLLER1188</v>
      </c>
      <c r="H367" s="35" t="s">
        <v>137</v>
      </c>
      <c r="I367" s="48">
        <v>420000</v>
      </c>
      <c r="J367" s="48">
        <v>0</v>
      </c>
    </row>
    <row r="368" spans="1:10">
      <c r="A368" s="64" t="s">
        <v>14</v>
      </c>
      <c r="B368" s="35" t="s">
        <v>33</v>
      </c>
      <c r="C368" s="35" t="s">
        <v>42</v>
      </c>
      <c r="D368" s="35">
        <v>690</v>
      </c>
      <c r="E368" s="35">
        <v>118</v>
      </c>
      <c r="F368" s="35">
        <v>9</v>
      </c>
      <c r="G368" s="35" t="str">
        <f t="shared" si="6"/>
        <v>İBİLLER1189</v>
      </c>
      <c r="H368" s="35" t="s">
        <v>137</v>
      </c>
      <c r="I368" s="48">
        <v>420000</v>
      </c>
      <c r="J368" s="48">
        <v>0</v>
      </c>
    </row>
    <row r="369" spans="1:10">
      <c r="A369" s="64" t="s">
        <v>14</v>
      </c>
      <c r="B369" s="35" t="s">
        <v>33</v>
      </c>
      <c r="C369" s="35" t="s">
        <v>42</v>
      </c>
      <c r="D369" s="35">
        <v>394.23</v>
      </c>
      <c r="E369" s="35">
        <v>118</v>
      </c>
      <c r="F369" s="2">
        <v>14</v>
      </c>
      <c r="G369" s="35" t="str">
        <f t="shared" si="6"/>
        <v>İBİLLER11814</v>
      </c>
      <c r="H369" s="35" t="s">
        <v>137</v>
      </c>
      <c r="I369" s="49">
        <f>(($J$253+$I$254+$I$255+$I$256)/($D$253+$D$254+$D$255+$D$256))*D369</f>
        <v>211978.10652366848</v>
      </c>
      <c r="J369" s="48"/>
    </row>
    <row r="370" spans="1:10">
      <c r="A370" s="35" t="s">
        <v>14</v>
      </c>
      <c r="B370" s="35" t="s">
        <v>23</v>
      </c>
      <c r="C370" s="35" t="s">
        <v>27</v>
      </c>
      <c r="D370" s="35">
        <v>988.24</v>
      </c>
      <c r="E370" s="35">
        <v>113</v>
      </c>
      <c r="F370" s="3">
        <v>4</v>
      </c>
      <c r="G370" s="35" t="str">
        <f t="shared" si="6"/>
        <v>NAİPLİ1134</v>
      </c>
      <c r="H370" s="35" t="s">
        <v>137</v>
      </c>
      <c r="I370" s="49"/>
      <c r="J370" s="48"/>
    </row>
    <row r="371" spans="1:10">
      <c r="A371" s="35" t="s">
        <v>14</v>
      </c>
      <c r="B371" s="35" t="s">
        <v>23</v>
      </c>
      <c r="C371" s="35" t="s">
        <v>27</v>
      </c>
      <c r="D371" s="35">
        <v>987.78</v>
      </c>
      <c r="E371" s="35">
        <v>113</v>
      </c>
      <c r="F371" s="3">
        <v>5</v>
      </c>
      <c r="G371" s="35" t="str">
        <f t="shared" si="6"/>
        <v>NAİPLİ1135</v>
      </c>
      <c r="H371" s="35" t="s">
        <v>137</v>
      </c>
      <c r="I371" s="49"/>
      <c r="J371" s="48"/>
    </row>
    <row r="372" spans="1:10">
      <c r="A372" s="64" t="s">
        <v>14</v>
      </c>
      <c r="B372" s="35" t="s">
        <v>33</v>
      </c>
      <c r="C372" s="35" t="s">
        <v>42</v>
      </c>
      <c r="D372" s="35">
        <v>394.44</v>
      </c>
      <c r="E372" s="35">
        <v>118</v>
      </c>
      <c r="F372" s="2">
        <v>15</v>
      </c>
      <c r="G372" s="35" t="str">
        <f t="shared" si="6"/>
        <v>İBİLLER11815</v>
      </c>
      <c r="H372" s="35" t="s">
        <v>137</v>
      </c>
      <c r="I372" s="49">
        <f>(($J$253+$I$254+$I$255+$I$256)/($D$253+$D$254+$D$255+$D$256))*D372</f>
        <v>212091.02386220172</v>
      </c>
      <c r="J372" s="48"/>
    </row>
    <row r="373" spans="1:10">
      <c r="A373" s="42" t="s">
        <v>14</v>
      </c>
      <c r="B373" s="42" t="s">
        <v>23</v>
      </c>
      <c r="C373" s="42" t="s">
        <v>56</v>
      </c>
      <c r="D373" s="42">
        <v>236.18</v>
      </c>
      <c r="E373" s="43">
        <v>12477</v>
      </c>
      <c r="F373" s="42">
        <v>30</v>
      </c>
      <c r="G373" s="35" t="str">
        <f t="shared" si="6"/>
        <v>KUVAYİ MİLLİYE1247730</v>
      </c>
      <c r="H373" s="42" t="s">
        <v>137</v>
      </c>
      <c r="I373" s="44">
        <v>100000</v>
      </c>
      <c r="J373" s="44">
        <v>105000</v>
      </c>
    </row>
    <row r="374" spans="1:10">
      <c r="A374" s="35" t="s">
        <v>14</v>
      </c>
      <c r="B374" s="35" t="s">
        <v>23</v>
      </c>
      <c r="C374" s="35" t="s">
        <v>56</v>
      </c>
      <c r="D374" s="35">
        <v>241.93</v>
      </c>
      <c r="E374" s="35">
        <v>12477</v>
      </c>
      <c r="F374" s="53">
        <v>51</v>
      </c>
      <c r="G374" s="35" t="str">
        <f t="shared" si="6"/>
        <v>KUVAYİ MİLLİYE1247751</v>
      </c>
      <c r="H374" s="35" t="s">
        <v>137</v>
      </c>
      <c r="I374" s="49"/>
      <c r="J374" s="48"/>
    </row>
    <row r="375" spans="1:10">
      <c r="A375" s="35" t="s">
        <v>14</v>
      </c>
      <c r="B375" s="35" t="s">
        <v>23</v>
      </c>
      <c r="C375" s="35" t="s">
        <v>56</v>
      </c>
      <c r="D375" s="35">
        <v>313.11</v>
      </c>
      <c r="E375" s="80">
        <v>12480</v>
      </c>
      <c r="F375" s="53">
        <v>4</v>
      </c>
      <c r="G375" s="35" t="str">
        <f t="shared" si="6"/>
        <v>KUVAYİ MİLLİYE124804</v>
      </c>
      <c r="H375" s="35" t="s">
        <v>137</v>
      </c>
      <c r="I375" s="49"/>
      <c r="J375" s="48"/>
    </row>
    <row r="376" spans="1:10">
      <c r="A376" s="35" t="s">
        <v>14</v>
      </c>
      <c r="B376" s="35" t="s">
        <v>23</v>
      </c>
      <c r="C376" s="35" t="s">
        <v>56</v>
      </c>
      <c r="D376" s="35">
        <v>313.25</v>
      </c>
      <c r="E376" s="80">
        <v>12480</v>
      </c>
      <c r="F376" s="53">
        <v>5</v>
      </c>
      <c r="G376" s="35" t="str">
        <f t="shared" si="6"/>
        <v>KUVAYİ MİLLİYE124805</v>
      </c>
      <c r="H376" s="35" t="s">
        <v>137</v>
      </c>
      <c r="I376" s="49"/>
      <c r="J376" s="48"/>
    </row>
    <row r="377" spans="1:10">
      <c r="A377" s="35" t="s">
        <v>14</v>
      </c>
      <c r="B377" s="35" t="s">
        <v>23</v>
      </c>
      <c r="C377" s="35" t="s">
        <v>56</v>
      </c>
      <c r="D377" s="35">
        <v>313.17</v>
      </c>
      <c r="E377" s="80">
        <v>12480</v>
      </c>
      <c r="F377" s="53">
        <v>6</v>
      </c>
      <c r="G377" s="35" t="str">
        <f t="shared" si="6"/>
        <v>KUVAYİ MİLLİYE124806</v>
      </c>
      <c r="H377" s="35" t="s">
        <v>137</v>
      </c>
      <c r="I377" s="49"/>
      <c r="J377" s="48"/>
    </row>
    <row r="378" spans="1:10">
      <c r="A378" s="35" t="s">
        <v>14</v>
      </c>
      <c r="B378" s="35" t="s">
        <v>23</v>
      </c>
      <c r="C378" s="35" t="s">
        <v>56</v>
      </c>
      <c r="D378" s="35">
        <v>353.11</v>
      </c>
      <c r="E378" s="80">
        <v>12480</v>
      </c>
      <c r="F378" s="53">
        <v>7</v>
      </c>
      <c r="G378" s="35" t="str">
        <f t="shared" si="6"/>
        <v>KUVAYİ MİLLİYE124807</v>
      </c>
      <c r="H378" s="35" t="s">
        <v>137</v>
      </c>
      <c r="I378" s="49"/>
      <c r="J378" s="48"/>
    </row>
    <row r="379" spans="1:10">
      <c r="A379" s="19" t="s">
        <v>14</v>
      </c>
      <c r="B379" s="19" t="s">
        <v>23</v>
      </c>
      <c r="C379" s="19" t="s">
        <v>56</v>
      </c>
      <c r="D379" s="19">
        <v>324.92</v>
      </c>
      <c r="E379" s="46">
        <v>12481</v>
      </c>
      <c r="F379" s="19">
        <v>7</v>
      </c>
      <c r="G379" s="35" t="str">
        <f t="shared" si="6"/>
        <v>KUVAYİ MİLLİYE124817</v>
      </c>
      <c r="H379" s="19" t="s">
        <v>137</v>
      </c>
      <c r="I379" s="7">
        <v>396296.3</v>
      </c>
      <c r="J379" s="7">
        <v>0</v>
      </c>
    </row>
    <row r="380" spans="1:10">
      <c r="A380" s="35" t="s">
        <v>14</v>
      </c>
      <c r="B380" s="35" t="s">
        <v>23</v>
      </c>
      <c r="C380" s="35" t="s">
        <v>41</v>
      </c>
      <c r="D380" s="35">
        <v>979.58</v>
      </c>
      <c r="E380" s="35">
        <v>132</v>
      </c>
      <c r="F380" s="35">
        <v>1</v>
      </c>
      <c r="G380" s="35" t="str">
        <f t="shared" si="6"/>
        <v>BÜYÜKPINAR1321</v>
      </c>
      <c r="H380" s="35" t="s">
        <v>137</v>
      </c>
      <c r="I380" s="49"/>
      <c r="J380" s="48"/>
    </row>
    <row r="381" spans="1:10">
      <c r="A381" s="35" t="s">
        <v>14</v>
      </c>
      <c r="B381" s="35" t="s">
        <v>66</v>
      </c>
      <c r="C381" s="35" t="s">
        <v>67</v>
      </c>
      <c r="D381" s="35">
        <v>699.91</v>
      </c>
      <c r="E381" s="35">
        <v>266</v>
      </c>
      <c r="F381" s="53">
        <v>7</v>
      </c>
      <c r="G381" s="35" t="str">
        <f t="shared" si="6"/>
        <v>ERDEL2667</v>
      </c>
      <c r="H381" s="35" t="s">
        <v>137</v>
      </c>
      <c r="I381" s="49"/>
      <c r="J381" s="48"/>
    </row>
    <row r="382" spans="1:10">
      <c r="A382" s="35" t="s">
        <v>17</v>
      </c>
      <c r="B382" s="35" t="s">
        <v>39</v>
      </c>
      <c r="C382" s="35" t="s">
        <v>40</v>
      </c>
      <c r="D382" s="35">
        <v>365.42</v>
      </c>
      <c r="E382" s="35">
        <v>103</v>
      </c>
      <c r="F382" s="35">
        <v>3</v>
      </c>
      <c r="G382" s="35" t="str">
        <f t="shared" si="6"/>
        <v>BEĞEL1033</v>
      </c>
      <c r="H382" s="35" t="s">
        <v>137</v>
      </c>
      <c r="I382" s="49">
        <v>12500</v>
      </c>
      <c r="J382" s="48">
        <v>15000</v>
      </c>
    </row>
    <row r="383" spans="1:10">
      <c r="A383" s="35" t="s">
        <v>17</v>
      </c>
      <c r="B383" s="35" t="s">
        <v>39</v>
      </c>
      <c r="C383" s="35" t="s">
        <v>40</v>
      </c>
      <c r="D383" s="35">
        <v>329.95</v>
      </c>
      <c r="E383" s="35">
        <v>104</v>
      </c>
      <c r="F383" s="35">
        <v>1</v>
      </c>
      <c r="G383" s="35" t="str">
        <f t="shared" si="6"/>
        <v>BEĞEL1041</v>
      </c>
      <c r="H383" s="35" t="s">
        <v>137</v>
      </c>
      <c r="I383" s="49">
        <v>15000</v>
      </c>
      <c r="J383" s="48">
        <v>20000</v>
      </c>
    </row>
    <row r="384" spans="1:10">
      <c r="A384" s="35" t="s">
        <v>17</v>
      </c>
      <c r="B384" s="35" t="s">
        <v>39</v>
      </c>
      <c r="C384" s="35" t="s">
        <v>40</v>
      </c>
      <c r="D384" s="35">
        <v>374.32</v>
      </c>
      <c r="E384" s="35">
        <v>104</v>
      </c>
      <c r="F384" s="35">
        <v>3</v>
      </c>
      <c r="G384" s="35" t="str">
        <f t="shared" si="6"/>
        <v>BEĞEL1043</v>
      </c>
      <c r="H384" s="35" t="s">
        <v>137</v>
      </c>
      <c r="I384" s="49">
        <v>15000</v>
      </c>
      <c r="J384" s="48">
        <v>20000</v>
      </c>
    </row>
    <row r="385" spans="1:10">
      <c r="A385" s="35" t="s">
        <v>14</v>
      </c>
      <c r="B385" s="35" t="s">
        <v>66</v>
      </c>
      <c r="C385" s="35" t="s">
        <v>67</v>
      </c>
      <c r="D385" s="35">
        <v>527.88</v>
      </c>
      <c r="E385" s="35">
        <v>266</v>
      </c>
      <c r="F385" s="35">
        <v>8</v>
      </c>
      <c r="G385" s="35" t="str">
        <f t="shared" si="6"/>
        <v>ERDEL2668</v>
      </c>
      <c r="H385" s="35" t="s">
        <v>137</v>
      </c>
      <c r="I385" s="49"/>
      <c r="J385" s="48"/>
    </row>
    <row r="386" spans="1:10">
      <c r="A386" s="35" t="s">
        <v>14</v>
      </c>
      <c r="B386" s="35" t="s">
        <v>66</v>
      </c>
      <c r="C386" s="35" t="s">
        <v>67</v>
      </c>
      <c r="D386" s="35">
        <v>461.58</v>
      </c>
      <c r="E386" s="35">
        <v>266</v>
      </c>
      <c r="F386" s="35">
        <v>9</v>
      </c>
      <c r="G386" s="35" t="str">
        <f t="shared" si="6"/>
        <v>ERDEL2669</v>
      </c>
      <c r="H386" s="35" t="s">
        <v>137</v>
      </c>
      <c r="I386" s="49"/>
      <c r="J386" s="48"/>
    </row>
    <row r="387" spans="1:10">
      <c r="A387" s="35" t="s">
        <v>17</v>
      </c>
      <c r="B387" s="35" t="s">
        <v>39</v>
      </c>
      <c r="C387" s="35" t="s">
        <v>40</v>
      </c>
      <c r="D387" s="35">
        <v>350</v>
      </c>
      <c r="E387" s="35">
        <v>103</v>
      </c>
      <c r="F387" s="80">
        <v>2</v>
      </c>
      <c r="G387" s="35" t="str">
        <f t="shared" ref="G387:G450" si="7">C387&amp;E387&amp;F387</f>
        <v>BEĞEL1032</v>
      </c>
      <c r="H387" s="35" t="s">
        <v>137</v>
      </c>
      <c r="I387" s="49"/>
      <c r="J387" s="48"/>
    </row>
    <row r="388" spans="1:10">
      <c r="A388" s="35" t="s">
        <v>17</v>
      </c>
      <c r="B388" s="35" t="s">
        <v>57</v>
      </c>
      <c r="C388" s="35" t="s">
        <v>58</v>
      </c>
      <c r="D388" s="35">
        <v>578</v>
      </c>
      <c r="E388" s="35">
        <v>0</v>
      </c>
      <c r="F388" s="53">
        <v>969</v>
      </c>
      <c r="G388" s="35" t="str">
        <f t="shared" si="7"/>
        <v>MİLİNGE0969</v>
      </c>
      <c r="H388" s="35" t="s">
        <v>137</v>
      </c>
      <c r="I388" s="49"/>
      <c r="J388" s="48"/>
    </row>
    <row r="389" spans="1:10">
      <c r="A389" s="35" t="s">
        <v>17</v>
      </c>
      <c r="B389" s="35" t="s">
        <v>57</v>
      </c>
      <c r="C389" s="35" t="s">
        <v>58</v>
      </c>
      <c r="D389" s="35">
        <v>518</v>
      </c>
      <c r="E389" s="35">
        <v>0</v>
      </c>
      <c r="F389" s="53">
        <v>970</v>
      </c>
      <c r="G389" s="35" t="str">
        <f t="shared" si="7"/>
        <v>MİLİNGE0970</v>
      </c>
      <c r="H389" s="35" t="s">
        <v>137</v>
      </c>
      <c r="I389" s="49"/>
      <c r="J389" s="48"/>
    </row>
    <row r="390" spans="1:10">
      <c r="A390" s="35" t="s">
        <v>17</v>
      </c>
      <c r="B390" s="35" t="s">
        <v>57</v>
      </c>
      <c r="C390" s="35" t="s">
        <v>58</v>
      </c>
      <c r="D390" s="35">
        <v>488</v>
      </c>
      <c r="E390" s="35">
        <v>0</v>
      </c>
      <c r="F390" s="53">
        <v>971</v>
      </c>
      <c r="G390" s="35" t="str">
        <f t="shared" si="7"/>
        <v>MİLİNGE0971</v>
      </c>
      <c r="H390" s="35" t="s">
        <v>137</v>
      </c>
      <c r="I390" s="49"/>
      <c r="J390" s="48"/>
    </row>
    <row r="391" spans="1:10">
      <c r="A391" s="35" t="s">
        <v>17</v>
      </c>
      <c r="B391" s="35" t="s">
        <v>57</v>
      </c>
      <c r="C391" s="35" t="s">
        <v>58</v>
      </c>
      <c r="D391" s="35">
        <v>448</v>
      </c>
      <c r="E391" s="35">
        <v>0</v>
      </c>
      <c r="F391" s="53">
        <v>972</v>
      </c>
      <c r="G391" s="35" t="str">
        <f t="shared" si="7"/>
        <v>MİLİNGE0972</v>
      </c>
      <c r="H391" s="35" t="s">
        <v>137</v>
      </c>
      <c r="I391" s="49"/>
      <c r="J391" s="48"/>
    </row>
    <row r="392" spans="1:10">
      <c r="A392" s="20" t="s">
        <v>14</v>
      </c>
      <c r="B392" s="20" t="s">
        <v>23</v>
      </c>
      <c r="C392" s="20" t="s">
        <v>56</v>
      </c>
      <c r="D392" s="20">
        <v>297.85000000000002</v>
      </c>
      <c r="E392" s="34">
        <v>12481</v>
      </c>
      <c r="F392" s="20">
        <v>11</v>
      </c>
      <c r="G392" s="35" t="str">
        <f t="shared" si="7"/>
        <v>KUVAYİ MİLLİYE1248111</v>
      </c>
      <c r="H392" s="20" t="s">
        <v>137</v>
      </c>
      <c r="I392" s="21">
        <v>444444.44</v>
      </c>
      <c r="J392" s="21">
        <v>550000</v>
      </c>
    </row>
    <row r="393" spans="1:10">
      <c r="A393" s="35" t="s">
        <v>14</v>
      </c>
      <c r="B393" s="35" t="s">
        <v>23</v>
      </c>
      <c r="C393" s="35" t="s">
        <v>56</v>
      </c>
      <c r="D393" s="35">
        <v>291.48</v>
      </c>
      <c r="E393" s="80">
        <v>12481</v>
      </c>
      <c r="F393" s="53">
        <v>12</v>
      </c>
      <c r="G393" s="35" t="str">
        <f t="shared" si="7"/>
        <v>KUVAYİ MİLLİYE1248112</v>
      </c>
      <c r="H393" s="35" t="s">
        <v>137</v>
      </c>
      <c r="I393" s="49"/>
      <c r="J393" s="48"/>
    </row>
    <row r="394" spans="1:10">
      <c r="A394" s="35" t="s">
        <v>14</v>
      </c>
      <c r="B394" s="35" t="s">
        <v>23</v>
      </c>
      <c r="C394" s="35" t="s">
        <v>56</v>
      </c>
      <c r="D394" s="35">
        <v>307.07</v>
      </c>
      <c r="E394" s="80">
        <v>12481</v>
      </c>
      <c r="F394" s="53">
        <v>13</v>
      </c>
      <c r="G394" s="35" t="str">
        <f t="shared" si="7"/>
        <v>KUVAYİ MİLLİYE1248113</v>
      </c>
      <c r="H394" s="35" t="s">
        <v>137</v>
      </c>
      <c r="I394" s="49"/>
      <c r="J394" s="48"/>
    </row>
    <row r="395" spans="1:10">
      <c r="A395" s="35" t="s">
        <v>14</v>
      </c>
      <c r="B395" s="35" t="s">
        <v>23</v>
      </c>
      <c r="C395" s="35" t="s">
        <v>56</v>
      </c>
      <c r="D395" s="35">
        <v>439.86</v>
      </c>
      <c r="E395" s="82">
        <v>12481</v>
      </c>
      <c r="F395" s="35">
        <v>8</v>
      </c>
      <c r="G395" s="35" t="str">
        <f t="shared" si="7"/>
        <v>KUVAYİ MİLLİYE124818</v>
      </c>
      <c r="H395" s="35" t="s">
        <v>137</v>
      </c>
      <c r="I395" s="48">
        <v>527777.78</v>
      </c>
      <c r="J395" s="48">
        <v>0</v>
      </c>
    </row>
    <row r="396" spans="1:10">
      <c r="A396" s="64" t="s">
        <v>14</v>
      </c>
      <c r="B396" s="35" t="s">
        <v>33</v>
      </c>
      <c r="C396" s="35" t="s">
        <v>42</v>
      </c>
      <c r="D396" s="35">
        <v>394.56</v>
      </c>
      <c r="E396" s="35">
        <v>118</v>
      </c>
      <c r="F396" s="2">
        <v>16</v>
      </c>
      <c r="G396" s="35" t="str">
        <f t="shared" si="7"/>
        <v>İBİLLER11816</v>
      </c>
      <c r="H396" s="35" t="s">
        <v>137</v>
      </c>
      <c r="I396" s="49">
        <f>(($J$253+$I$254+$I$255+$I$256)/($D$253+$D$254+$D$255+$D$256))*D396</f>
        <v>212155.5480556493</v>
      </c>
      <c r="J396" s="48"/>
    </row>
    <row r="397" spans="1:10">
      <c r="A397" s="35" t="s">
        <v>14</v>
      </c>
      <c r="B397" s="35" t="s">
        <v>23</v>
      </c>
      <c r="C397" s="35" t="s">
        <v>56</v>
      </c>
      <c r="D397" s="35">
        <v>362</v>
      </c>
      <c r="E397" s="80">
        <v>12486</v>
      </c>
      <c r="F397" s="53">
        <v>12</v>
      </c>
      <c r="G397" s="35" t="str">
        <f t="shared" si="7"/>
        <v>KUVAYİ MİLLİYE1248612</v>
      </c>
      <c r="H397" s="35" t="s">
        <v>137</v>
      </c>
      <c r="I397" s="49"/>
      <c r="J397" s="48"/>
    </row>
    <row r="398" spans="1:10">
      <c r="A398" s="35" t="s">
        <v>14</v>
      </c>
      <c r="B398" s="35" t="s">
        <v>23</v>
      </c>
      <c r="C398" s="35" t="s">
        <v>56</v>
      </c>
      <c r="D398" s="35">
        <v>388.1</v>
      </c>
      <c r="E398" s="80">
        <v>12486</v>
      </c>
      <c r="F398" s="53">
        <v>11</v>
      </c>
      <c r="G398" s="35" t="str">
        <f t="shared" si="7"/>
        <v>KUVAYİ MİLLİYE1248611</v>
      </c>
      <c r="H398" s="35" t="s">
        <v>137</v>
      </c>
      <c r="I398" s="49"/>
      <c r="J398" s="48"/>
    </row>
    <row r="399" spans="1:10">
      <c r="A399" s="35" t="s">
        <v>14</v>
      </c>
      <c r="B399" s="35" t="s">
        <v>23</v>
      </c>
      <c r="C399" s="35" t="s">
        <v>56</v>
      </c>
      <c r="D399" s="35">
        <v>400.12</v>
      </c>
      <c r="E399" s="80">
        <v>12490</v>
      </c>
      <c r="F399" s="53">
        <v>9</v>
      </c>
      <c r="G399" s="35" t="str">
        <f t="shared" si="7"/>
        <v>KUVAYİ MİLLİYE124909</v>
      </c>
      <c r="H399" s="35" t="s">
        <v>137</v>
      </c>
      <c r="I399" s="49"/>
      <c r="J399" s="48"/>
    </row>
    <row r="400" spans="1:10">
      <c r="A400" s="35" t="s">
        <v>14</v>
      </c>
      <c r="B400" s="35" t="s">
        <v>23</v>
      </c>
      <c r="C400" s="35" t="s">
        <v>56</v>
      </c>
      <c r="D400" s="35">
        <v>306</v>
      </c>
      <c r="E400" s="80">
        <v>12490</v>
      </c>
      <c r="F400" s="53">
        <v>10</v>
      </c>
      <c r="G400" s="35" t="str">
        <f t="shared" si="7"/>
        <v>KUVAYİ MİLLİYE1249010</v>
      </c>
      <c r="H400" s="35" t="s">
        <v>137</v>
      </c>
      <c r="I400" s="49"/>
      <c r="J400" s="48"/>
    </row>
    <row r="401" spans="1:10">
      <c r="A401" s="35" t="s">
        <v>14</v>
      </c>
      <c r="B401" s="35" t="s">
        <v>23</v>
      </c>
      <c r="C401" s="35" t="s">
        <v>56</v>
      </c>
      <c r="D401" s="35">
        <v>296</v>
      </c>
      <c r="E401" s="80">
        <v>12490</v>
      </c>
      <c r="F401" s="53">
        <v>11</v>
      </c>
      <c r="G401" s="35" t="str">
        <f t="shared" si="7"/>
        <v>KUVAYİ MİLLİYE1249011</v>
      </c>
      <c r="H401" s="35" t="s">
        <v>137</v>
      </c>
      <c r="I401" s="49"/>
      <c r="J401" s="48"/>
    </row>
    <row r="402" spans="1:10">
      <c r="A402" s="35" t="s">
        <v>14</v>
      </c>
      <c r="B402" s="35" t="s">
        <v>23</v>
      </c>
      <c r="C402" s="35" t="s">
        <v>56</v>
      </c>
      <c r="D402" s="35">
        <v>330</v>
      </c>
      <c r="E402" s="80">
        <v>12490</v>
      </c>
      <c r="F402" s="53">
        <v>13</v>
      </c>
      <c r="G402" s="35" t="str">
        <f t="shared" si="7"/>
        <v>KUVAYİ MİLLİYE1249013</v>
      </c>
      <c r="H402" s="35" t="s">
        <v>137</v>
      </c>
      <c r="I402" s="49"/>
      <c r="J402" s="48"/>
    </row>
    <row r="403" spans="1:10">
      <c r="A403" s="35" t="s">
        <v>14</v>
      </c>
      <c r="B403" s="35" t="s">
        <v>23</v>
      </c>
      <c r="C403" s="35" t="s">
        <v>56</v>
      </c>
      <c r="D403" s="35">
        <v>330</v>
      </c>
      <c r="E403" s="35">
        <v>12492</v>
      </c>
      <c r="F403" s="53">
        <v>8</v>
      </c>
      <c r="G403" s="35" t="str">
        <f t="shared" si="7"/>
        <v>KUVAYİ MİLLİYE124928</v>
      </c>
      <c r="H403" s="35" t="s">
        <v>137</v>
      </c>
      <c r="I403" s="49"/>
      <c r="J403" s="48"/>
    </row>
    <row r="404" spans="1:10">
      <c r="A404" s="35" t="s">
        <v>14</v>
      </c>
      <c r="B404" s="35" t="s">
        <v>23</v>
      </c>
      <c r="C404" s="35" t="s">
        <v>56</v>
      </c>
      <c r="D404" s="35">
        <v>447</v>
      </c>
      <c r="E404" s="35">
        <v>12492</v>
      </c>
      <c r="F404" s="53">
        <v>12</v>
      </c>
      <c r="G404" s="35" t="str">
        <f t="shared" si="7"/>
        <v>KUVAYİ MİLLİYE1249212</v>
      </c>
      <c r="H404" s="35" t="s">
        <v>137</v>
      </c>
      <c r="I404" s="49"/>
      <c r="J404" s="48"/>
    </row>
    <row r="405" spans="1:10">
      <c r="A405" s="42" t="s">
        <v>14</v>
      </c>
      <c r="B405" s="42" t="s">
        <v>23</v>
      </c>
      <c r="C405" s="42" t="s">
        <v>56</v>
      </c>
      <c r="D405" s="42">
        <v>250.13</v>
      </c>
      <c r="E405" s="43">
        <v>12626</v>
      </c>
      <c r="F405" s="42">
        <v>8</v>
      </c>
      <c r="G405" s="35" t="str">
        <f t="shared" si="7"/>
        <v>KUVAYİ MİLLİYE126268</v>
      </c>
      <c r="H405" s="42" t="s">
        <v>137</v>
      </c>
      <c r="I405" s="44">
        <v>100000</v>
      </c>
      <c r="J405" s="44">
        <v>105000</v>
      </c>
    </row>
    <row r="406" spans="1:10">
      <c r="A406" s="35" t="s">
        <v>14</v>
      </c>
      <c r="B406" s="35" t="s">
        <v>23</v>
      </c>
      <c r="C406" s="35" t="s">
        <v>56</v>
      </c>
      <c r="D406" s="35">
        <v>266.52999999999997</v>
      </c>
      <c r="E406" s="35">
        <v>12628</v>
      </c>
      <c r="F406" s="53">
        <v>9</v>
      </c>
      <c r="G406" s="35" t="str">
        <f t="shared" si="7"/>
        <v>KUVAYİ MİLLİYE126289</v>
      </c>
      <c r="H406" s="35" t="s">
        <v>137</v>
      </c>
      <c r="I406" s="49"/>
      <c r="J406" s="48"/>
    </row>
    <row r="407" spans="1:10">
      <c r="A407" s="35" t="s">
        <v>14</v>
      </c>
      <c r="B407" s="35" t="s">
        <v>23</v>
      </c>
      <c r="C407" s="35" t="s">
        <v>56</v>
      </c>
      <c r="D407" s="35">
        <v>252.96</v>
      </c>
      <c r="E407" s="35">
        <v>12628</v>
      </c>
      <c r="F407" s="53">
        <v>13</v>
      </c>
      <c r="G407" s="35" t="str">
        <f t="shared" si="7"/>
        <v>KUVAYİ MİLLİYE1262813</v>
      </c>
      <c r="H407" s="35" t="s">
        <v>137</v>
      </c>
      <c r="I407" s="49"/>
      <c r="J407" s="48"/>
    </row>
    <row r="408" spans="1:10">
      <c r="A408" s="20" t="s">
        <v>14</v>
      </c>
      <c r="B408" s="20" t="s">
        <v>23</v>
      </c>
      <c r="C408" s="20" t="s">
        <v>56</v>
      </c>
      <c r="D408" s="20">
        <v>252.96</v>
      </c>
      <c r="E408" s="20">
        <v>12628</v>
      </c>
      <c r="F408" s="22">
        <v>18</v>
      </c>
      <c r="G408" s="35" t="str">
        <f t="shared" si="7"/>
        <v>KUVAYİ MİLLİYE1262818</v>
      </c>
      <c r="H408" s="20" t="s">
        <v>137</v>
      </c>
      <c r="I408" s="41"/>
      <c r="J408" s="21"/>
    </row>
    <row r="409" spans="1:10">
      <c r="A409" s="20" t="s">
        <v>14</v>
      </c>
      <c r="B409" s="20" t="s">
        <v>23</v>
      </c>
      <c r="C409" s="20" t="s">
        <v>56</v>
      </c>
      <c r="D409" s="20">
        <v>273.02</v>
      </c>
      <c r="E409" s="34">
        <v>12655</v>
      </c>
      <c r="F409" s="20">
        <v>4</v>
      </c>
      <c r="G409" s="35" t="str">
        <f t="shared" si="7"/>
        <v>KUVAYİ MİLLİYE126554</v>
      </c>
      <c r="H409" s="20" t="s">
        <v>137</v>
      </c>
      <c r="I409" s="21">
        <v>110000</v>
      </c>
      <c r="J409" s="21">
        <v>615000</v>
      </c>
    </row>
    <row r="410" spans="1:10">
      <c r="A410" s="35" t="s">
        <v>14</v>
      </c>
      <c r="B410" s="35" t="s">
        <v>23</v>
      </c>
      <c r="C410" s="35" t="s">
        <v>74</v>
      </c>
      <c r="D410" s="35">
        <v>244.43</v>
      </c>
      <c r="E410" s="35">
        <v>11633</v>
      </c>
      <c r="F410" s="53">
        <v>5</v>
      </c>
      <c r="G410" s="35" t="str">
        <f t="shared" si="7"/>
        <v>MALTEPE116335</v>
      </c>
      <c r="H410" s="35" t="s">
        <v>137</v>
      </c>
      <c r="I410" s="49"/>
      <c r="J410" s="48"/>
    </row>
    <row r="411" spans="1:10">
      <c r="A411" s="64" t="s">
        <v>14</v>
      </c>
      <c r="B411" s="35" t="s">
        <v>33</v>
      </c>
      <c r="C411" s="35" t="s">
        <v>42</v>
      </c>
      <c r="D411" s="35">
        <v>394.87</v>
      </c>
      <c r="E411" s="35">
        <v>118</v>
      </c>
      <c r="F411" s="2">
        <v>17</v>
      </c>
      <c r="G411" s="35" t="str">
        <f t="shared" si="7"/>
        <v>İBİLLER11817</v>
      </c>
      <c r="H411" s="35" t="s">
        <v>137</v>
      </c>
      <c r="I411" s="49">
        <f>(($J$253+$I$254+$I$255+$I$256)/($D$253+$D$254+$D$255+$D$256))*D411</f>
        <v>212322.23555538891</v>
      </c>
      <c r="J411" s="48"/>
    </row>
    <row r="412" spans="1:10">
      <c r="A412" s="79" t="s">
        <v>14</v>
      </c>
      <c r="B412" s="20" t="s">
        <v>33</v>
      </c>
      <c r="C412" s="20" t="s">
        <v>42</v>
      </c>
      <c r="D412" s="20">
        <v>427.99</v>
      </c>
      <c r="E412" s="20">
        <v>118</v>
      </c>
      <c r="F412" s="23">
        <v>18</v>
      </c>
      <c r="G412" s="35" t="str">
        <f t="shared" si="7"/>
        <v>İBİLLER11818</v>
      </c>
      <c r="H412" s="20" t="s">
        <v>137</v>
      </c>
      <c r="I412" s="41">
        <f>(($J$253+$I$254+$I$255+$I$256)/($D$253+$D$254+$D$255+$D$256))*D412</f>
        <v>230130.91294692151</v>
      </c>
      <c r="J412" s="21">
        <v>782000</v>
      </c>
    </row>
    <row r="413" spans="1:10">
      <c r="A413" s="64" t="s">
        <v>14</v>
      </c>
      <c r="B413" s="35" t="s">
        <v>33</v>
      </c>
      <c r="C413" s="35" t="s">
        <v>42</v>
      </c>
      <c r="D413" s="35">
        <v>423.76</v>
      </c>
      <c r="E413" s="35">
        <v>121</v>
      </c>
      <c r="F413" s="1">
        <v>12</v>
      </c>
      <c r="G413" s="35" t="str">
        <f t="shared" si="7"/>
        <v>İBİLLER12112</v>
      </c>
      <c r="H413" s="35" t="s">
        <v>137</v>
      </c>
      <c r="I413" s="49">
        <f>($I$524+$I$525)/($D$524+$D$525)*D413</f>
        <v>215047.36428009442</v>
      </c>
      <c r="J413" s="48"/>
    </row>
    <row r="414" spans="1:10">
      <c r="A414" s="83" t="s">
        <v>14</v>
      </c>
      <c r="B414" s="10" t="s">
        <v>33</v>
      </c>
      <c r="C414" s="10" t="s">
        <v>42</v>
      </c>
      <c r="D414" s="10">
        <v>417.69</v>
      </c>
      <c r="E414" s="10">
        <v>122</v>
      </c>
      <c r="F414" s="15">
        <v>16</v>
      </c>
      <c r="G414" s="35" t="str">
        <f t="shared" si="7"/>
        <v>İBİLLER12216</v>
      </c>
      <c r="H414" s="10" t="s">
        <v>137</v>
      </c>
      <c r="I414" s="84">
        <f t="shared" ref="I414:I419" si="8">($I$615+$I$616+$I$617+$I$618)/($D$615+$D$616+$D$617+$D$618)*D414</f>
        <v>221781.37727692959</v>
      </c>
      <c r="J414" s="14"/>
    </row>
    <row r="415" spans="1:10">
      <c r="A415" s="83" t="s">
        <v>14</v>
      </c>
      <c r="B415" s="10" t="s">
        <v>33</v>
      </c>
      <c r="C415" s="10" t="s">
        <v>42</v>
      </c>
      <c r="D415" s="10">
        <v>396.54</v>
      </c>
      <c r="E415" s="10">
        <v>122</v>
      </c>
      <c r="F415" s="15">
        <v>17</v>
      </c>
      <c r="G415" s="35" t="str">
        <f t="shared" si="7"/>
        <v>İBİLLER12217</v>
      </c>
      <c r="H415" s="10" t="s">
        <v>137</v>
      </c>
      <c r="I415" s="84">
        <f t="shared" si="8"/>
        <v>210551.33554883685</v>
      </c>
      <c r="J415" s="14"/>
    </row>
    <row r="416" spans="1:10">
      <c r="A416" s="83" t="s">
        <v>14</v>
      </c>
      <c r="B416" s="10" t="s">
        <v>33</v>
      </c>
      <c r="C416" s="10" t="s">
        <v>42</v>
      </c>
      <c r="D416" s="10">
        <v>396.65</v>
      </c>
      <c r="E416" s="10">
        <v>122</v>
      </c>
      <c r="F416" s="15">
        <v>18</v>
      </c>
      <c r="G416" s="35" t="str">
        <f t="shared" si="7"/>
        <v>İBİLLER12218</v>
      </c>
      <c r="H416" s="10" t="s">
        <v>137</v>
      </c>
      <c r="I416" s="84">
        <f t="shared" si="8"/>
        <v>210609.74238524769</v>
      </c>
      <c r="J416" s="14"/>
    </row>
    <row r="417" spans="1:10">
      <c r="A417" s="83" t="s">
        <v>14</v>
      </c>
      <c r="B417" s="10" t="s">
        <v>33</v>
      </c>
      <c r="C417" s="10" t="s">
        <v>42</v>
      </c>
      <c r="D417" s="10">
        <v>396.74</v>
      </c>
      <c r="E417" s="10">
        <v>122</v>
      </c>
      <c r="F417" s="15">
        <v>19</v>
      </c>
      <c r="G417" s="35" t="str">
        <f t="shared" si="7"/>
        <v>İBİLLER12219</v>
      </c>
      <c r="H417" s="10" t="s">
        <v>137</v>
      </c>
      <c r="I417" s="84">
        <f t="shared" si="8"/>
        <v>210657.52979685663</v>
      </c>
      <c r="J417" s="14"/>
    </row>
    <row r="418" spans="1:10">
      <c r="A418" s="83" t="s">
        <v>14</v>
      </c>
      <c r="B418" s="10" t="s">
        <v>33</v>
      </c>
      <c r="C418" s="10" t="s">
        <v>42</v>
      </c>
      <c r="D418" s="10">
        <v>396.78</v>
      </c>
      <c r="E418" s="10">
        <v>122</v>
      </c>
      <c r="F418" s="15">
        <v>20</v>
      </c>
      <c r="G418" s="35" t="str">
        <f t="shared" si="7"/>
        <v>İBİLLER12220</v>
      </c>
      <c r="H418" s="10" t="s">
        <v>137</v>
      </c>
      <c r="I418" s="84">
        <f t="shared" si="8"/>
        <v>210678.76864646058</v>
      </c>
      <c r="J418" s="14"/>
    </row>
    <row r="419" spans="1:10">
      <c r="A419" s="83" t="s">
        <v>14</v>
      </c>
      <c r="B419" s="10" t="s">
        <v>33</v>
      </c>
      <c r="C419" s="10" t="s">
        <v>42</v>
      </c>
      <c r="D419" s="10">
        <v>396.86</v>
      </c>
      <c r="E419" s="10">
        <v>122</v>
      </c>
      <c r="F419" s="15">
        <v>21</v>
      </c>
      <c r="G419" s="35" t="str">
        <f t="shared" si="7"/>
        <v>İBİLLER12221</v>
      </c>
      <c r="H419" s="10" t="s">
        <v>137</v>
      </c>
      <c r="I419" s="84">
        <f t="shared" si="8"/>
        <v>210721.24634566851</v>
      </c>
      <c r="J419" s="14"/>
    </row>
    <row r="420" spans="1:10">
      <c r="A420" s="83" t="s">
        <v>14</v>
      </c>
      <c r="B420" s="10" t="s">
        <v>33</v>
      </c>
      <c r="C420" s="10" t="s">
        <v>42</v>
      </c>
      <c r="D420" s="10">
        <v>421.64</v>
      </c>
      <c r="E420" s="10">
        <v>122</v>
      </c>
      <c r="F420" s="15">
        <v>23</v>
      </c>
      <c r="G420" s="35" t="str">
        <f t="shared" si="7"/>
        <v>İBİLLER12223</v>
      </c>
      <c r="H420" s="10" t="s">
        <v>137</v>
      </c>
      <c r="I420" s="84">
        <f>($I$619+$I$620)/($D$619+$D$60)*D420</f>
        <v>266395.46273802995</v>
      </c>
      <c r="J420" s="14"/>
    </row>
    <row r="421" spans="1:10">
      <c r="A421" s="64" t="s">
        <v>14</v>
      </c>
      <c r="B421" s="35" t="s">
        <v>33</v>
      </c>
      <c r="C421" s="35" t="s">
        <v>42</v>
      </c>
      <c r="D421" s="35">
        <v>413.58</v>
      </c>
      <c r="E421" s="35">
        <v>122</v>
      </c>
      <c r="F421" s="2">
        <v>28</v>
      </c>
      <c r="G421" s="35" t="str">
        <f t="shared" si="7"/>
        <v>İBİLLER12228</v>
      </c>
      <c r="H421" s="35" t="s">
        <v>137</v>
      </c>
      <c r="I421" s="49">
        <f>($I$621+$I$622)/($D$621+$D$622)*D421</f>
        <v>231643.40723453907</v>
      </c>
      <c r="J421" s="48"/>
    </row>
    <row r="422" spans="1:10">
      <c r="A422" s="20" t="s">
        <v>14</v>
      </c>
      <c r="B422" s="20" t="s">
        <v>23</v>
      </c>
      <c r="C422" s="20" t="s">
        <v>26</v>
      </c>
      <c r="D422" s="20">
        <v>839</v>
      </c>
      <c r="E422" s="20">
        <v>114</v>
      </c>
      <c r="F422" s="22">
        <v>8</v>
      </c>
      <c r="G422" s="35" t="str">
        <f t="shared" si="7"/>
        <v>KALAYCILAR1148</v>
      </c>
      <c r="H422" s="20" t="s">
        <v>137</v>
      </c>
      <c r="I422" s="41"/>
      <c r="J422" s="21"/>
    </row>
    <row r="423" spans="1:10">
      <c r="A423" s="35" t="s">
        <v>14</v>
      </c>
      <c r="B423" s="35" t="s">
        <v>23</v>
      </c>
      <c r="C423" s="35" t="s">
        <v>73</v>
      </c>
      <c r="D423" s="35">
        <v>585.04</v>
      </c>
      <c r="E423" s="35">
        <v>113</v>
      </c>
      <c r="F423" s="53">
        <v>21</v>
      </c>
      <c r="G423" s="35" t="str">
        <f t="shared" si="7"/>
        <v>DAVUTLAR11321</v>
      </c>
      <c r="H423" s="35" t="s">
        <v>137</v>
      </c>
      <c r="I423" s="49"/>
      <c r="J423" s="48"/>
    </row>
    <row r="424" spans="1:10">
      <c r="A424" s="35" t="s">
        <v>14</v>
      </c>
      <c r="B424" s="35" t="s">
        <v>23</v>
      </c>
      <c r="C424" s="35" t="s">
        <v>73</v>
      </c>
      <c r="D424" s="35">
        <v>585.04</v>
      </c>
      <c r="E424" s="35">
        <v>113</v>
      </c>
      <c r="F424" s="53">
        <v>22</v>
      </c>
      <c r="G424" s="35" t="str">
        <f t="shared" si="7"/>
        <v>DAVUTLAR11322</v>
      </c>
      <c r="H424" s="35" t="s">
        <v>137</v>
      </c>
      <c r="I424" s="49"/>
      <c r="J424" s="48"/>
    </row>
    <row r="425" spans="1:10">
      <c r="A425" s="35" t="s">
        <v>14</v>
      </c>
      <c r="B425" s="35" t="s">
        <v>23</v>
      </c>
      <c r="C425" s="35" t="s">
        <v>24</v>
      </c>
      <c r="D425" s="35">
        <v>615</v>
      </c>
      <c r="E425" s="35">
        <v>101</v>
      </c>
      <c r="F425" s="53">
        <v>10</v>
      </c>
      <c r="G425" s="35" t="str">
        <f t="shared" si="7"/>
        <v>İBİRLER10110</v>
      </c>
      <c r="H425" s="35" t="s">
        <v>137</v>
      </c>
      <c r="I425" s="49"/>
      <c r="J425" s="48"/>
    </row>
    <row r="426" spans="1:10">
      <c r="A426" s="35" t="s">
        <v>17</v>
      </c>
      <c r="B426" s="35" t="s">
        <v>39</v>
      </c>
      <c r="C426" s="35" t="s">
        <v>40</v>
      </c>
      <c r="D426" s="35">
        <v>369.48</v>
      </c>
      <c r="E426" s="35">
        <v>104</v>
      </c>
      <c r="F426" s="80">
        <v>2</v>
      </c>
      <c r="G426" s="35" t="str">
        <f t="shared" si="7"/>
        <v>BEĞEL1042</v>
      </c>
      <c r="H426" s="35" t="s">
        <v>137</v>
      </c>
      <c r="I426" s="49"/>
      <c r="J426" s="48"/>
    </row>
    <row r="427" spans="1:10">
      <c r="A427" s="35" t="s">
        <v>17</v>
      </c>
      <c r="B427" s="35" t="s">
        <v>39</v>
      </c>
      <c r="C427" s="35" t="s">
        <v>40</v>
      </c>
      <c r="D427" s="35">
        <v>414.87</v>
      </c>
      <c r="E427" s="35">
        <v>102</v>
      </c>
      <c r="F427" s="80">
        <v>2</v>
      </c>
      <c r="G427" s="35" t="str">
        <f t="shared" si="7"/>
        <v>BEĞEL1022</v>
      </c>
      <c r="H427" s="35" t="s">
        <v>137</v>
      </c>
      <c r="I427" s="49"/>
      <c r="J427" s="48"/>
    </row>
    <row r="428" spans="1:10">
      <c r="A428" s="35" t="s">
        <v>14</v>
      </c>
      <c r="B428" s="35" t="s">
        <v>23</v>
      </c>
      <c r="C428" s="35" t="s">
        <v>41</v>
      </c>
      <c r="D428" s="35">
        <v>655.64</v>
      </c>
      <c r="E428" s="35">
        <v>123</v>
      </c>
      <c r="F428" s="53">
        <v>8</v>
      </c>
      <c r="G428" s="35" t="str">
        <f t="shared" si="7"/>
        <v>BÜYÜKPINAR1238</v>
      </c>
      <c r="H428" s="35" t="s">
        <v>137</v>
      </c>
      <c r="I428" s="49"/>
      <c r="J428" s="48"/>
    </row>
    <row r="429" spans="1:10">
      <c r="A429" s="35" t="s">
        <v>14</v>
      </c>
      <c r="B429" s="35" t="s">
        <v>23</v>
      </c>
      <c r="C429" s="35" t="s">
        <v>41</v>
      </c>
      <c r="D429" s="35">
        <v>442.94</v>
      </c>
      <c r="E429" s="35">
        <v>127</v>
      </c>
      <c r="F429" s="53">
        <v>9</v>
      </c>
      <c r="G429" s="35" t="str">
        <f t="shared" si="7"/>
        <v>BÜYÜKPINAR1279</v>
      </c>
      <c r="H429" s="35" t="s">
        <v>137</v>
      </c>
      <c r="I429" s="49"/>
      <c r="J429" s="48"/>
    </row>
    <row r="430" spans="1:10">
      <c r="A430" s="20" t="s">
        <v>14</v>
      </c>
      <c r="B430" s="20" t="s">
        <v>23</v>
      </c>
      <c r="C430" s="20" t="s">
        <v>41</v>
      </c>
      <c r="D430" s="20">
        <v>442.06</v>
      </c>
      <c r="E430" s="20">
        <v>127</v>
      </c>
      <c r="F430" s="22">
        <v>10</v>
      </c>
      <c r="G430" s="35" t="str">
        <f t="shared" si="7"/>
        <v>BÜYÜKPINAR12710</v>
      </c>
      <c r="H430" s="20" t="s">
        <v>137</v>
      </c>
      <c r="I430" s="41"/>
      <c r="J430" s="21"/>
    </row>
    <row r="431" spans="1:10">
      <c r="A431" s="20" t="s">
        <v>14</v>
      </c>
      <c r="B431" s="20" t="s">
        <v>23</v>
      </c>
      <c r="C431" s="20" t="s">
        <v>41</v>
      </c>
      <c r="D431" s="20">
        <v>1058.3900000000001</v>
      </c>
      <c r="E431" s="20">
        <v>134</v>
      </c>
      <c r="F431" s="22">
        <v>9</v>
      </c>
      <c r="G431" s="35" t="str">
        <f t="shared" si="7"/>
        <v>BÜYÜKPINAR1349</v>
      </c>
      <c r="H431" s="20" t="s">
        <v>137</v>
      </c>
      <c r="I431" s="41"/>
      <c r="J431" s="21"/>
    </row>
    <row r="432" spans="1:10">
      <c r="A432" s="20" t="s">
        <v>14</v>
      </c>
      <c r="B432" s="20" t="s">
        <v>23</v>
      </c>
      <c r="C432" s="20" t="s">
        <v>41</v>
      </c>
      <c r="D432" s="20">
        <v>1225.3</v>
      </c>
      <c r="E432" s="20">
        <v>134</v>
      </c>
      <c r="F432" s="22">
        <v>1</v>
      </c>
      <c r="G432" s="35" t="str">
        <f t="shared" si="7"/>
        <v>BÜYÜKPINAR1341</v>
      </c>
      <c r="H432" s="20" t="s">
        <v>137</v>
      </c>
      <c r="I432" s="41"/>
      <c r="J432" s="21"/>
    </row>
    <row r="433" spans="1:10">
      <c r="A433" s="35" t="s">
        <v>14</v>
      </c>
      <c r="B433" s="81" t="s">
        <v>28</v>
      </c>
      <c r="C433" s="35" t="s">
        <v>65</v>
      </c>
      <c r="D433" s="35">
        <v>870.75</v>
      </c>
      <c r="E433" s="35">
        <v>116</v>
      </c>
      <c r="F433" s="53">
        <v>69</v>
      </c>
      <c r="G433" s="35" t="str">
        <f t="shared" si="7"/>
        <v>ÇELİKLER11669</v>
      </c>
      <c r="H433" s="35" t="s">
        <v>137</v>
      </c>
      <c r="I433" s="49"/>
      <c r="J433" s="48"/>
    </row>
    <row r="434" spans="1:10">
      <c r="A434" s="35" t="s">
        <v>14</v>
      </c>
      <c r="B434" s="35" t="s">
        <v>15</v>
      </c>
      <c r="C434" s="35" t="s">
        <v>94</v>
      </c>
      <c r="D434" s="35">
        <v>704.95</v>
      </c>
      <c r="E434" s="35">
        <v>116</v>
      </c>
      <c r="F434" s="53">
        <v>2</v>
      </c>
      <c r="G434" s="35" t="str">
        <f t="shared" si="7"/>
        <v>DEMİRKAPI1162</v>
      </c>
      <c r="H434" s="35" t="s">
        <v>137</v>
      </c>
      <c r="I434" s="49"/>
      <c r="J434" s="48"/>
    </row>
    <row r="435" spans="1:10">
      <c r="A435" s="20" t="s">
        <v>17</v>
      </c>
      <c r="B435" s="20" t="s">
        <v>57</v>
      </c>
      <c r="C435" s="20" t="s">
        <v>104</v>
      </c>
      <c r="D435" s="20">
        <v>418</v>
      </c>
      <c r="E435" s="20">
        <v>234</v>
      </c>
      <c r="F435" s="22">
        <v>1</v>
      </c>
      <c r="G435" s="35" t="str">
        <f t="shared" si="7"/>
        <v>KOCAKAĞAN2341</v>
      </c>
      <c r="H435" s="20" t="s">
        <v>137</v>
      </c>
      <c r="I435" s="41"/>
      <c r="J435" s="21"/>
    </row>
    <row r="436" spans="1:10">
      <c r="A436" s="20" t="s">
        <v>17</v>
      </c>
      <c r="B436" s="20" t="s">
        <v>57</v>
      </c>
      <c r="C436" s="20" t="s">
        <v>104</v>
      </c>
      <c r="D436" s="20">
        <v>335</v>
      </c>
      <c r="E436" s="20">
        <v>234</v>
      </c>
      <c r="F436" s="22">
        <v>2</v>
      </c>
      <c r="G436" s="35" t="str">
        <f t="shared" si="7"/>
        <v>KOCAKAĞAN2342</v>
      </c>
      <c r="H436" s="20" t="s">
        <v>137</v>
      </c>
      <c r="I436" s="41"/>
      <c r="J436" s="21"/>
    </row>
    <row r="437" spans="1:10">
      <c r="A437" s="20" t="s">
        <v>14</v>
      </c>
      <c r="B437" s="85" t="s">
        <v>28</v>
      </c>
      <c r="C437" s="20" t="s">
        <v>108</v>
      </c>
      <c r="D437" s="20">
        <v>758.42</v>
      </c>
      <c r="E437" s="20">
        <v>102</v>
      </c>
      <c r="F437" s="22">
        <v>1</v>
      </c>
      <c r="G437" s="35" t="str">
        <f t="shared" si="7"/>
        <v>SELİMAĞA1021</v>
      </c>
      <c r="H437" s="20" t="s">
        <v>137</v>
      </c>
      <c r="I437" s="41"/>
      <c r="J437" s="21"/>
    </row>
    <row r="438" spans="1:10">
      <c r="A438" s="20" t="s">
        <v>14</v>
      </c>
      <c r="B438" s="85" t="s">
        <v>28</v>
      </c>
      <c r="C438" s="20" t="s">
        <v>108</v>
      </c>
      <c r="D438" s="20">
        <v>605.88</v>
      </c>
      <c r="E438" s="20">
        <v>102</v>
      </c>
      <c r="F438" s="22">
        <v>3</v>
      </c>
      <c r="G438" s="35" t="str">
        <f t="shared" si="7"/>
        <v>SELİMAĞA1023</v>
      </c>
      <c r="H438" s="20" t="s">
        <v>137</v>
      </c>
      <c r="I438" s="41"/>
      <c r="J438" s="21"/>
    </row>
    <row r="439" spans="1:10">
      <c r="A439" s="20" t="s">
        <v>14</v>
      </c>
      <c r="B439" s="85" t="s">
        <v>28</v>
      </c>
      <c r="C439" s="20" t="s">
        <v>108</v>
      </c>
      <c r="D439" s="20">
        <v>599.51</v>
      </c>
      <c r="E439" s="20">
        <v>120</v>
      </c>
      <c r="F439" s="22">
        <v>3</v>
      </c>
      <c r="G439" s="35" t="str">
        <f t="shared" si="7"/>
        <v>SELİMAĞA1203</v>
      </c>
      <c r="H439" s="20" t="s">
        <v>137</v>
      </c>
      <c r="I439" s="41"/>
      <c r="J439" s="21"/>
    </row>
    <row r="440" spans="1:10">
      <c r="A440" s="20" t="s">
        <v>14</v>
      </c>
      <c r="B440" s="85" t="s">
        <v>28</v>
      </c>
      <c r="C440" s="20" t="s">
        <v>108</v>
      </c>
      <c r="D440" s="20">
        <v>598.52</v>
      </c>
      <c r="E440" s="20">
        <v>120</v>
      </c>
      <c r="F440" s="22">
        <v>4</v>
      </c>
      <c r="G440" s="35" t="str">
        <f t="shared" si="7"/>
        <v>SELİMAĞA1204</v>
      </c>
      <c r="H440" s="20" t="s">
        <v>137</v>
      </c>
      <c r="I440" s="41"/>
      <c r="J440" s="21"/>
    </row>
    <row r="441" spans="1:10">
      <c r="A441" s="35" t="s">
        <v>14</v>
      </c>
      <c r="B441" s="35" t="s">
        <v>143</v>
      </c>
      <c r="C441" s="35" t="s">
        <v>144</v>
      </c>
      <c r="D441" s="35">
        <v>279.25</v>
      </c>
      <c r="E441" s="35">
        <v>168</v>
      </c>
      <c r="F441" s="53">
        <v>2</v>
      </c>
      <c r="G441" s="35" t="str">
        <f t="shared" si="7"/>
        <v>ÇARŞI1682</v>
      </c>
      <c r="H441" s="35"/>
      <c r="I441" s="49"/>
      <c r="J441" s="48"/>
    </row>
    <row r="442" spans="1:10">
      <c r="A442" s="35" t="s">
        <v>14</v>
      </c>
      <c r="B442" s="35" t="s">
        <v>143</v>
      </c>
      <c r="C442" s="35" t="s">
        <v>144</v>
      </c>
      <c r="D442" s="35">
        <v>278.76</v>
      </c>
      <c r="E442" s="35">
        <v>168</v>
      </c>
      <c r="F442" s="53">
        <v>3</v>
      </c>
      <c r="G442" s="35" t="str">
        <f t="shared" si="7"/>
        <v>ÇARŞI1683</v>
      </c>
      <c r="H442" s="35"/>
      <c r="I442" s="49"/>
      <c r="J442" s="48"/>
    </row>
    <row r="443" spans="1:10">
      <c r="A443" s="42" t="s">
        <v>14</v>
      </c>
      <c r="B443" s="42" t="s">
        <v>15</v>
      </c>
      <c r="C443" s="42" t="s">
        <v>16</v>
      </c>
      <c r="D443" s="42">
        <v>465.56</v>
      </c>
      <c r="E443" s="42">
        <v>178</v>
      </c>
      <c r="F443" s="50">
        <v>14</v>
      </c>
      <c r="G443" s="35" t="str">
        <f t="shared" si="7"/>
        <v>REŞADİYE17814</v>
      </c>
      <c r="H443" s="42" t="s">
        <v>137</v>
      </c>
      <c r="I443" s="61"/>
      <c r="J443" s="42"/>
    </row>
    <row r="444" spans="1:10">
      <c r="A444" s="20" t="s">
        <v>14</v>
      </c>
      <c r="B444" s="20" t="s">
        <v>15</v>
      </c>
      <c r="C444" s="20" t="s">
        <v>94</v>
      </c>
      <c r="D444" s="20">
        <v>672.66</v>
      </c>
      <c r="E444" s="20">
        <v>113</v>
      </c>
      <c r="F444" s="23">
        <v>9</v>
      </c>
      <c r="G444" s="35" t="str">
        <f t="shared" si="7"/>
        <v>DEMİRKAPI1139</v>
      </c>
      <c r="H444" s="20" t="s">
        <v>141</v>
      </c>
      <c r="I444" s="41">
        <v>200000</v>
      </c>
      <c r="J444" s="21">
        <v>220000</v>
      </c>
    </row>
    <row r="445" spans="1:10">
      <c r="A445" s="20" t="s">
        <v>14</v>
      </c>
      <c r="B445" s="20" t="s">
        <v>15</v>
      </c>
      <c r="C445" s="20" t="s">
        <v>94</v>
      </c>
      <c r="D445" s="20">
        <v>754.23</v>
      </c>
      <c r="E445" s="20">
        <v>112</v>
      </c>
      <c r="F445" s="23">
        <v>1</v>
      </c>
      <c r="G445" s="35" t="str">
        <f t="shared" si="7"/>
        <v>DEMİRKAPI1121</v>
      </c>
      <c r="H445" s="20" t="s">
        <v>141</v>
      </c>
      <c r="I445" s="41">
        <v>200000</v>
      </c>
      <c r="J445" s="21">
        <v>230000</v>
      </c>
    </row>
    <row r="446" spans="1:10">
      <c r="A446" s="20" t="s">
        <v>14</v>
      </c>
      <c r="B446" s="20" t="s">
        <v>28</v>
      </c>
      <c r="C446" s="20" t="s">
        <v>45</v>
      </c>
      <c r="D446" s="20">
        <v>317.51</v>
      </c>
      <c r="E446" s="20">
        <v>251</v>
      </c>
      <c r="F446" s="23">
        <v>20</v>
      </c>
      <c r="G446" s="35" t="str">
        <f t="shared" si="7"/>
        <v>DELİCE25120</v>
      </c>
      <c r="H446" s="20" t="s">
        <v>138</v>
      </c>
      <c r="I446" s="41">
        <v>239000</v>
      </c>
      <c r="J446" s="21">
        <v>251000</v>
      </c>
    </row>
    <row r="447" spans="1:10">
      <c r="A447" s="20" t="s">
        <v>14</v>
      </c>
      <c r="B447" s="20" t="s">
        <v>28</v>
      </c>
      <c r="C447" s="20" t="s">
        <v>45</v>
      </c>
      <c r="D447" s="20">
        <v>302.61</v>
      </c>
      <c r="E447" s="20">
        <v>251</v>
      </c>
      <c r="F447" s="23">
        <v>21</v>
      </c>
      <c r="G447" s="35" t="str">
        <f t="shared" si="7"/>
        <v>DELİCE25121</v>
      </c>
      <c r="H447" s="20" t="s">
        <v>138</v>
      </c>
      <c r="I447" s="41">
        <v>228000</v>
      </c>
      <c r="J447" s="21">
        <v>240000</v>
      </c>
    </row>
    <row r="448" spans="1:10">
      <c r="A448" s="20" t="s">
        <v>14</v>
      </c>
      <c r="B448" s="20" t="s">
        <v>28</v>
      </c>
      <c r="C448" s="20" t="s">
        <v>45</v>
      </c>
      <c r="D448" s="20">
        <v>390.18</v>
      </c>
      <c r="E448" s="20">
        <v>670</v>
      </c>
      <c r="F448" s="23">
        <v>2</v>
      </c>
      <c r="G448" s="35" t="str">
        <f t="shared" si="7"/>
        <v>DELİCE6702</v>
      </c>
      <c r="H448" s="20" t="s">
        <v>138</v>
      </c>
      <c r="I448" s="21">
        <v>293000</v>
      </c>
      <c r="J448" s="21">
        <v>307500</v>
      </c>
    </row>
    <row r="449" spans="1:10">
      <c r="A449" s="20" t="s">
        <v>14</v>
      </c>
      <c r="B449" s="20" t="s">
        <v>28</v>
      </c>
      <c r="C449" s="20" t="s">
        <v>45</v>
      </c>
      <c r="D449" s="20">
        <v>361.8</v>
      </c>
      <c r="E449" s="20">
        <v>670</v>
      </c>
      <c r="F449" s="23">
        <v>3</v>
      </c>
      <c r="G449" s="35" t="str">
        <f t="shared" si="7"/>
        <v>DELİCE6703</v>
      </c>
      <c r="H449" s="20" t="s">
        <v>138</v>
      </c>
      <c r="I449" s="21">
        <v>272000</v>
      </c>
      <c r="J449" s="21">
        <v>285500</v>
      </c>
    </row>
    <row r="450" spans="1:10">
      <c r="A450" s="20" t="s">
        <v>14</v>
      </c>
      <c r="B450" s="20" t="s">
        <v>28</v>
      </c>
      <c r="C450" s="20" t="s">
        <v>45</v>
      </c>
      <c r="D450" s="20">
        <v>307.74</v>
      </c>
      <c r="E450" s="20">
        <v>670</v>
      </c>
      <c r="F450" s="23">
        <v>4</v>
      </c>
      <c r="G450" s="35" t="str">
        <f t="shared" si="7"/>
        <v>DELİCE6704</v>
      </c>
      <c r="H450" s="20" t="s">
        <v>138</v>
      </c>
      <c r="I450" s="21">
        <v>231000</v>
      </c>
      <c r="J450" s="21">
        <v>242500</v>
      </c>
    </row>
    <row r="451" spans="1:10">
      <c r="A451" s="20" t="s">
        <v>14</v>
      </c>
      <c r="B451" s="20" t="s">
        <v>28</v>
      </c>
      <c r="C451" s="20" t="s">
        <v>45</v>
      </c>
      <c r="D451" s="20">
        <v>417.3</v>
      </c>
      <c r="E451" s="20">
        <v>124</v>
      </c>
      <c r="F451" s="23">
        <v>4</v>
      </c>
      <c r="G451" s="35" t="str">
        <f t="shared" ref="G451:G514" si="9">C451&amp;E451&amp;F451</f>
        <v>DELİCE1244</v>
      </c>
      <c r="H451" s="20" t="s">
        <v>138</v>
      </c>
      <c r="I451" s="21">
        <v>345000</v>
      </c>
      <c r="J451" s="21">
        <v>395000</v>
      </c>
    </row>
    <row r="452" spans="1:10">
      <c r="A452" s="64" t="s">
        <v>14</v>
      </c>
      <c r="B452" s="35" t="s">
        <v>33</v>
      </c>
      <c r="C452" s="35" t="s">
        <v>42</v>
      </c>
      <c r="D452" s="35">
        <v>363.2</v>
      </c>
      <c r="E452" s="35">
        <v>118</v>
      </c>
      <c r="F452" s="2">
        <v>10</v>
      </c>
      <c r="G452" s="35" t="str">
        <f t="shared" si="9"/>
        <v>İBİLLER11810</v>
      </c>
      <c r="H452" s="35" t="s">
        <v>137</v>
      </c>
      <c r="I452" s="49">
        <f>($J$251/$D$251)*D452</f>
        <v>231136.82383569569</v>
      </c>
      <c r="J452" s="48"/>
    </row>
    <row r="453" spans="1:10">
      <c r="A453" s="20" t="s">
        <v>14</v>
      </c>
      <c r="B453" s="20" t="s">
        <v>28</v>
      </c>
      <c r="C453" s="20" t="s">
        <v>45</v>
      </c>
      <c r="D453" s="20">
        <v>388.07</v>
      </c>
      <c r="E453" s="20">
        <v>251</v>
      </c>
      <c r="F453" s="23">
        <v>18</v>
      </c>
      <c r="G453" s="35" t="str">
        <f t="shared" si="9"/>
        <v>DELİCE25118</v>
      </c>
      <c r="H453" s="20" t="s">
        <v>138</v>
      </c>
      <c r="I453" s="41">
        <v>292000</v>
      </c>
      <c r="J453" s="21">
        <v>306500</v>
      </c>
    </row>
    <row r="454" spans="1:10">
      <c r="A454" s="64" t="s">
        <v>14</v>
      </c>
      <c r="B454" s="35" t="s">
        <v>33</v>
      </c>
      <c r="C454" s="35" t="s">
        <v>42</v>
      </c>
      <c r="D454" s="35">
        <v>362.77</v>
      </c>
      <c r="E454" s="35">
        <v>118</v>
      </c>
      <c r="F454" s="2">
        <v>11</v>
      </c>
      <c r="G454" s="35" t="str">
        <f t="shared" si="9"/>
        <v>İBİLLER11811</v>
      </c>
      <c r="H454" s="35" t="s">
        <v>137</v>
      </c>
      <c r="I454" s="49">
        <f>($J$251/$D$251)*D454</f>
        <v>230863.17616430428</v>
      </c>
      <c r="J454" s="48"/>
    </row>
    <row r="455" spans="1:10">
      <c r="A455" s="20" t="s">
        <v>14</v>
      </c>
      <c r="B455" s="20" t="s">
        <v>28</v>
      </c>
      <c r="C455" s="20" t="s">
        <v>45</v>
      </c>
      <c r="D455" s="20">
        <v>397.59</v>
      </c>
      <c r="E455" s="20">
        <v>256</v>
      </c>
      <c r="F455" s="23">
        <v>10</v>
      </c>
      <c r="G455" s="35" t="str">
        <f t="shared" si="9"/>
        <v>DELİCE25610</v>
      </c>
      <c r="H455" s="20" t="s">
        <v>138</v>
      </c>
      <c r="I455" s="41">
        <v>300000</v>
      </c>
      <c r="J455" s="21">
        <v>381000</v>
      </c>
    </row>
    <row r="456" spans="1:10">
      <c r="A456" s="36" t="s">
        <v>14</v>
      </c>
      <c r="B456" s="36" t="s">
        <v>28</v>
      </c>
      <c r="C456" s="36" t="s">
        <v>108</v>
      </c>
      <c r="D456" s="36">
        <v>761.61</v>
      </c>
      <c r="E456" s="36">
        <v>112</v>
      </c>
      <c r="F456" s="39">
        <v>1</v>
      </c>
      <c r="G456" s="35" t="str">
        <f t="shared" si="9"/>
        <v>SELİMAĞA1121</v>
      </c>
      <c r="H456" s="36" t="s">
        <v>138</v>
      </c>
      <c r="I456" s="38">
        <v>572000</v>
      </c>
      <c r="J456" s="38"/>
    </row>
    <row r="457" spans="1:10">
      <c r="A457" s="36" t="s">
        <v>14</v>
      </c>
      <c r="B457" s="36" t="s">
        <v>28</v>
      </c>
      <c r="C457" s="36" t="s">
        <v>108</v>
      </c>
      <c r="D457" s="36">
        <v>746.9</v>
      </c>
      <c r="E457" s="36">
        <v>112</v>
      </c>
      <c r="F457" s="39">
        <v>2</v>
      </c>
      <c r="G457" s="35" t="str">
        <f t="shared" si="9"/>
        <v>SELİMAĞA1122</v>
      </c>
      <c r="H457" s="36" t="s">
        <v>138</v>
      </c>
      <c r="I457" s="38">
        <v>561000</v>
      </c>
      <c r="J457" s="38"/>
    </row>
    <row r="458" spans="1:10">
      <c r="A458" s="36" t="s">
        <v>14</v>
      </c>
      <c r="B458" s="36" t="s">
        <v>28</v>
      </c>
      <c r="C458" s="36" t="s">
        <v>108</v>
      </c>
      <c r="D458" s="36">
        <v>620.32000000000005</v>
      </c>
      <c r="E458" s="36">
        <v>112</v>
      </c>
      <c r="F458" s="39">
        <v>3</v>
      </c>
      <c r="G458" s="35" t="str">
        <f t="shared" si="9"/>
        <v>SELİMAĞA1123</v>
      </c>
      <c r="H458" s="36" t="s">
        <v>138</v>
      </c>
      <c r="I458" s="38">
        <v>466000</v>
      </c>
      <c r="J458" s="38"/>
    </row>
    <row r="459" spans="1:10">
      <c r="A459" s="64" t="s">
        <v>14</v>
      </c>
      <c r="B459" s="35" t="s">
        <v>33</v>
      </c>
      <c r="C459" s="35" t="s">
        <v>42</v>
      </c>
      <c r="D459" s="35">
        <v>393.94</v>
      </c>
      <c r="E459" s="35">
        <v>118</v>
      </c>
      <c r="F459" s="2">
        <v>13</v>
      </c>
      <c r="G459" s="35" t="str">
        <f t="shared" si="9"/>
        <v>İBİLLER11813</v>
      </c>
      <c r="H459" s="35" t="s">
        <v>137</v>
      </c>
      <c r="I459" s="49">
        <f>(($J$253+$I$254+$I$255+$I$256)/($D$253+$D$254+$D$255+$D$256))*D459</f>
        <v>211822.17305617014</v>
      </c>
      <c r="J459" s="48"/>
    </row>
    <row r="460" spans="1:10">
      <c r="A460" s="62" t="s">
        <v>14</v>
      </c>
      <c r="B460" s="42" t="s">
        <v>33</v>
      </c>
      <c r="C460" s="42" t="s">
        <v>42</v>
      </c>
      <c r="D460" s="42">
        <v>683.3</v>
      </c>
      <c r="E460" s="42">
        <v>119</v>
      </c>
      <c r="F460" s="42">
        <v>1</v>
      </c>
      <c r="G460" s="35" t="str">
        <f t="shared" si="9"/>
        <v>İBİLLER1191</v>
      </c>
      <c r="H460" s="42" t="s">
        <v>137</v>
      </c>
      <c r="I460" s="44">
        <v>415000</v>
      </c>
      <c r="J460" s="44">
        <v>750000</v>
      </c>
    </row>
    <row r="461" spans="1:10">
      <c r="A461" s="36" t="s">
        <v>14</v>
      </c>
      <c r="B461" s="36" t="s">
        <v>28</v>
      </c>
      <c r="C461" s="36" t="s">
        <v>108</v>
      </c>
      <c r="D461" s="36">
        <v>803.52</v>
      </c>
      <c r="E461" s="36">
        <v>113</v>
      </c>
      <c r="F461" s="39">
        <v>1</v>
      </c>
      <c r="G461" s="35" t="str">
        <f t="shared" si="9"/>
        <v>SELİMAĞA1131</v>
      </c>
      <c r="H461" s="36" t="s">
        <v>138</v>
      </c>
      <c r="I461" s="38">
        <v>603000</v>
      </c>
      <c r="J461" s="38"/>
    </row>
    <row r="462" spans="1:10">
      <c r="A462" s="36" t="s">
        <v>14</v>
      </c>
      <c r="B462" s="36" t="s">
        <v>28</v>
      </c>
      <c r="C462" s="36" t="s">
        <v>108</v>
      </c>
      <c r="D462" s="36">
        <v>1118.04</v>
      </c>
      <c r="E462" s="36">
        <v>113</v>
      </c>
      <c r="F462" s="39">
        <v>2</v>
      </c>
      <c r="G462" s="35" t="str">
        <f t="shared" si="9"/>
        <v>SELİMAĞA1132</v>
      </c>
      <c r="H462" s="36" t="s">
        <v>138</v>
      </c>
      <c r="I462" s="38">
        <v>839000</v>
      </c>
      <c r="J462" s="38"/>
    </row>
    <row r="463" spans="1:10">
      <c r="A463" s="36" t="s">
        <v>14</v>
      </c>
      <c r="B463" s="36" t="s">
        <v>28</v>
      </c>
      <c r="C463" s="36" t="s">
        <v>108</v>
      </c>
      <c r="D463" s="36">
        <v>613.28</v>
      </c>
      <c r="E463" s="36">
        <v>113</v>
      </c>
      <c r="F463" s="39">
        <v>3</v>
      </c>
      <c r="G463" s="35" t="str">
        <f t="shared" si="9"/>
        <v>SELİMAĞA1133</v>
      </c>
      <c r="H463" s="36" t="s">
        <v>138</v>
      </c>
      <c r="I463" s="38">
        <v>461000</v>
      </c>
      <c r="J463" s="38"/>
    </row>
    <row r="464" spans="1:10">
      <c r="A464" s="36" t="s">
        <v>14</v>
      </c>
      <c r="B464" s="36" t="s">
        <v>28</v>
      </c>
      <c r="C464" s="36" t="s">
        <v>108</v>
      </c>
      <c r="D464" s="36">
        <v>600</v>
      </c>
      <c r="E464" s="36">
        <v>113</v>
      </c>
      <c r="F464" s="39">
        <v>4</v>
      </c>
      <c r="G464" s="35" t="str">
        <f t="shared" si="9"/>
        <v>SELİMAĞA1134</v>
      </c>
      <c r="H464" s="36" t="s">
        <v>138</v>
      </c>
      <c r="I464" s="38">
        <v>451000</v>
      </c>
      <c r="J464" s="38"/>
    </row>
    <row r="465" spans="1:10">
      <c r="A465" s="36" t="s">
        <v>14</v>
      </c>
      <c r="B465" s="36" t="s">
        <v>28</v>
      </c>
      <c r="C465" s="36" t="s">
        <v>108</v>
      </c>
      <c r="D465" s="36">
        <v>816.53</v>
      </c>
      <c r="E465" s="36">
        <v>113</v>
      </c>
      <c r="F465" s="39">
        <v>5</v>
      </c>
      <c r="G465" s="35" t="str">
        <f t="shared" si="9"/>
        <v>SELİMAĞA1135</v>
      </c>
      <c r="H465" s="36" t="s">
        <v>138</v>
      </c>
      <c r="I465" s="38">
        <v>613000</v>
      </c>
      <c r="J465" s="38"/>
    </row>
    <row r="466" spans="1:10">
      <c r="A466" s="62" t="s">
        <v>14</v>
      </c>
      <c r="B466" s="42" t="s">
        <v>33</v>
      </c>
      <c r="C466" s="42" t="s">
        <v>42</v>
      </c>
      <c r="D466" s="42">
        <v>684.5</v>
      </c>
      <c r="E466" s="42">
        <v>119</v>
      </c>
      <c r="F466" s="42">
        <v>2</v>
      </c>
      <c r="G466" s="35" t="str">
        <f t="shared" si="9"/>
        <v>İBİLLER1192</v>
      </c>
      <c r="H466" s="42" t="s">
        <v>137</v>
      </c>
      <c r="I466" s="44">
        <v>415000</v>
      </c>
      <c r="J466" s="44">
        <v>750000</v>
      </c>
    </row>
    <row r="467" spans="1:10">
      <c r="A467" s="62" t="s">
        <v>14</v>
      </c>
      <c r="B467" s="42" t="s">
        <v>33</v>
      </c>
      <c r="C467" s="42" t="s">
        <v>42</v>
      </c>
      <c r="D467" s="42">
        <v>635.25</v>
      </c>
      <c r="E467" s="42">
        <v>119</v>
      </c>
      <c r="F467" s="42">
        <v>3</v>
      </c>
      <c r="G467" s="35" t="str">
        <f t="shared" si="9"/>
        <v>İBİLLER1193</v>
      </c>
      <c r="H467" s="42" t="s">
        <v>137</v>
      </c>
      <c r="I467" s="44">
        <v>320000</v>
      </c>
      <c r="J467" s="44">
        <v>335000</v>
      </c>
    </row>
    <row r="468" spans="1:10">
      <c r="A468" s="62" t="s">
        <v>14</v>
      </c>
      <c r="B468" s="42" t="s">
        <v>33</v>
      </c>
      <c r="C468" s="42" t="s">
        <v>42</v>
      </c>
      <c r="D468" s="42">
        <v>620.12</v>
      </c>
      <c r="E468" s="42">
        <v>119</v>
      </c>
      <c r="F468" s="42">
        <v>4</v>
      </c>
      <c r="G468" s="35" t="str">
        <f t="shared" si="9"/>
        <v>İBİLLER1194</v>
      </c>
      <c r="H468" s="42" t="s">
        <v>137</v>
      </c>
      <c r="I468" s="44">
        <v>315000</v>
      </c>
      <c r="J468" s="44">
        <v>330000</v>
      </c>
    </row>
    <row r="469" spans="1:10">
      <c r="A469" s="20" t="s">
        <v>14</v>
      </c>
      <c r="B469" s="20" t="s">
        <v>33</v>
      </c>
      <c r="C469" s="20" t="s">
        <v>34</v>
      </c>
      <c r="D469" s="20">
        <v>800</v>
      </c>
      <c r="E469" s="20">
        <v>102</v>
      </c>
      <c r="F469" s="23">
        <v>2</v>
      </c>
      <c r="G469" s="35" t="str">
        <f t="shared" si="9"/>
        <v>ARMUTLU1022</v>
      </c>
      <c r="H469" s="20" t="s">
        <v>138</v>
      </c>
      <c r="I469" s="41">
        <v>445000</v>
      </c>
      <c r="J469" s="21">
        <v>523250</v>
      </c>
    </row>
    <row r="470" spans="1:10">
      <c r="A470" s="62" t="s">
        <v>14</v>
      </c>
      <c r="B470" s="42" t="s">
        <v>33</v>
      </c>
      <c r="C470" s="42" t="s">
        <v>42</v>
      </c>
      <c r="D470" s="42">
        <v>620.12</v>
      </c>
      <c r="E470" s="42">
        <v>119</v>
      </c>
      <c r="F470" s="42">
        <v>5</v>
      </c>
      <c r="G470" s="35" t="str">
        <f t="shared" si="9"/>
        <v>İBİLLER1195</v>
      </c>
      <c r="H470" s="42" t="s">
        <v>137</v>
      </c>
      <c r="I470" s="44">
        <v>380000</v>
      </c>
      <c r="J470" s="44">
        <v>418000</v>
      </c>
    </row>
    <row r="471" spans="1:10">
      <c r="A471" s="63" t="s">
        <v>14</v>
      </c>
      <c r="B471" s="36" t="s">
        <v>33</v>
      </c>
      <c r="C471" s="36" t="s">
        <v>42</v>
      </c>
      <c r="D471" s="36">
        <v>559.29</v>
      </c>
      <c r="E471" s="36">
        <v>119</v>
      </c>
      <c r="F471" s="39">
        <v>6</v>
      </c>
      <c r="G471" s="35" t="str">
        <f t="shared" si="9"/>
        <v>İBİLLER1196</v>
      </c>
      <c r="H471" s="36" t="s">
        <v>137</v>
      </c>
      <c r="I471" s="38">
        <v>340000</v>
      </c>
      <c r="J471" s="38">
        <v>355000</v>
      </c>
    </row>
    <row r="472" spans="1:10">
      <c r="A472" s="63" t="s">
        <v>14</v>
      </c>
      <c r="B472" s="36" t="s">
        <v>33</v>
      </c>
      <c r="C472" s="36" t="s">
        <v>42</v>
      </c>
      <c r="D472" s="36">
        <v>558.64</v>
      </c>
      <c r="E472" s="36">
        <v>119</v>
      </c>
      <c r="F472" s="39">
        <v>7</v>
      </c>
      <c r="G472" s="35" t="str">
        <f t="shared" si="9"/>
        <v>İBİLLER1197</v>
      </c>
      <c r="H472" s="36" t="s">
        <v>137</v>
      </c>
      <c r="I472" s="38">
        <v>340000</v>
      </c>
      <c r="J472" s="38">
        <v>355000</v>
      </c>
    </row>
    <row r="473" spans="1:10">
      <c r="A473" s="63" t="s">
        <v>14</v>
      </c>
      <c r="B473" s="36" t="s">
        <v>33</v>
      </c>
      <c r="C473" s="36" t="s">
        <v>42</v>
      </c>
      <c r="D473" s="36">
        <v>558</v>
      </c>
      <c r="E473" s="36">
        <v>119</v>
      </c>
      <c r="F473" s="39">
        <v>8</v>
      </c>
      <c r="G473" s="35" t="str">
        <f t="shared" si="9"/>
        <v>İBİLLER1198</v>
      </c>
      <c r="H473" s="36" t="s">
        <v>137</v>
      </c>
      <c r="I473" s="38">
        <v>340000</v>
      </c>
      <c r="J473" s="38">
        <v>355000</v>
      </c>
    </row>
    <row r="474" spans="1:10">
      <c r="A474" s="20" t="s">
        <v>14</v>
      </c>
      <c r="B474" s="20" t="s">
        <v>33</v>
      </c>
      <c r="C474" s="20" t="s">
        <v>34</v>
      </c>
      <c r="D474" s="20">
        <v>755.91</v>
      </c>
      <c r="E474" s="20">
        <v>103</v>
      </c>
      <c r="F474" s="23">
        <v>1</v>
      </c>
      <c r="G474" s="35" t="str">
        <f t="shared" si="9"/>
        <v>ARMUTLU1031</v>
      </c>
      <c r="H474" s="20" t="s">
        <v>138</v>
      </c>
      <c r="I474" s="41">
        <v>425000</v>
      </c>
      <c r="J474" s="21">
        <v>488750</v>
      </c>
    </row>
    <row r="475" spans="1:10">
      <c r="A475" s="20" t="s">
        <v>14</v>
      </c>
      <c r="B475" s="20" t="s">
        <v>33</v>
      </c>
      <c r="C475" s="20" t="s">
        <v>34</v>
      </c>
      <c r="D475" s="20">
        <v>841.63</v>
      </c>
      <c r="E475" s="20">
        <v>103</v>
      </c>
      <c r="F475" s="23">
        <v>2</v>
      </c>
      <c r="G475" s="35" t="str">
        <f t="shared" si="9"/>
        <v>ARMUTLU1032</v>
      </c>
      <c r="H475" s="20" t="s">
        <v>138</v>
      </c>
      <c r="I475" s="41">
        <v>475000</v>
      </c>
      <c r="J475" s="21">
        <v>546250</v>
      </c>
    </row>
    <row r="476" spans="1:10">
      <c r="A476" s="20" t="s">
        <v>14</v>
      </c>
      <c r="B476" s="20" t="s">
        <v>33</v>
      </c>
      <c r="C476" s="20" t="s">
        <v>34</v>
      </c>
      <c r="D476" s="20">
        <v>598.41</v>
      </c>
      <c r="E476" s="20">
        <v>104</v>
      </c>
      <c r="F476" s="23">
        <v>1</v>
      </c>
      <c r="G476" s="35" t="str">
        <f t="shared" si="9"/>
        <v>ARMUTLU1041</v>
      </c>
      <c r="H476" s="20" t="s">
        <v>138</v>
      </c>
      <c r="I476" s="41">
        <v>335000</v>
      </c>
      <c r="J476" s="21">
        <v>385250</v>
      </c>
    </row>
    <row r="477" spans="1:10">
      <c r="A477" s="20" t="s">
        <v>14</v>
      </c>
      <c r="B477" s="20" t="s">
        <v>33</v>
      </c>
      <c r="C477" s="20" t="s">
        <v>34</v>
      </c>
      <c r="D477" s="20">
        <v>559.84</v>
      </c>
      <c r="E477" s="20">
        <v>104</v>
      </c>
      <c r="F477" s="23">
        <v>2</v>
      </c>
      <c r="G477" s="35" t="str">
        <f t="shared" si="9"/>
        <v>ARMUTLU1042</v>
      </c>
      <c r="H477" s="20" t="s">
        <v>138</v>
      </c>
      <c r="I477" s="41">
        <v>310000</v>
      </c>
      <c r="J477" s="21">
        <v>356500</v>
      </c>
    </row>
    <row r="478" spans="1:10">
      <c r="A478" s="20" t="s">
        <v>14</v>
      </c>
      <c r="B478" s="20" t="s">
        <v>33</v>
      </c>
      <c r="C478" s="20" t="s">
        <v>34</v>
      </c>
      <c r="D478" s="20">
        <v>559.86</v>
      </c>
      <c r="E478" s="20">
        <v>104</v>
      </c>
      <c r="F478" s="23">
        <v>3</v>
      </c>
      <c r="G478" s="35" t="str">
        <f t="shared" si="9"/>
        <v>ARMUTLU1043</v>
      </c>
      <c r="H478" s="20" t="s">
        <v>138</v>
      </c>
      <c r="I478" s="41">
        <v>310000</v>
      </c>
      <c r="J478" s="21">
        <v>356500</v>
      </c>
    </row>
    <row r="479" spans="1:10">
      <c r="A479" s="20" t="s">
        <v>14</v>
      </c>
      <c r="B479" s="20" t="s">
        <v>33</v>
      </c>
      <c r="C479" s="20" t="s">
        <v>34</v>
      </c>
      <c r="D479" s="20">
        <v>598.77</v>
      </c>
      <c r="E479" s="20">
        <v>104</v>
      </c>
      <c r="F479" s="23">
        <v>9</v>
      </c>
      <c r="G479" s="35" t="str">
        <f t="shared" si="9"/>
        <v>ARMUTLU1049</v>
      </c>
      <c r="H479" s="20" t="s">
        <v>138</v>
      </c>
      <c r="I479" s="41">
        <v>330000</v>
      </c>
      <c r="J479" s="21">
        <v>379500</v>
      </c>
    </row>
    <row r="480" spans="1:10">
      <c r="A480" s="20" t="s">
        <v>14</v>
      </c>
      <c r="B480" s="20" t="s">
        <v>33</v>
      </c>
      <c r="C480" s="20" t="s">
        <v>34</v>
      </c>
      <c r="D480" s="20">
        <v>581.29999999999995</v>
      </c>
      <c r="E480" s="20">
        <v>104</v>
      </c>
      <c r="F480" s="23">
        <v>10</v>
      </c>
      <c r="G480" s="35" t="str">
        <f t="shared" si="9"/>
        <v>ARMUTLU10410</v>
      </c>
      <c r="H480" s="20" t="s">
        <v>138</v>
      </c>
      <c r="I480" s="41">
        <v>325000</v>
      </c>
      <c r="J480" s="21">
        <v>373750</v>
      </c>
    </row>
    <row r="481" spans="1:10">
      <c r="A481" s="20" t="s">
        <v>14</v>
      </c>
      <c r="B481" s="20" t="s">
        <v>33</v>
      </c>
      <c r="C481" s="20" t="s">
        <v>34</v>
      </c>
      <c r="D481" s="20">
        <v>606.94000000000005</v>
      </c>
      <c r="E481" s="20">
        <v>104</v>
      </c>
      <c r="F481" s="23">
        <v>18</v>
      </c>
      <c r="G481" s="35" t="str">
        <f t="shared" si="9"/>
        <v>ARMUTLU10418</v>
      </c>
      <c r="H481" s="20" t="s">
        <v>138</v>
      </c>
      <c r="I481" s="41">
        <v>340000</v>
      </c>
      <c r="J481" s="21">
        <v>391000</v>
      </c>
    </row>
    <row r="482" spans="1:10">
      <c r="A482" s="20" t="s">
        <v>14</v>
      </c>
      <c r="B482" s="20" t="s">
        <v>33</v>
      </c>
      <c r="C482" s="20" t="s">
        <v>34</v>
      </c>
      <c r="D482" s="20">
        <v>559.88</v>
      </c>
      <c r="E482" s="20">
        <v>104</v>
      </c>
      <c r="F482" s="23">
        <v>4</v>
      </c>
      <c r="G482" s="35" t="str">
        <f t="shared" si="9"/>
        <v>ARMUTLU1044</v>
      </c>
      <c r="H482" s="20" t="s">
        <v>138</v>
      </c>
      <c r="I482" s="41">
        <v>310000</v>
      </c>
      <c r="J482" s="21">
        <v>356500</v>
      </c>
    </row>
    <row r="483" spans="1:10">
      <c r="A483" s="64" t="s">
        <v>14</v>
      </c>
      <c r="B483" s="35" t="s">
        <v>33</v>
      </c>
      <c r="C483" s="35" t="s">
        <v>42</v>
      </c>
      <c r="D483" s="35">
        <v>453.53</v>
      </c>
      <c r="E483" s="35">
        <v>119</v>
      </c>
      <c r="F483" s="2">
        <v>16</v>
      </c>
      <c r="G483" s="35" t="str">
        <f t="shared" si="9"/>
        <v>İBİLLER11916</v>
      </c>
      <c r="H483" s="35" t="s">
        <v>137</v>
      </c>
      <c r="I483" s="49">
        <f>(($J$471+$J$472+$J$473)/($D$471+$D$472+$D$473))*D483</f>
        <v>288203.83309565438</v>
      </c>
      <c r="J483" s="48"/>
    </row>
    <row r="484" spans="1:10">
      <c r="A484" s="64" t="s">
        <v>14</v>
      </c>
      <c r="B484" s="35" t="s">
        <v>33</v>
      </c>
      <c r="C484" s="35" t="s">
        <v>42</v>
      </c>
      <c r="D484" s="35">
        <v>407.79</v>
      </c>
      <c r="E484" s="35">
        <v>119</v>
      </c>
      <c r="F484" s="2">
        <v>17</v>
      </c>
      <c r="G484" s="35" t="str">
        <f t="shared" si="9"/>
        <v>İBİLLER11917</v>
      </c>
      <c r="H484" s="35" t="s">
        <v>137</v>
      </c>
      <c r="I484" s="49">
        <f>(($J$471+$J$472+$J$473)/($D$471+$D$472+$D$473))*D484</f>
        <v>259137.52364358897</v>
      </c>
      <c r="J484" s="48"/>
    </row>
    <row r="485" spans="1:10">
      <c r="A485" s="64" t="s">
        <v>14</v>
      </c>
      <c r="B485" s="35" t="s">
        <v>33</v>
      </c>
      <c r="C485" s="35" t="s">
        <v>42</v>
      </c>
      <c r="D485" s="35">
        <v>407.52</v>
      </c>
      <c r="E485" s="35">
        <v>119</v>
      </c>
      <c r="F485" s="2">
        <v>18</v>
      </c>
      <c r="G485" s="35" t="str">
        <f t="shared" si="9"/>
        <v>İBİLLER11918</v>
      </c>
      <c r="H485" s="35" t="s">
        <v>137</v>
      </c>
      <c r="I485" s="49">
        <f>(($J$471+$J$472+$J$473)/($D$471+$D$472+$D$473))*D485</f>
        <v>258965.94726510058</v>
      </c>
      <c r="J485" s="48"/>
    </row>
    <row r="486" spans="1:10">
      <c r="A486" s="20" t="s">
        <v>14</v>
      </c>
      <c r="B486" s="20" t="s">
        <v>33</v>
      </c>
      <c r="C486" s="20" t="s">
        <v>34</v>
      </c>
      <c r="D486" s="20">
        <v>559.95000000000005</v>
      </c>
      <c r="E486" s="20">
        <v>104</v>
      </c>
      <c r="F486" s="23">
        <v>8</v>
      </c>
      <c r="G486" s="35" t="str">
        <f t="shared" si="9"/>
        <v>ARMUTLU1048</v>
      </c>
      <c r="H486" s="20" t="s">
        <v>138</v>
      </c>
      <c r="I486" s="41">
        <v>310000</v>
      </c>
      <c r="J486" s="21">
        <v>356500</v>
      </c>
    </row>
    <row r="487" spans="1:10">
      <c r="A487" s="20" t="s">
        <v>14</v>
      </c>
      <c r="B487" s="20" t="s">
        <v>33</v>
      </c>
      <c r="C487" s="20" t="s">
        <v>34</v>
      </c>
      <c r="D487" s="20">
        <v>549.34</v>
      </c>
      <c r="E487" s="20">
        <v>104</v>
      </c>
      <c r="F487" s="23">
        <v>11</v>
      </c>
      <c r="G487" s="35" t="str">
        <f t="shared" si="9"/>
        <v>ARMUTLU10411</v>
      </c>
      <c r="H487" s="20" t="s">
        <v>138</v>
      </c>
      <c r="I487" s="41">
        <v>305000</v>
      </c>
      <c r="J487" s="21">
        <v>350000</v>
      </c>
    </row>
    <row r="488" spans="1:10">
      <c r="A488" s="20" t="s">
        <v>14</v>
      </c>
      <c r="B488" s="20" t="s">
        <v>33</v>
      </c>
      <c r="C488" s="20" t="s">
        <v>34</v>
      </c>
      <c r="D488" s="20">
        <v>549.23</v>
      </c>
      <c r="E488" s="20">
        <v>104</v>
      </c>
      <c r="F488" s="23">
        <v>12</v>
      </c>
      <c r="G488" s="35" t="str">
        <f t="shared" si="9"/>
        <v>ARMUTLU10412</v>
      </c>
      <c r="H488" s="20" t="s">
        <v>138</v>
      </c>
      <c r="I488" s="41">
        <v>305000</v>
      </c>
      <c r="J488" s="21">
        <v>350000</v>
      </c>
    </row>
    <row r="489" spans="1:10">
      <c r="A489" s="64" t="s">
        <v>14</v>
      </c>
      <c r="B489" s="35" t="s">
        <v>33</v>
      </c>
      <c r="C489" s="35" t="s">
        <v>42</v>
      </c>
      <c r="D489" s="35">
        <v>407.09</v>
      </c>
      <c r="E489" s="35">
        <v>119</v>
      </c>
      <c r="F489" s="2">
        <v>19</v>
      </c>
      <c r="G489" s="35" t="str">
        <f t="shared" si="9"/>
        <v>İBİLLER11919</v>
      </c>
      <c r="H489" s="35" t="s">
        <v>137</v>
      </c>
      <c r="I489" s="49">
        <f>(($J$471+$J$472+$J$473)/($D$471+$D$472+$D$473))*D489</f>
        <v>258692.69599565616</v>
      </c>
      <c r="J489" s="48"/>
    </row>
    <row r="490" spans="1:10">
      <c r="A490" s="20" t="s">
        <v>14</v>
      </c>
      <c r="B490" s="20" t="s">
        <v>33</v>
      </c>
      <c r="C490" s="20" t="s">
        <v>34</v>
      </c>
      <c r="D490" s="20">
        <v>549.04</v>
      </c>
      <c r="E490" s="20">
        <v>104</v>
      </c>
      <c r="F490" s="23">
        <v>14</v>
      </c>
      <c r="G490" s="35" t="str">
        <f t="shared" si="9"/>
        <v>ARMUTLU10414</v>
      </c>
      <c r="H490" s="20" t="s">
        <v>138</v>
      </c>
      <c r="I490" s="41">
        <v>305000</v>
      </c>
      <c r="J490" s="21">
        <v>350000</v>
      </c>
    </row>
    <row r="491" spans="1:10">
      <c r="A491" s="20" t="s">
        <v>14</v>
      </c>
      <c r="B491" s="20" t="s">
        <v>33</v>
      </c>
      <c r="C491" s="20" t="s">
        <v>34</v>
      </c>
      <c r="D491" s="20">
        <v>548.89</v>
      </c>
      <c r="E491" s="20">
        <v>104</v>
      </c>
      <c r="F491" s="23">
        <v>15</v>
      </c>
      <c r="G491" s="35" t="str">
        <f t="shared" si="9"/>
        <v>ARMUTLU10415</v>
      </c>
      <c r="H491" s="20" t="s">
        <v>138</v>
      </c>
      <c r="I491" s="41">
        <v>305000</v>
      </c>
      <c r="J491" s="21">
        <v>350000</v>
      </c>
    </row>
    <row r="492" spans="1:10">
      <c r="A492" s="20" t="s">
        <v>14</v>
      </c>
      <c r="B492" s="20" t="s">
        <v>33</v>
      </c>
      <c r="C492" s="20" t="s">
        <v>34</v>
      </c>
      <c r="D492" s="20">
        <v>548.78</v>
      </c>
      <c r="E492" s="20">
        <v>104</v>
      </c>
      <c r="F492" s="23">
        <v>16</v>
      </c>
      <c r="G492" s="35" t="str">
        <f t="shared" si="9"/>
        <v>ARMUTLU10416</v>
      </c>
      <c r="H492" s="20" t="s">
        <v>138</v>
      </c>
      <c r="I492" s="41">
        <v>305000</v>
      </c>
      <c r="J492" s="21">
        <v>350000</v>
      </c>
    </row>
    <row r="493" spans="1:10">
      <c r="A493" s="20" t="s">
        <v>14</v>
      </c>
      <c r="B493" s="20" t="s">
        <v>33</v>
      </c>
      <c r="C493" s="20" t="s">
        <v>34</v>
      </c>
      <c r="D493" s="20">
        <v>548.66999999999996</v>
      </c>
      <c r="E493" s="20">
        <v>104</v>
      </c>
      <c r="F493" s="23">
        <v>17</v>
      </c>
      <c r="G493" s="35" t="str">
        <f t="shared" si="9"/>
        <v>ARMUTLU10417</v>
      </c>
      <c r="H493" s="20" t="s">
        <v>138</v>
      </c>
      <c r="I493" s="41">
        <v>305000</v>
      </c>
      <c r="J493" s="21">
        <v>356500</v>
      </c>
    </row>
    <row r="494" spans="1:10">
      <c r="A494" s="20" t="s">
        <v>14</v>
      </c>
      <c r="B494" s="20" t="s">
        <v>33</v>
      </c>
      <c r="C494" s="20" t="s">
        <v>34</v>
      </c>
      <c r="D494" s="20">
        <v>693.25</v>
      </c>
      <c r="E494" s="20">
        <v>105</v>
      </c>
      <c r="F494" s="23">
        <v>1</v>
      </c>
      <c r="G494" s="35" t="str">
        <f t="shared" si="9"/>
        <v>ARMUTLU1051</v>
      </c>
      <c r="H494" s="20" t="s">
        <v>138</v>
      </c>
      <c r="I494" s="41">
        <v>390000</v>
      </c>
      <c r="J494" s="21">
        <v>448500</v>
      </c>
    </row>
    <row r="495" spans="1:10">
      <c r="A495" s="64" t="s">
        <v>14</v>
      </c>
      <c r="B495" s="35" t="s">
        <v>33</v>
      </c>
      <c r="C495" s="35" t="s">
        <v>42</v>
      </c>
      <c r="D495" s="35">
        <v>340.67</v>
      </c>
      <c r="E495" s="35">
        <v>119</v>
      </c>
      <c r="F495" s="2">
        <v>20</v>
      </c>
      <c r="G495" s="35" t="str">
        <f t="shared" si="9"/>
        <v>İBİLLER11920</v>
      </c>
      <c r="H495" s="35" t="s">
        <v>137</v>
      </c>
      <c r="I495" s="49">
        <f>($J$460/$D$460)*D495</f>
        <v>373924.33777257433</v>
      </c>
      <c r="J495" s="48"/>
    </row>
    <row r="496" spans="1:10">
      <c r="A496" s="20" t="s">
        <v>14</v>
      </c>
      <c r="B496" s="20" t="s">
        <v>33</v>
      </c>
      <c r="C496" s="20" t="s">
        <v>34</v>
      </c>
      <c r="D496" s="20">
        <v>554.96</v>
      </c>
      <c r="E496" s="20">
        <v>105</v>
      </c>
      <c r="F496" s="23">
        <v>16</v>
      </c>
      <c r="G496" s="35" t="str">
        <f t="shared" si="9"/>
        <v>ARMUTLU10516</v>
      </c>
      <c r="H496" s="20" t="s">
        <v>138</v>
      </c>
      <c r="I496" s="41">
        <v>310000</v>
      </c>
      <c r="J496" s="21">
        <v>356500</v>
      </c>
    </row>
    <row r="497" spans="1:10">
      <c r="A497" s="20" t="s">
        <v>14</v>
      </c>
      <c r="B497" s="20" t="s">
        <v>33</v>
      </c>
      <c r="C497" s="20" t="s">
        <v>34</v>
      </c>
      <c r="D497" s="20">
        <v>577.46</v>
      </c>
      <c r="E497" s="20">
        <v>106</v>
      </c>
      <c r="F497" s="23">
        <v>1</v>
      </c>
      <c r="G497" s="35" t="str">
        <f t="shared" si="9"/>
        <v>ARMUTLU1061</v>
      </c>
      <c r="H497" s="20" t="s">
        <v>141</v>
      </c>
      <c r="I497" s="41">
        <v>325000</v>
      </c>
      <c r="J497" s="21">
        <v>373750</v>
      </c>
    </row>
    <row r="498" spans="1:10">
      <c r="A498" s="20" t="s">
        <v>14</v>
      </c>
      <c r="B498" s="20" t="s">
        <v>33</v>
      </c>
      <c r="C498" s="20" t="s">
        <v>34</v>
      </c>
      <c r="D498" s="20">
        <v>565.64</v>
      </c>
      <c r="E498" s="20">
        <v>106</v>
      </c>
      <c r="F498" s="23">
        <v>9</v>
      </c>
      <c r="G498" s="35" t="str">
        <f t="shared" si="9"/>
        <v>ARMUTLU1069</v>
      </c>
      <c r="H498" s="20" t="s">
        <v>141</v>
      </c>
      <c r="I498" s="41">
        <v>320000</v>
      </c>
      <c r="J498" s="21">
        <v>368000</v>
      </c>
    </row>
    <row r="499" spans="1:10">
      <c r="A499" s="20" t="s">
        <v>14</v>
      </c>
      <c r="B499" s="20" t="s">
        <v>33</v>
      </c>
      <c r="C499" s="20" t="s">
        <v>34</v>
      </c>
      <c r="D499" s="20">
        <v>620.21</v>
      </c>
      <c r="E499" s="20">
        <v>117</v>
      </c>
      <c r="F499" s="23">
        <v>9</v>
      </c>
      <c r="G499" s="35" t="str">
        <f t="shared" si="9"/>
        <v>ARMUTLU1179</v>
      </c>
      <c r="H499" s="20" t="s">
        <v>138</v>
      </c>
      <c r="I499" s="41">
        <v>350000</v>
      </c>
      <c r="J499" s="21">
        <v>402500</v>
      </c>
    </row>
    <row r="500" spans="1:10">
      <c r="A500" s="64" t="s">
        <v>14</v>
      </c>
      <c r="B500" s="35" t="s">
        <v>33</v>
      </c>
      <c r="C500" s="35" t="s">
        <v>42</v>
      </c>
      <c r="D500" s="35">
        <v>342.63</v>
      </c>
      <c r="E500" s="35">
        <v>119</v>
      </c>
      <c r="F500" s="2">
        <v>21</v>
      </c>
      <c r="G500" s="35" t="str">
        <f t="shared" si="9"/>
        <v>İBİLLER11921</v>
      </c>
      <c r="H500" s="35" t="s">
        <v>137</v>
      </c>
      <c r="I500" s="49">
        <f>($J$460/$D$460)*D500</f>
        <v>376075.66222742578</v>
      </c>
      <c r="J500" s="48"/>
    </row>
    <row r="501" spans="1:10">
      <c r="A501" s="62" t="s">
        <v>14</v>
      </c>
      <c r="B501" s="42" t="s">
        <v>15</v>
      </c>
      <c r="C501" s="42" t="s">
        <v>16</v>
      </c>
      <c r="D501" s="42">
        <v>510.06</v>
      </c>
      <c r="E501" s="42">
        <v>178</v>
      </c>
      <c r="F501" s="50">
        <v>11</v>
      </c>
      <c r="G501" s="35" t="str">
        <f t="shared" si="9"/>
        <v>REŞADİYE17811</v>
      </c>
      <c r="H501" s="42" t="s">
        <v>137</v>
      </c>
      <c r="I501" s="61">
        <f>($J$351/$D$351)*501</f>
        <v>257729.85949607208</v>
      </c>
      <c r="J501" s="42"/>
    </row>
    <row r="502" spans="1:10">
      <c r="A502" s="64" t="s">
        <v>14</v>
      </c>
      <c r="B502" s="35" t="s">
        <v>33</v>
      </c>
      <c r="C502" s="35" t="s">
        <v>42</v>
      </c>
      <c r="D502" s="35">
        <v>320.67</v>
      </c>
      <c r="E502" s="35">
        <v>119</v>
      </c>
      <c r="F502" s="2">
        <v>22</v>
      </c>
      <c r="G502" s="35" t="str">
        <f t="shared" si="9"/>
        <v>İBİLLER11922</v>
      </c>
      <c r="H502" s="35" t="s">
        <v>137</v>
      </c>
      <c r="I502" s="49">
        <f>($J$466/$D$466)*D502</f>
        <v>351355.00365230098</v>
      </c>
      <c r="J502" s="48"/>
    </row>
    <row r="503" spans="1:10">
      <c r="A503" s="62" t="s">
        <v>14</v>
      </c>
      <c r="B503" s="42" t="s">
        <v>15</v>
      </c>
      <c r="C503" s="42" t="s">
        <v>16</v>
      </c>
      <c r="D503" s="42">
        <v>423.01</v>
      </c>
      <c r="E503" s="42">
        <v>178</v>
      </c>
      <c r="F503" s="50">
        <v>12</v>
      </c>
      <c r="G503" s="35" t="str">
        <f t="shared" si="9"/>
        <v>REŞADİYE17812</v>
      </c>
      <c r="H503" s="42" t="s">
        <v>137</v>
      </c>
      <c r="I503" s="61">
        <f>($J$351/$D$351)*501</f>
        <v>257729.85949607208</v>
      </c>
      <c r="J503" s="42"/>
    </row>
    <row r="504" spans="1:10">
      <c r="A504" s="64" t="s">
        <v>14</v>
      </c>
      <c r="B504" s="35" t="s">
        <v>33</v>
      </c>
      <c r="C504" s="35" t="s">
        <v>42</v>
      </c>
      <c r="D504" s="35">
        <v>363.83</v>
      </c>
      <c r="E504" s="35">
        <v>119</v>
      </c>
      <c r="F504" s="2">
        <v>23</v>
      </c>
      <c r="G504" s="35" t="str">
        <f t="shared" si="9"/>
        <v>İBİLLER11923</v>
      </c>
      <c r="H504" s="35" t="s">
        <v>137</v>
      </c>
      <c r="I504" s="49">
        <f>($J$466/$D$466)*D504</f>
        <v>398644.99634769902</v>
      </c>
      <c r="J504" s="48"/>
    </row>
    <row r="505" spans="1:10">
      <c r="A505" s="63" t="s">
        <v>14</v>
      </c>
      <c r="B505" s="36" t="s">
        <v>33</v>
      </c>
      <c r="C505" s="36" t="s">
        <v>42</v>
      </c>
      <c r="D505" s="36">
        <v>787.26</v>
      </c>
      <c r="E505" s="36">
        <v>120</v>
      </c>
      <c r="F505" s="39">
        <v>1</v>
      </c>
      <c r="G505" s="35" t="str">
        <f t="shared" si="9"/>
        <v>İBİLLER1201</v>
      </c>
      <c r="H505" s="36" t="s">
        <v>137</v>
      </c>
      <c r="I505" s="38">
        <v>480000</v>
      </c>
      <c r="J505" s="38">
        <v>481000</v>
      </c>
    </row>
    <row r="506" spans="1:10">
      <c r="A506" s="63" t="s">
        <v>14</v>
      </c>
      <c r="B506" s="36" t="s">
        <v>33</v>
      </c>
      <c r="C506" s="36" t="s">
        <v>42</v>
      </c>
      <c r="D506" s="36">
        <v>664.41</v>
      </c>
      <c r="E506" s="36">
        <v>120</v>
      </c>
      <c r="F506" s="39">
        <v>2</v>
      </c>
      <c r="G506" s="35" t="str">
        <f t="shared" si="9"/>
        <v>İBİLLER1202</v>
      </c>
      <c r="H506" s="36" t="s">
        <v>137</v>
      </c>
      <c r="I506" s="38">
        <v>340000</v>
      </c>
      <c r="J506" s="38">
        <v>346800</v>
      </c>
    </row>
    <row r="507" spans="1:10">
      <c r="A507" s="20" t="s">
        <v>14</v>
      </c>
      <c r="B507" s="20" t="s">
        <v>15</v>
      </c>
      <c r="C507" s="20" t="s">
        <v>16</v>
      </c>
      <c r="D507" s="20">
        <v>630.29999999999995</v>
      </c>
      <c r="E507" s="34">
        <v>179</v>
      </c>
      <c r="F507" s="20">
        <v>3</v>
      </c>
      <c r="G507" s="35" t="str">
        <f t="shared" si="9"/>
        <v>REŞADİYE1793</v>
      </c>
      <c r="H507" s="20" t="s">
        <v>137</v>
      </c>
      <c r="I507" s="21">
        <v>150000</v>
      </c>
      <c r="J507" s="21">
        <v>165000</v>
      </c>
    </row>
    <row r="508" spans="1:10">
      <c r="A508" s="42" t="s">
        <v>14</v>
      </c>
      <c r="B508" s="42" t="s">
        <v>15</v>
      </c>
      <c r="C508" s="42" t="s">
        <v>16</v>
      </c>
      <c r="D508" s="42">
        <v>613.58000000000004</v>
      </c>
      <c r="E508" s="43">
        <v>179</v>
      </c>
      <c r="F508" s="42">
        <v>2</v>
      </c>
      <c r="G508" s="35" t="str">
        <f t="shared" si="9"/>
        <v>REŞADİYE1792</v>
      </c>
      <c r="H508" s="42" t="s">
        <v>137</v>
      </c>
      <c r="I508" s="44">
        <v>330000</v>
      </c>
      <c r="J508" s="44">
        <v>335000</v>
      </c>
    </row>
    <row r="509" spans="1:10">
      <c r="A509" s="20" t="s">
        <v>14</v>
      </c>
      <c r="B509" s="20" t="s">
        <v>33</v>
      </c>
      <c r="C509" s="20" t="s">
        <v>34</v>
      </c>
      <c r="D509" s="20">
        <v>851.74</v>
      </c>
      <c r="E509" s="20">
        <v>103</v>
      </c>
      <c r="F509" s="23">
        <v>3</v>
      </c>
      <c r="G509" s="35" t="str">
        <f t="shared" si="9"/>
        <v>ARMUTLU1033</v>
      </c>
      <c r="H509" s="20" t="s">
        <v>138</v>
      </c>
      <c r="I509" s="41">
        <v>475000</v>
      </c>
      <c r="J509" s="21">
        <v>600000</v>
      </c>
    </row>
    <row r="510" spans="1:10">
      <c r="A510" s="63" t="s">
        <v>14</v>
      </c>
      <c r="B510" s="36" t="s">
        <v>33</v>
      </c>
      <c r="C510" s="36" t="s">
        <v>42</v>
      </c>
      <c r="D510" s="36">
        <v>744</v>
      </c>
      <c r="E510" s="36">
        <v>120</v>
      </c>
      <c r="F510" s="39">
        <v>3</v>
      </c>
      <c r="G510" s="35" t="str">
        <f t="shared" si="9"/>
        <v>İBİLLER1203</v>
      </c>
      <c r="H510" s="36" t="s">
        <v>137</v>
      </c>
      <c r="I510" s="38">
        <v>380000</v>
      </c>
      <c r="J510" s="38">
        <v>387600</v>
      </c>
    </row>
    <row r="511" spans="1:10">
      <c r="A511" s="63" t="s">
        <v>14</v>
      </c>
      <c r="B511" s="36" t="s">
        <v>33</v>
      </c>
      <c r="C511" s="36" t="s">
        <v>42</v>
      </c>
      <c r="D511" s="36">
        <v>727.1</v>
      </c>
      <c r="E511" s="36">
        <v>120</v>
      </c>
      <c r="F511" s="39">
        <v>4</v>
      </c>
      <c r="G511" s="35" t="str">
        <f t="shared" si="9"/>
        <v>İBİLLER1204</v>
      </c>
      <c r="H511" s="36" t="s">
        <v>137</v>
      </c>
      <c r="I511" s="38">
        <v>440000</v>
      </c>
      <c r="J511" s="38">
        <v>441000</v>
      </c>
    </row>
    <row r="512" spans="1:10">
      <c r="A512" s="64" t="s">
        <v>14</v>
      </c>
      <c r="B512" s="35" t="s">
        <v>33</v>
      </c>
      <c r="C512" s="35" t="s">
        <v>42</v>
      </c>
      <c r="D512" s="35">
        <v>372.7</v>
      </c>
      <c r="E512" s="35">
        <v>120</v>
      </c>
      <c r="F512" s="2">
        <v>6</v>
      </c>
      <c r="G512" s="35" t="str">
        <f t="shared" si="9"/>
        <v>İBİLLER1206</v>
      </c>
      <c r="H512" s="35" t="s">
        <v>137</v>
      </c>
      <c r="I512" s="49">
        <f>($J$505+$J$506+$J$510+$J$511)/($D$505+$D$506+$D$510+$D$511)*D512</f>
        <v>211217.53678873123</v>
      </c>
      <c r="J512" s="48"/>
    </row>
    <row r="513" spans="1:10">
      <c r="A513" s="64" t="s">
        <v>14</v>
      </c>
      <c r="B513" s="35" t="s">
        <v>33</v>
      </c>
      <c r="C513" s="35" t="s">
        <v>42</v>
      </c>
      <c r="D513" s="35">
        <v>384.49</v>
      </c>
      <c r="E513" s="35">
        <v>120</v>
      </c>
      <c r="F513" s="2">
        <v>7</v>
      </c>
      <c r="G513" s="35" t="str">
        <f t="shared" si="9"/>
        <v>İBİLLER1207</v>
      </c>
      <c r="H513" s="35" t="s">
        <v>137</v>
      </c>
      <c r="I513" s="49">
        <f>($J$505+$J$506+$J$510+$J$511)/($D$505+$D$506+$D$510+$D$511)*D513</f>
        <v>217899.19699463181</v>
      </c>
      <c r="J513" s="48"/>
    </row>
    <row r="514" spans="1:10">
      <c r="A514" s="64" t="s">
        <v>14</v>
      </c>
      <c r="B514" s="35" t="s">
        <v>33</v>
      </c>
      <c r="C514" s="35" t="s">
        <v>42</v>
      </c>
      <c r="D514" s="35">
        <v>384.49</v>
      </c>
      <c r="E514" s="35">
        <v>120</v>
      </c>
      <c r="F514" s="2">
        <v>12</v>
      </c>
      <c r="G514" s="35" t="str">
        <f t="shared" si="9"/>
        <v>İBİLLER12012</v>
      </c>
      <c r="H514" s="35" t="s">
        <v>137</v>
      </c>
      <c r="I514" s="49">
        <f>($J$505+$J$506+$J$510+$J$511)/($D$505+$D$506+$D$510+$D$511)*D514</f>
        <v>217899.19699463181</v>
      </c>
      <c r="J514" s="48"/>
    </row>
    <row r="515" spans="1:10">
      <c r="A515" s="64" t="s">
        <v>14</v>
      </c>
      <c r="B515" s="35" t="s">
        <v>33</v>
      </c>
      <c r="C515" s="35" t="s">
        <v>42</v>
      </c>
      <c r="D515" s="35">
        <v>372.72</v>
      </c>
      <c r="E515" s="35">
        <v>120</v>
      </c>
      <c r="F515" s="2">
        <v>13</v>
      </c>
      <c r="G515" s="35" t="str">
        <f t="shared" ref="G515:G578" si="10">C515&amp;E515&amp;F515</f>
        <v>İBİLLER12013</v>
      </c>
      <c r="H515" s="35" t="s">
        <v>137</v>
      </c>
      <c r="I515" s="49">
        <f>($J$505+$J$506+$J$510+$J$511)/($D$505+$D$506+$D$510+$D$511)*D515</f>
        <v>211228.87124200675</v>
      </c>
      <c r="J515" s="48"/>
    </row>
    <row r="516" spans="1:10">
      <c r="A516" s="64" t="s">
        <v>14</v>
      </c>
      <c r="B516" s="35" t="s">
        <v>33</v>
      </c>
      <c r="C516" s="35" t="s">
        <v>42</v>
      </c>
      <c r="D516" s="35">
        <v>352.1</v>
      </c>
      <c r="E516" s="35">
        <v>120</v>
      </c>
      <c r="F516" s="2">
        <v>10</v>
      </c>
      <c r="G516" s="35" t="str">
        <f t="shared" si="10"/>
        <v>İBİLLER12010</v>
      </c>
      <c r="H516" s="35" t="s">
        <v>137</v>
      </c>
      <c r="I516" s="49">
        <f>($J$505+$J$506+$J$510+$J$511)/($D$505+$D$506+$D$510+$D$511)*D516</f>
        <v>199543.04991497792</v>
      </c>
      <c r="J516" s="48"/>
    </row>
    <row r="517" spans="1:10">
      <c r="A517" s="20" t="s">
        <v>14</v>
      </c>
      <c r="B517" s="20" t="s">
        <v>33</v>
      </c>
      <c r="C517" s="20" t="s">
        <v>34</v>
      </c>
      <c r="D517" s="20">
        <v>561.91</v>
      </c>
      <c r="E517" s="20">
        <v>106</v>
      </c>
      <c r="F517" s="23">
        <v>6</v>
      </c>
      <c r="G517" s="35" t="str">
        <f t="shared" si="10"/>
        <v>ARMUTLU1066</v>
      </c>
      <c r="H517" s="20" t="s">
        <v>141</v>
      </c>
      <c r="I517" s="41">
        <v>310000</v>
      </c>
      <c r="J517" s="21">
        <v>375000</v>
      </c>
    </row>
    <row r="518" spans="1:10">
      <c r="A518" s="20" t="s">
        <v>14</v>
      </c>
      <c r="B518" s="20" t="s">
        <v>33</v>
      </c>
      <c r="C518" s="20" t="s">
        <v>34</v>
      </c>
      <c r="D518" s="20">
        <v>559.51</v>
      </c>
      <c r="E518" s="20">
        <v>106</v>
      </c>
      <c r="F518" s="23">
        <v>7</v>
      </c>
      <c r="G518" s="35" t="str">
        <f t="shared" si="10"/>
        <v>ARMUTLU1067</v>
      </c>
      <c r="H518" s="20" t="s">
        <v>141</v>
      </c>
      <c r="I518" s="41">
        <v>310000</v>
      </c>
      <c r="J518" s="21">
        <v>355000</v>
      </c>
    </row>
    <row r="519" spans="1:10">
      <c r="A519" s="20" t="s">
        <v>14</v>
      </c>
      <c r="B519" s="20" t="s">
        <v>33</v>
      </c>
      <c r="C519" s="20" t="s">
        <v>34</v>
      </c>
      <c r="D519" s="20">
        <v>557.13</v>
      </c>
      <c r="E519" s="20">
        <v>106</v>
      </c>
      <c r="F519" s="23">
        <v>8</v>
      </c>
      <c r="G519" s="35" t="str">
        <f t="shared" si="10"/>
        <v>ARMUTLU1068</v>
      </c>
      <c r="H519" s="20" t="s">
        <v>141</v>
      </c>
      <c r="I519" s="41">
        <v>310000</v>
      </c>
      <c r="J519" s="21">
        <v>355000</v>
      </c>
    </row>
    <row r="520" spans="1:10">
      <c r="A520" s="64" t="s">
        <v>14</v>
      </c>
      <c r="B520" s="35" t="s">
        <v>33</v>
      </c>
      <c r="C520" s="35" t="s">
        <v>42</v>
      </c>
      <c r="D520" s="35">
        <v>352.09</v>
      </c>
      <c r="E520" s="35">
        <v>120</v>
      </c>
      <c r="F520" s="2">
        <v>11</v>
      </c>
      <c r="G520" s="35" t="str">
        <f t="shared" si="10"/>
        <v>İBİLLER12011</v>
      </c>
      <c r="H520" s="35" t="s">
        <v>137</v>
      </c>
      <c r="I520" s="49">
        <f>($J$505+$J$506+$J$510+$J$511)/($D$505+$D$506+$D$510+$D$511)*D520</f>
        <v>199537.38268834015</v>
      </c>
      <c r="J520" s="48"/>
    </row>
    <row r="521" spans="1:10">
      <c r="A521" s="64" t="s">
        <v>14</v>
      </c>
      <c r="B521" s="35" t="s">
        <v>33</v>
      </c>
      <c r="C521" s="35" t="s">
        <v>42</v>
      </c>
      <c r="D521" s="35">
        <v>352.09</v>
      </c>
      <c r="E521" s="35">
        <v>120</v>
      </c>
      <c r="F521" s="2">
        <v>8</v>
      </c>
      <c r="G521" s="35" t="str">
        <f t="shared" si="10"/>
        <v>İBİLLER1208</v>
      </c>
      <c r="H521" s="35" t="s">
        <v>137</v>
      </c>
      <c r="I521" s="49">
        <f>($J$505+$J$506+$J$510+$J$511)/($D$505+$D$506+$D$510+$D$511)*D521</f>
        <v>199537.38268834015</v>
      </c>
      <c r="J521" s="48"/>
    </row>
    <row r="522" spans="1:10">
      <c r="A522" s="64" t="s">
        <v>14</v>
      </c>
      <c r="B522" s="35" t="s">
        <v>33</v>
      </c>
      <c r="C522" s="35" t="s">
        <v>42</v>
      </c>
      <c r="D522" s="35">
        <v>352.09</v>
      </c>
      <c r="E522" s="35">
        <v>120</v>
      </c>
      <c r="F522" s="2">
        <v>9</v>
      </c>
      <c r="G522" s="35" t="str">
        <f t="shared" si="10"/>
        <v>İBİLLER1209</v>
      </c>
      <c r="H522" s="35" t="s">
        <v>137</v>
      </c>
      <c r="I522" s="49">
        <f>($J$505+$J$506+$J$510+$J$511)/($D$505+$D$506+$D$510+$D$511)*D522</f>
        <v>199537.38268834015</v>
      </c>
      <c r="J522" s="48"/>
    </row>
    <row r="523" spans="1:10">
      <c r="A523" s="63" t="s">
        <v>14</v>
      </c>
      <c r="B523" s="36" t="s">
        <v>33</v>
      </c>
      <c r="C523" s="36" t="s">
        <v>42</v>
      </c>
      <c r="D523" s="36">
        <v>658.6</v>
      </c>
      <c r="E523" s="36">
        <v>121</v>
      </c>
      <c r="F523" s="39">
        <v>1</v>
      </c>
      <c r="G523" s="35" t="str">
        <f t="shared" si="10"/>
        <v>İBİLLER1211</v>
      </c>
      <c r="H523" s="36" t="s">
        <v>137</v>
      </c>
      <c r="I523" s="38">
        <v>400000</v>
      </c>
      <c r="J523" s="38"/>
    </row>
    <row r="524" spans="1:10">
      <c r="A524" s="63" t="s">
        <v>14</v>
      </c>
      <c r="B524" s="36" t="s">
        <v>33</v>
      </c>
      <c r="C524" s="36" t="s">
        <v>42</v>
      </c>
      <c r="D524" s="36">
        <v>620</v>
      </c>
      <c r="E524" s="36">
        <v>121</v>
      </c>
      <c r="F524" s="39">
        <v>2</v>
      </c>
      <c r="G524" s="35" t="str">
        <f t="shared" si="10"/>
        <v>İBİLLER1212</v>
      </c>
      <c r="H524" s="36" t="s">
        <v>137</v>
      </c>
      <c r="I524" s="38">
        <v>315000</v>
      </c>
      <c r="J524" s="38"/>
    </row>
    <row r="525" spans="1:10">
      <c r="A525" s="63" t="s">
        <v>14</v>
      </c>
      <c r="B525" s="36" t="s">
        <v>33</v>
      </c>
      <c r="C525" s="36" t="s">
        <v>42</v>
      </c>
      <c r="D525" s="36">
        <v>651</v>
      </c>
      <c r="E525" s="36">
        <v>121</v>
      </c>
      <c r="F525" s="39">
        <v>3</v>
      </c>
      <c r="G525" s="35" t="str">
        <f t="shared" si="10"/>
        <v>İBİLLER1213</v>
      </c>
      <c r="H525" s="36" t="s">
        <v>137</v>
      </c>
      <c r="I525" s="38">
        <v>330000</v>
      </c>
      <c r="J525" s="38"/>
    </row>
    <row r="526" spans="1:10">
      <c r="A526" s="63" t="s">
        <v>14</v>
      </c>
      <c r="B526" s="36" t="s">
        <v>33</v>
      </c>
      <c r="C526" s="36" t="s">
        <v>42</v>
      </c>
      <c r="D526" s="36">
        <v>685.98</v>
      </c>
      <c r="E526" s="36">
        <v>121</v>
      </c>
      <c r="F526" s="39">
        <v>4</v>
      </c>
      <c r="G526" s="35" t="str">
        <f t="shared" si="10"/>
        <v>İBİLLER1214</v>
      </c>
      <c r="H526" s="36" t="s">
        <v>137</v>
      </c>
      <c r="I526" s="38">
        <v>420000</v>
      </c>
      <c r="J526" s="38"/>
    </row>
    <row r="527" spans="1:10">
      <c r="A527" s="64" t="s">
        <v>14</v>
      </c>
      <c r="B527" s="35" t="s">
        <v>33</v>
      </c>
      <c r="C527" s="35" t="s">
        <v>42</v>
      </c>
      <c r="D527" s="35">
        <v>458.32</v>
      </c>
      <c r="E527" s="35">
        <v>122</v>
      </c>
      <c r="F527" s="2">
        <v>29</v>
      </c>
      <c r="G527" s="35" t="str">
        <f t="shared" si="10"/>
        <v>İBİLLER12229</v>
      </c>
      <c r="H527" s="35" t="s">
        <v>137</v>
      </c>
      <c r="I527" s="49">
        <f>($I$621+$I$622)/($D$621+$D$622)*D527</f>
        <v>256701.983663944</v>
      </c>
      <c r="J527" s="48"/>
    </row>
    <row r="528" spans="1:10">
      <c r="A528" s="64" t="s">
        <v>14</v>
      </c>
      <c r="B528" s="35" t="s">
        <v>33</v>
      </c>
      <c r="C528" s="35" t="s">
        <v>42</v>
      </c>
      <c r="D528" s="35">
        <v>378.79</v>
      </c>
      <c r="E528" s="35">
        <v>122</v>
      </c>
      <c r="F528" s="2">
        <v>30</v>
      </c>
      <c r="G528" s="35" t="str">
        <f t="shared" si="10"/>
        <v>İBİLLER12230</v>
      </c>
      <c r="H528" s="35" t="s">
        <v>137</v>
      </c>
      <c r="I528" s="49">
        <f>($I$628/$D$628)*D528</f>
        <v>229098.82192069004</v>
      </c>
      <c r="J528" s="48"/>
    </row>
    <row r="529" spans="1:10">
      <c r="A529" s="64" t="s">
        <v>14</v>
      </c>
      <c r="B529" s="35" t="s">
        <v>33</v>
      </c>
      <c r="C529" s="35" t="s">
        <v>42</v>
      </c>
      <c r="D529" s="35">
        <v>381.77</v>
      </c>
      <c r="E529" s="35">
        <v>122</v>
      </c>
      <c r="F529" s="2">
        <v>31</v>
      </c>
      <c r="G529" s="35" t="str">
        <f t="shared" si="10"/>
        <v>İBİLLER12231</v>
      </c>
      <c r="H529" s="35" t="s">
        <v>137</v>
      </c>
      <c r="I529" s="49">
        <f>($I$628/$D$628)*D529</f>
        <v>230901.17807930999</v>
      </c>
      <c r="J529" s="48"/>
    </row>
    <row r="530" spans="1:10">
      <c r="A530" s="64" t="s">
        <v>14</v>
      </c>
      <c r="B530" s="35" t="s">
        <v>33</v>
      </c>
      <c r="C530" s="35" t="s">
        <v>42</v>
      </c>
      <c r="D530" s="35">
        <v>389.95</v>
      </c>
      <c r="E530" s="35">
        <v>122</v>
      </c>
      <c r="F530" s="2">
        <v>33</v>
      </c>
      <c r="G530" s="35" t="str">
        <f t="shared" si="10"/>
        <v>İBİLLER12233</v>
      </c>
      <c r="H530" s="35" t="s">
        <v>137</v>
      </c>
      <c r="I530" s="49">
        <f t="shared" ref="I530:I536" si="11">($I$629+$I$630+$I$631+$I$632)/($D$629+$D$630+$D$631+$D$632)*D530</f>
        <v>236264.98239088571</v>
      </c>
      <c r="J530" s="48"/>
    </row>
    <row r="531" spans="1:10">
      <c r="A531" s="64" t="s">
        <v>14</v>
      </c>
      <c r="B531" s="35" t="s">
        <v>33</v>
      </c>
      <c r="C531" s="35" t="s">
        <v>42</v>
      </c>
      <c r="D531" s="35">
        <v>389.99</v>
      </c>
      <c r="E531" s="35">
        <v>122</v>
      </c>
      <c r="F531" s="1">
        <v>34</v>
      </c>
      <c r="G531" s="35" t="str">
        <f t="shared" si="10"/>
        <v>İBİLLER12234</v>
      </c>
      <c r="H531" s="35" t="s">
        <v>137</v>
      </c>
      <c r="I531" s="49">
        <f t="shared" si="11"/>
        <v>236289.21780387621</v>
      </c>
      <c r="J531" s="48"/>
    </row>
    <row r="532" spans="1:10">
      <c r="A532" s="64" t="s">
        <v>14</v>
      </c>
      <c r="B532" s="35" t="s">
        <v>33</v>
      </c>
      <c r="C532" s="35" t="s">
        <v>42</v>
      </c>
      <c r="D532" s="35">
        <v>389.99</v>
      </c>
      <c r="E532" s="35">
        <v>122</v>
      </c>
      <c r="F532" s="1">
        <v>35</v>
      </c>
      <c r="G532" s="35" t="str">
        <f t="shared" si="10"/>
        <v>İBİLLER12235</v>
      </c>
      <c r="H532" s="35" t="s">
        <v>137</v>
      </c>
      <c r="I532" s="49">
        <f t="shared" si="11"/>
        <v>236289.21780387621</v>
      </c>
      <c r="J532" s="48"/>
    </row>
    <row r="533" spans="1:10">
      <c r="A533" s="64" t="s">
        <v>14</v>
      </c>
      <c r="B533" s="35" t="s">
        <v>33</v>
      </c>
      <c r="C533" s="35" t="s">
        <v>42</v>
      </c>
      <c r="D533" s="35">
        <v>390.07</v>
      </c>
      <c r="E533" s="35">
        <v>122</v>
      </c>
      <c r="F533" s="1">
        <v>36</v>
      </c>
      <c r="G533" s="35" t="str">
        <f t="shared" si="10"/>
        <v>İBİLLER12236</v>
      </c>
      <c r="H533" s="35" t="s">
        <v>137</v>
      </c>
      <c r="I533" s="49">
        <f t="shared" si="11"/>
        <v>236337.68862985715</v>
      </c>
      <c r="J533" s="48"/>
    </row>
    <row r="534" spans="1:10">
      <c r="A534" s="64" t="s">
        <v>14</v>
      </c>
      <c r="B534" s="35" t="s">
        <v>33</v>
      </c>
      <c r="C534" s="35" t="s">
        <v>42</v>
      </c>
      <c r="D534" s="35">
        <v>390.18</v>
      </c>
      <c r="E534" s="35">
        <v>122</v>
      </c>
      <c r="F534" s="1">
        <v>37</v>
      </c>
      <c r="G534" s="35" t="str">
        <f t="shared" si="10"/>
        <v>İBİLLER12237</v>
      </c>
      <c r="H534" s="35" t="s">
        <v>137</v>
      </c>
      <c r="I534" s="49">
        <f t="shared" si="11"/>
        <v>236404.33601558095</v>
      </c>
      <c r="J534" s="48"/>
    </row>
    <row r="535" spans="1:10">
      <c r="A535" s="64" t="s">
        <v>14</v>
      </c>
      <c r="B535" s="35" t="s">
        <v>33</v>
      </c>
      <c r="C535" s="35" t="s">
        <v>42</v>
      </c>
      <c r="D535" s="35">
        <v>390.26</v>
      </c>
      <c r="E535" s="35">
        <v>122</v>
      </c>
      <c r="F535" s="1">
        <v>38</v>
      </c>
      <c r="G535" s="35" t="str">
        <f t="shared" si="10"/>
        <v>İBİLLER12238</v>
      </c>
      <c r="H535" s="35" t="s">
        <v>137</v>
      </c>
      <c r="I535" s="49">
        <f t="shared" si="11"/>
        <v>236452.80684156189</v>
      </c>
      <c r="J535" s="48"/>
    </row>
    <row r="536" spans="1:10">
      <c r="A536" s="64" t="s">
        <v>14</v>
      </c>
      <c r="B536" s="35" t="s">
        <v>33</v>
      </c>
      <c r="C536" s="35" t="s">
        <v>42</v>
      </c>
      <c r="D536" s="35">
        <v>391.1</v>
      </c>
      <c r="E536" s="35">
        <v>122</v>
      </c>
      <c r="F536" s="2">
        <v>39</v>
      </c>
      <c r="G536" s="35" t="str">
        <f t="shared" si="10"/>
        <v>İBİLLER12239</v>
      </c>
      <c r="H536" s="35" t="s">
        <v>137</v>
      </c>
      <c r="I536" s="49">
        <f t="shared" si="11"/>
        <v>236961.75051436186</v>
      </c>
      <c r="J536" s="48"/>
    </row>
    <row r="537" spans="1:10">
      <c r="A537" s="79" t="s">
        <v>14</v>
      </c>
      <c r="B537" s="20" t="s">
        <v>33</v>
      </c>
      <c r="C537" s="20" t="s">
        <v>42</v>
      </c>
      <c r="D537" s="20">
        <v>329.53</v>
      </c>
      <c r="E537" s="20">
        <v>122</v>
      </c>
      <c r="F537" s="23">
        <v>40</v>
      </c>
      <c r="G537" s="35" t="str">
        <f t="shared" si="10"/>
        <v>İBİLLER12240</v>
      </c>
      <c r="H537" s="20" t="s">
        <v>137</v>
      </c>
      <c r="I537" s="41">
        <f>$I$633/$D$633*D537</f>
        <v>203246.29934210522</v>
      </c>
      <c r="J537" s="21">
        <v>240000</v>
      </c>
    </row>
    <row r="538" spans="1:10">
      <c r="A538" s="86" t="s">
        <v>14</v>
      </c>
      <c r="B538" s="26" t="s">
        <v>33</v>
      </c>
      <c r="C538" s="26" t="s">
        <v>42</v>
      </c>
      <c r="D538" s="26">
        <v>302.79000000000002</v>
      </c>
      <c r="E538" s="26">
        <v>122</v>
      </c>
      <c r="F538" s="27">
        <v>41</v>
      </c>
      <c r="G538" s="35" t="str">
        <f t="shared" si="10"/>
        <v>İBİLLER12241</v>
      </c>
      <c r="H538" s="26" t="s">
        <v>137</v>
      </c>
      <c r="I538" s="29">
        <f>$I$633/$D$633*D538</f>
        <v>186753.70065789475</v>
      </c>
      <c r="J538" s="28">
        <v>220000</v>
      </c>
    </row>
    <row r="539" spans="1:10">
      <c r="A539" s="42" t="s">
        <v>14</v>
      </c>
      <c r="B539" s="42" t="s">
        <v>23</v>
      </c>
      <c r="C539" s="42" t="s">
        <v>24</v>
      </c>
      <c r="D539" s="42">
        <v>854.88</v>
      </c>
      <c r="E539" s="43">
        <v>101</v>
      </c>
      <c r="F539" s="42">
        <v>6</v>
      </c>
      <c r="G539" s="35" t="str">
        <f t="shared" si="10"/>
        <v>İBİRLER1016</v>
      </c>
      <c r="H539" s="42" t="s">
        <v>137</v>
      </c>
      <c r="I539" s="44">
        <v>51000</v>
      </c>
      <c r="J539" s="44">
        <v>55000</v>
      </c>
    </row>
    <row r="540" spans="1:10">
      <c r="A540" s="65" t="s">
        <v>14</v>
      </c>
      <c r="B540" s="19" t="s">
        <v>15</v>
      </c>
      <c r="C540" s="19" t="s">
        <v>63</v>
      </c>
      <c r="D540" s="19">
        <v>842.66</v>
      </c>
      <c r="E540" s="19">
        <v>103</v>
      </c>
      <c r="F540" s="17">
        <v>1</v>
      </c>
      <c r="G540" s="35" t="str">
        <f t="shared" si="10"/>
        <v>ILICABOĞAZI1031</v>
      </c>
      <c r="H540" s="19" t="s">
        <v>138</v>
      </c>
      <c r="I540" s="54">
        <v>640000</v>
      </c>
      <c r="J540" s="7"/>
    </row>
    <row r="541" spans="1:10">
      <c r="A541" s="79" t="s">
        <v>14</v>
      </c>
      <c r="B541" s="20" t="s">
        <v>15</v>
      </c>
      <c r="C541" s="20" t="s">
        <v>63</v>
      </c>
      <c r="D541" s="20">
        <v>491.32</v>
      </c>
      <c r="E541" s="20">
        <v>104</v>
      </c>
      <c r="F541" s="23">
        <v>1</v>
      </c>
      <c r="G541" s="35" t="str">
        <f t="shared" si="10"/>
        <v>ILICABOĞAZI1041</v>
      </c>
      <c r="H541" s="20" t="s">
        <v>141</v>
      </c>
      <c r="I541" s="41">
        <v>380000</v>
      </c>
      <c r="J541" s="21">
        <v>444500</v>
      </c>
    </row>
    <row r="542" spans="1:10">
      <c r="A542" s="65" t="s">
        <v>14</v>
      </c>
      <c r="B542" s="19" t="s">
        <v>15</v>
      </c>
      <c r="C542" s="19" t="s">
        <v>63</v>
      </c>
      <c r="D542" s="19">
        <v>859.66</v>
      </c>
      <c r="E542" s="19">
        <v>105</v>
      </c>
      <c r="F542" s="47">
        <v>1</v>
      </c>
      <c r="G542" s="35" t="str">
        <f t="shared" si="10"/>
        <v>ILICABOĞAZI1051</v>
      </c>
      <c r="H542" s="19" t="s">
        <v>138</v>
      </c>
      <c r="I542" s="54">
        <v>680000</v>
      </c>
      <c r="J542" s="7">
        <v>890000</v>
      </c>
    </row>
    <row r="543" spans="1:10">
      <c r="A543" s="65" t="s">
        <v>14</v>
      </c>
      <c r="B543" s="19" t="s">
        <v>15</v>
      </c>
      <c r="C543" s="19" t="s">
        <v>63</v>
      </c>
      <c r="D543" s="19">
        <v>832.97</v>
      </c>
      <c r="E543" s="19">
        <v>109</v>
      </c>
      <c r="F543" s="17">
        <v>1</v>
      </c>
      <c r="G543" s="35" t="str">
        <f t="shared" si="10"/>
        <v>ILICABOĞAZI1091</v>
      </c>
      <c r="H543" s="19" t="s">
        <v>141</v>
      </c>
      <c r="I543" s="54">
        <v>650000</v>
      </c>
      <c r="J543" s="7">
        <v>793000</v>
      </c>
    </row>
    <row r="544" spans="1:10">
      <c r="A544" s="65" t="s">
        <v>14</v>
      </c>
      <c r="B544" s="19" t="s">
        <v>15</v>
      </c>
      <c r="C544" s="19" t="s">
        <v>63</v>
      </c>
      <c r="D544" s="19">
        <v>843.55</v>
      </c>
      <c r="E544" s="19">
        <v>103</v>
      </c>
      <c r="F544" s="17">
        <v>2</v>
      </c>
      <c r="G544" s="35" t="str">
        <f t="shared" si="10"/>
        <v>ILICABOĞAZI1032</v>
      </c>
      <c r="H544" s="19" t="s">
        <v>138</v>
      </c>
      <c r="I544" s="54">
        <v>640000</v>
      </c>
      <c r="J544" s="7"/>
    </row>
    <row r="545" spans="1:10">
      <c r="A545" s="65" t="s">
        <v>14</v>
      </c>
      <c r="B545" s="19" t="s">
        <v>15</v>
      </c>
      <c r="C545" s="19" t="s">
        <v>63</v>
      </c>
      <c r="D545" s="19">
        <v>816.87</v>
      </c>
      <c r="E545" s="19">
        <v>105</v>
      </c>
      <c r="F545" s="87">
        <v>2</v>
      </c>
      <c r="G545" s="35" t="str">
        <f t="shared" si="10"/>
        <v>ILICABOĞAZI1052</v>
      </c>
      <c r="H545" s="19" t="s">
        <v>138</v>
      </c>
      <c r="I545" s="54">
        <v>640000</v>
      </c>
      <c r="J545" s="7">
        <v>840000</v>
      </c>
    </row>
    <row r="546" spans="1:10">
      <c r="A546" s="79" t="s">
        <v>14</v>
      </c>
      <c r="B546" s="20" t="s">
        <v>15</v>
      </c>
      <c r="C546" s="20" t="s">
        <v>63</v>
      </c>
      <c r="D546" s="20">
        <v>655.34</v>
      </c>
      <c r="E546" s="20">
        <v>104</v>
      </c>
      <c r="F546" s="23">
        <v>2</v>
      </c>
      <c r="G546" s="35" t="str">
        <f t="shared" si="10"/>
        <v>ILICABOĞAZI1042</v>
      </c>
      <c r="H546" s="20" t="s">
        <v>141</v>
      </c>
      <c r="I546" s="41">
        <v>500000</v>
      </c>
      <c r="J546" s="21">
        <v>590000</v>
      </c>
    </row>
    <row r="547" spans="1:10">
      <c r="A547" s="65" t="s">
        <v>14</v>
      </c>
      <c r="B547" s="19" t="s">
        <v>15</v>
      </c>
      <c r="C547" s="19" t="s">
        <v>63</v>
      </c>
      <c r="D547" s="19">
        <v>841.95</v>
      </c>
      <c r="E547" s="19">
        <v>103</v>
      </c>
      <c r="F547" s="17">
        <v>3</v>
      </c>
      <c r="G547" s="35" t="str">
        <f t="shared" si="10"/>
        <v>ILICABOĞAZI1033</v>
      </c>
      <c r="H547" s="19" t="s">
        <v>138</v>
      </c>
      <c r="I547" s="54">
        <v>640000</v>
      </c>
      <c r="J547" s="7"/>
    </row>
    <row r="548" spans="1:10">
      <c r="A548" s="65" t="s">
        <v>14</v>
      </c>
      <c r="B548" s="19" t="s">
        <v>15</v>
      </c>
      <c r="C548" s="19" t="s">
        <v>63</v>
      </c>
      <c r="D548" s="19">
        <v>659.98</v>
      </c>
      <c r="E548" s="19">
        <v>104</v>
      </c>
      <c r="F548" s="17">
        <v>3</v>
      </c>
      <c r="G548" s="35" t="str">
        <f t="shared" si="10"/>
        <v>ILICABOĞAZI1043</v>
      </c>
      <c r="H548" s="19" t="s">
        <v>141</v>
      </c>
      <c r="I548" s="54">
        <v>510000</v>
      </c>
      <c r="J548" s="7">
        <v>622000</v>
      </c>
    </row>
    <row r="549" spans="1:10">
      <c r="A549" s="65" t="s">
        <v>14</v>
      </c>
      <c r="B549" s="19" t="s">
        <v>15</v>
      </c>
      <c r="C549" s="19" t="s">
        <v>63</v>
      </c>
      <c r="D549" s="19">
        <v>847.66</v>
      </c>
      <c r="E549" s="19">
        <v>105</v>
      </c>
      <c r="F549" s="87">
        <v>3</v>
      </c>
      <c r="G549" s="35" t="str">
        <f t="shared" si="10"/>
        <v>ILICABOĞAZI1053</v>
      </c>
      <c r="H549" s="19" t="s">
        <v>138</v>
      </c>
      <c r="I549" s="54">
        <v>700000</v>
      </c>
      <c r="J549" s="7">
        <v>916000</v>
      </c>
    </row>
    <row r="550" spans="1:10">
      <c r="A550" s="65" t="s">
        <v>14</v>
      </c>
      <c r="B550" s="19" t="s">
        <v>15</v>
      </c>
      <c r="C550" s="19" t="s">
        <v>63</v>
      </c>
      <c r="D550" s="19">
        <v>946.53</v>
      </c>
      <c r="E550" s="19">
        <v>109</v>
      </c>
      <c r="F550" s="47">
        <v>3</v>
      </c>
      <c r="G550" s="35" t="str">
        <f t="shared" si="10"/>
        <v>ILICABOĞAZI1093</v>
      </c>
      <c r="H550" s="19" t="s">
        <v>141</v>
      </c>
      <c r="I550" s="54">
        <v>750000</v>
      </c>
      <c r="J550" s="7">
        <v>915000</v>
      </c>
    </row>
    <row r="551" spans="1:10">
      <c r="A551" s="65" t="s">
        <v>14</v>
      </c>
      <c r="B551" s="19" t="s">
        <v>15</v>
      </c>
      <c r="C551" s="19" t="s">
        <v>63</v>
      </c>
      <c r="D551" s="19">
        <v>843.4</v>
      </c>
      <c r="E551" s="19">
        <v>103</v>
      </c>
      <c r="F551" s="17">
        <v>4</v>
      </c>
      <c r="G551" s="35" t="str">
        <f t="shared" si="10"/>
        <v>ILICABOĞAZI1034</v>
      </c>
      <c r="H551" s="19" t="s">
        <v>138</v>
      </c>
      <c r="I551" s="54">
        <v>640000</v>
      </c>
      <c r="J551" s="7"/>
    </row>
    <row r="552" spans="1:10">
      <c r="A552" s="65" t="s">
        <v>14</v>
      </c>
      <c r="B552" s="19" t="s">
        <v>15</v>
      </c>
      <c r="C552" s="19" t="s">
        <v>63</v>
      </c>
      <c r="D552" s="19">
        <v>815.44</v>
      </c>
      <c r="E552" s="19">
        <v>105</v>
      </c>
      <c r="F552" s="87">
        <v>4</v>
      </c>
      <c r="G552" s="35" t="str">
        <f t="shared" si="10"/>
        <v>ILICABOĞAZI1054</v>
      </c>
      <c r="H552" s="19" t="s">
        <v>138</v>
      </c>
      <c r="I552" s="54">
        <v>620000</v>
      </c>
      <c r="J552" s="7">
        <v>812000</v>
      </c>
    </row>
    <row r="553" spans="1:10">
      <c r="A553" s="65" t="s">
        <v>14</v>
      </c>
      <c r="B553" s="19" t="s">
        <v>15</v>
      </c>
      <c r="C553" s="19" t="s">
        <v>63</v>
      </c>
      <c r="D553" s="19">
        <v>744.46</v>
      </c>
      <c r="E553" s="19">
        <v>104</v>
      </c>
      <c r="F553" s="17">
        <v>4</v>
      </c>
      <c r="G553" s="35" t="str">
        <f t="shared" si="10"/>
        <v>ILICABOĞAZI1044</v>
      </c>
      <c r="H553" s="19" t="s">
        <v>141</v>
      </c>
      <c r="I553" s="54">
        <v>580000</v>
      </c>
      <c r="J553" s="7">
        <v>685000</v>
      </c>
    </row>
    <row r="554" spans="1:10">
      <c r="A554" s="64" t="s">
        <v>14</v>
      </c>
      <c r="B554" s="35" t="s">
        <v>15</v>
      </c>
      <c r="C554" s="35" t="s">
        <v>63</v>
      </c>
      <c r="D554" s="35">
        <v>494.9</v>
      </c>
      <c r="E554" s="35">
        <v>109</v>
      </c>
      <c r="F554" s="2">
        <v>4</v>
      </c>
      <c r="G554" s="35" t="str">
        <f t="shared" si="10"/>
        <v>ILICABOĞAZI1094</v>
      </c>
      <c r="H554" s="35" t="s">
        <v>142</v>
      </c>
      <c r="I554" s="49">
        <f>($J$574/$D$574)*D554</f>
        <v>0</v>
      </c>
      <c r="J554" s="48"/>
    </row>
    <row r="555" spans="1:10">
      <c r="A555" s="65" t="s">
        <v>14</v>
      </c>
      <c r="B555" s="19" t="s">
        <v>15</v>
      </c>
      <c r="C555" s="19" t="s">
        <v>63</v>
      </c>
      <c r="D555" s="19">
        <v>845.57</v>
      </c>
      <c r="E555" s="19">
        <v>103</v>
      </c>
      <c r="F555" s="17">
        <v>5</v>
      </c>
      <c r="G555" s="35" t="str">
        <f t="shared" si="10"/>
        <v>ILICABOĞAZI1035</v>
      </c>
      <c r="H555" s="19" t="s">
        <v>138</v>
      </c>
      <c r="I555" s="54">
        <v>640000</v>
      </c>
      <c r="J555" s="7"/>
    </row>
    <row r="556" spans="1:10">
      <c r="A556" s="79" t="s">
        <v>14</v>
      </c>
      <c r="B556" s="20" t="s">
        <v>15</v>
      </c>
      <c r="C556" s="20" t="s">
        <v>63</v>
      </c>
      <c r="D556" s="20">
        <v>617.66999999999996</v>
      </c>
      <c r="E556" s="20">
        <v>104</v>
      </c>
      <c r="F556" s="88">
        <v>5</v>
      </c>
      <c r="G556" s="35" t="str">
        <f t="shared" si="10"/>
        <v>ILICABOĞAZI1045</v>
      </c>
      <c r="H556" s="20" t="s">
        <v>141</v>
      </c>
      <c r="I556" s="41">
        <v>480000</v>
      </c>
      <c r="J556" s="21">
        <v>585500</v>
      </c>
    </row>
    <row r="557" spans="1:10">
      <c r="A557" s="65" t="s">
        <v>14</v>
      </c>
      <c r="B557" s="19" t="s">
        <v>15</v>
      </c>
      <c r="C557" s="19" t="s">
        <v>63</v>
      </c>
      <c r="D557" s="19">
        <v>825.49</v>
      </c>
      <c r="E557" s="19">
        <v>105</v>
      </c>
      <c r="F557" s="87">
        <v>5</v>
      </c>
      <c r="G557" s="35" t="str">
        <f t="shared" si="10"/>
        <v>ILICABOĞAZI1055</v>
      </c>
      <c r="H557" s="19" t="s">
        <v>138</v>
      </c>
      <c r="I557" s="54">
        <v>620000</v>
      </c>
      <c r="J557" s="7">
        <v>812000</v>
      </c>
    </row>
    <row r="558" spans="1:10">
      <c r="A558" s="64" t="s">
        <v>14</v>
      </c>
      <c r="B558" s="35" t="s">
        <v>15</v>
      </c>
      <c r="C558" s="35" t="s">
        <v>63</v>
      </c>
      <c r="D558" s="35">
        <v>451.63</v>
      </c>
      <c r="E558" s="35">
        <v>109</v>
      </c>
      <c r="F558" s="2">
        <v>5</v>
      </c>
      <c r="G558" s="35" t="str">
        <f t="shared" si="10"/>
        <v>ILICABOĞAZI1095</v>
      </c>
      <c r="H558" s="35" t="s">
        <v>142</v>
      </c>
      <c r="I558" s="49">
        <f>($J$574/$D$574)*D558</f>
        <v>0</v>
      </c>
      <c r="J558" s="48"/>
    </row>
    <row r="559" spans="1:10">
      <c r="A559" s="65" t="s">
        <v>14</v>
      </c>
      <c r="B559" s="19" t="s">
        <v>15</v>
      </c>
      <c r="C559" s="19" t="s">
        <v>63</v>
      </c>
      <c r="D559" s="19">
        <v>827.4</v>
      </c>
      <c r="E559" s="19">
        <v>103</v>
      </c>
      <c r="F559" s="17">
        <v>6</v>
      </c>
      <c r="G559" s="35" t="str">
        <f t="shared" si="10"/>
        <v>ILICABOĞAZI1036</v>
      </c>
      <c r="H559" s="19" t="s">
        <v>138</v>
      </c>
      <c r="I559" s="54">
        <v>630000</v>
      </c>
      <c r="J559" s="7"/>
    </row>
    <row r="560" spans="1:10">
      <c r="A560" s="65" t="s">
        <v>14</v>
      </c>
      <c r="B560" s="19" t="s">
        <v>15</v>
      </c>
      <c r="C560" s="19" t="s">
        <v>63</v>
      </c>
      <c r="D560" s="19">
        <v>579.39</v>
      </c>
      <c r="E560" s="19">
        <v>104</v>
      </c>
      <c r="F560" s="17">
        <v>6</v>
      </c>
      <c r="G560" s="35" t="str">
        <f t="shared" si="10"/>
        <v>ILICABOĞAZI1046</v>
      </c>
      <c r="H560" s="19" t="s">
        <v>141</v>
      </c>
      <c r="I560" s="54">
        <v>450000</v>
      </c>
      <c r="J560" s="7">
        <v>550000</v>
      </c>
    </row>
    <row r="561" spans="1:10">
      <c r="A561" s="65" t="s">
        <v>14</v>
      </c>
      <c r="B561" s="19" t="s">
        <v>15</v>
      </c>
      <c r="C561" s="19" t="s">
        <v>63</v>
      </c>
      <c r="D561" s="19">
        <v>845.99</v>
      </c>
      <c r="E561" s="19">
        <v>105</v>
      </c>
      <c r="F561" s="47">
        <v>6</v>
      </c>
      <c r="G561" s="35" t="str">
        <f t="shared" si="10"/>
        <v>ILICABOĞAZI1056</v>
      </c>
      <c r="H561" s="19" t="s">
        <v>138</v>
      </c>
      <c r="I561" s="54">
        <v>640000</v>
      </c>
      <c r="J561" s="7"/>
    </row>
    <row r="562" spans="1:10">
      <c r="A562" s="64" t="s">
        <v>14</v>
      </c>
      <c r="B562" s="35" t="s">
        <v>15</v>
      </c>
      <c r="C562" s="35" t="s">
        <v>63</v>
      </c>
      <c r="D562" s="35">
        <v>315.61</v>
      </c>
      <c r="E562" s="35">
        <v>109</v>
      </c>
      <c r="F562" s="2">
        <v>6</v>
      </c>
      <c r="G562" s="35" t="str">
        <f t="shared" si="10"/>
        <v>ILICABOĞAZI1096</v>
      </c>
      <c r="H562" s="35" t="s">
        <v>142</v>
      </c>
      <c r="I562" s="49">
        <f>($J$579/$D$579)*D562</f>
        <v>0</v>
      </c>
      <c r="J562" s="48"/>
    </row>
    <row r="563" spans="1:10">
      <c r="A563" s="65" t="s">
        <v>14</v>
      </c>
      <c r="B563" s="19" t="s">
        <v>15</v>
      </c>
      <c r="C563" s="19" t="s">
        <v>63</v>
      </c>
      <c r="D563" s="19">
        <v>849.3</v>
      </c>
      <c r="E563" s="19">
        <v>103</v>
      </c>
      <c r="F563" s="17">
        <v>7</v>
      </c>
      <c r="G563" s="35" t="str">
        <f t="shared" si="10"/>
        <v>ILICABOĞAZI1037</v>
      </c>
      <c r="H563" s="19" t="s">
        <v>138</v>
      </c>
      <c r="I563" s="54">
        <v>640000</v>
      </c>
      <c r="J563" s="7"/>
    </row>
    <row r="564" spans="1:10">
      <c r="A564" s="65" t="s">
        <v>14</v>
      </c>
      <c r="B564" s="19" t="s">
        <v>15</v>
      </c>
      <c r="C564" s="19" t="s">
        <v>63</v>
      </c>
      <c r="D564" s="19">
        <v>855.6</v>
      </c>
      <c r="E564" s="19">
        <v>105</v>
      </c>
      <c r="F564" s="47">
        <v>7</v>
      </c>
      <c r="G564" s="35" t="str">
        <f t="shared" si="10"/>
        <v>ILICABOĞAZI1057</v>
      </c>
      <c r="H564" s="19" t="s">
        <v>138</v>
      </c>
      <c r="I564" s="54">
        <v>650000</v>
      </c>
      <c r="J564" s="7"/>
    </row>
    <row r="565" spans="1:10">
      <c r="A565" s="64" t="s">
        <v>14</v>
      </c>
      <c r="B565" s="35" t="s">
        <v>15</v>
      </c>
      <c r="C565" s="35" t="s">
        <v>63</v>
      </c>
      <c r="D565" s="35">
        <v>256.29000000000002</v>
      </c>
      <c r="E565" s="35">
        <v>109</v>
      </c>
      <c r="F565" s="2">
        <v>7</v>
      </c>
      <c r="G565" s="35" t="str">
        <f t="shared" si="10"/>
        <v>ILICABOĞAZI1097</v>
      </c>
      <c r="H565" s="35" t="s">
        <v>142</v>
      </c>
      <c r="I565" s="49">
        <f>($J$579/$D$579)*D565</f>
        <v>0</v>
      </c>
      <c r="J565" s="48"/>
    </row>
    <row r="566" spans="1:10">
      <c r="A566" s="64" t="s">
        <v>14</v>
      </c>
      <c r="B566" s="35" t="s">
        <v>15</v>
      </c>
      <c r="C566" s="35" t="s">
        <v>63</v>
      </c>
      <c r="D566" s="16">
        <v>294.54000000000002</v>
      </c>
      <c r="E566" s="35">
        <v>104</v>
      </c>
      <c r="F566" s="2">
        <v>7</v>
      </c>
      <c r="G566" s="35" t="str">
        <f t="shared" si="10"/>
        <v>ILICABOĞAZI1047</v>
      </c>
      <c r="H566" s="35" t="s">
        <v>142</v>
      </c>
      <c r="I566" s="49">
        <f>($J$555/$D$555)*D566</f>
        <v>0</v>
      </c>
      <c r="J566" s="48"/>
    </row>
    <row r="567" spans="1:10">
      <c r="A567" s="65" t="s">
        <v>14</v>
      </c>
      <c r="B567" s="19" t="s">
        <v>15</v>
      </c>
      <c r="C567" s="19" t="s">
        <v>63</v>
      </c>
      <c r="D567" s="19">
        <v>851.38</v>
      </c>
      <c r="E567" s="19">
        <v>103</v>
      </c>
      <c r="F567" s="17">
        <v>8</v>
      </c>
      <c r="G567" s="35" t="str">
        <f t="shared" si="10"/>
        <v>ILICABOĞAZI1038</v>
      </c>
      <c r="H567" s="19" t="s">
        <v>138</v>
      </c>
      <c r="I567" s="54">
        <v>650000</v>
      </c>
      <c r="J567" s="7"/>
    </row>
    <row r="568" spans="1:10">
      <c r="A568" s="65" t="s">
        <v>14</v>
      </c>
      <c r="B568" s="19" t="s">
        <v>15</v>
      </c>
      <c r="C568" s="19" t="s">
        <v>63</v>
      </c>
      <c r="D568" s="19">
        <v>833.69</v>
      </c>
      <c r="E568" s="19">
        <v>105</v>
      </c>
      <c r="F568" s="47">
        <v>8</v>
      </c>
      <c r="G568" s="35" t="str">
        <f t="shared" si="10"/>
        <v>ILICABOĞAZI1058</v>
      </c>
      <c r="H568" s="19" t="s">
        <v>138</v>
      </c>
      <c r="I568" s="54">
        <v>630000</v>
      </c>
      <c r="J568" s="7"/>
    </row>
    <row r="569" spans="1:10">
      <c r="A569" s="64" t="s">
        <v>14</v>
      </c>
      <c r="B569" s="35" t="s">
        <v>15</v>
      </c>
      <c r="C569" s="35" t="s">
        <v>63</v>
      </c>
      <c r="D569" s="35">
        <v>261.07</v>
      </c>
      <c r="E569" s="35">
        <v>109</v>
      </c>
      <c r="F569" s="2">
        <v>8</v>
      </c>
      <c r="G569" s="35" t="str">
        <f t="shared" si="10"/>
        <v>ILICABOĞAZI1098</v>
      </c>
      <c r="H569" s="35" t="s">
        <v>142</v>
      </c>
      <c r="I569" s="49">
        <f>($J$579/$D$579)*D569</f>
        <v>0</v>
      </c>
      <c r="J569" s="48"/>
    </row>
    <row r="570" spans="1:10">
      <c r="A570" s="64" t="s">
        <v>14</v>
      </c>
      <c r="B570" s="35" t="s">
        <v>15</v>
      </c>
      <c r="C570" s="35" t="s">
        <v>63</v>
      </c>
      <c r="D570" s="35">
        <v>365.44</v>
      </c>
      <c r="E570" s="35">
        <v>104</v>
      </c>
      <c r="F570" s="2">
        <v>8</v>
      </c>
      <c r="G570" s="35" t="str">
        <f t="shared" si="10"/>
        <v>ILICABOĞAZI1048</v>
      </c>
      <c r="H570" s="35" t="s">
        <v>142</v>
      </c>
      <c r="I570" s="49">
        <f>($J$555/$D$555)*D570</f>
        <v>0</v>
      </c>
      <c r="J570" s="48"/>
    </row>
    <row r="571" spans="1:10">
      <c r="A571" s="65" t="s">
        <v>14</v>
      </c>
      <c r="B571" s="19" t="s">
        <v>15</v>
      </c>
      <c r="C571" s="19" t="s">
        <v>63</v>
      </c>
      <c r="D571" s="19">
        <v>832.51</v>
      </c>
      <c r="E571" s="19">
        <v>103</v>
      </c>
      <c r="F571" s="17">
        <v>9</v>
      </c>
      <c r="G571" s="35" t="str">
        <f t="shared" si="10"/>
        <v>ILICABOĞAZI1039</v>
      </c>
      <c r="H571" s="19" t="s">
        <v>138</v>
      </c>
      <c r="I571" s="54">
        <v>630000</v>
      </c>
      <c r="J571" s="7"/>
    </row>
    <row r="572" spans="1:10">
      <c r="A572" s="79" t="s">
        <v>14</v>
      </c>
      <c r="B572" s="20" t="s">
        <v>15</v>
      </c>
      <c r="C572" s="20" t="s">
        <v>63</v>
      </c>
      <c r="D572" s="20">
        <v>716.39</v>
      </c>
      <c r="E572" s="20">
        <v>105</v>
      </c>
      <c r="F572" s="23">
        <v>9</v>
      </c>
      <c r="G572" s="35" t="str">
        <f t="shared" si="10"/>
        <v>ILICABOĞAZI1059</v>
      </c>
      <c r="H572" s="20" t="s">
        <v>138</v>
      </c>
      <c r="I572" s="41">
        <v>550000</v>
      </c>
      <c r="J572" s="21">
        <v>643500</v>
      </c>
    </row>
    <row r="573" spans="1:10">
      <c r="A573" s="64" t="s">
        <v>14</v>
      </c>
      <c r="B573" s="35" t="s">
        <v>15</v>
      </c>
      <c r="C573" s="35" t="s">
        <v>63</v>
      </c>
      <c r="D573" s="35">
        <v>289.69</v>
      </c>
      <c r="E573" s="35">
        <v>104</v>
      </c>
      <c r="F573" s="2">
        <v>9</v>
      </c>
      <c r="G573" s="35" t="str">
        <f t="shared" si="10"/>
        <v>ILICABOĞAZI1049</v>
      </c>
      <c r="H573" s="35" t="s">
        <v>142</v>
      </c>
      <c r="I573" s="49">
        <f>($J$557/$D$557)*D573</f>
        <v>284955.94131970103</v>
      </c>
      <c r="J573" s="48"/>
    </row>
    <row r="574" spans="1:10">
      <c r="A574" s="65" t="s">
        <v>14</v>
      </c>
      <c r="B574" s="19" t="s">
        <v>15</v>
      </c>
      <c r="C574" s="19" t="s">
        <v>63</v>
      </c>
      <c r="D574" s="19">
        <v>854.98</v>
      </c>
      <c r="E574" s="19">
        <v>103</v>
      </c>
      <c r="F574" s="17">
        <v>10</v>
      </c>
      <c r="G574" s="35" t="str">
        <f t="shared" si="10"/>
        <v>ILICABOĞAZI10310</v>
      </c>
      <c r="H574" s="19" t="s">
        <v>138</v>
      </c>
      <c r="I574" s="54">
        <v>640000</v>
      </c>
      <c r="J574" s="7"/>
    </row>
    <row r="575" spans="1:10">
      <c r="A575" s="65" t="s">
        <v>14</v>
      </c>
      <c r="B575" s="19" t="s">
        <v>15</v>
      </c>
      <c r="C575" s="19" t="s">
        <v>63</v>
      </c>
      <c r="D575" s="19">
        <v>838.79</v>
      </c>
      <c r="E575" s="19">
        <v>105</v>
      </c>
      <c r="F575" s="17">
        <v>10</v>
      </c>
      <c r="G575" s="35" t="str">
        <f t="shared" si="10"/>
        <v>ILICABOĞAZI10510</v>
      </c>
      <c r="H575" s="19" t="s">
        <v>138</v>
      </c>
      <c r="I575" s="54">
        <v>640000</v>
      </c>
      <c r="J575" s="7">
        <v>735000</v>
      </c>
    </row>
    <row r="576" spans="1:10">
      <c r="A576" s="64" t="s">
        <v>14</v>
      </c>
      <c r="B576" s="35" t="s">
        <v>15</v>
      </c>
      <c r="C576" s="35" t="s">
        <v>63</v>
      </c>
      <c r="D576" s="35">
        <v>289.7</v>
      </c>
      <c r="E576" s="35">
        <v>104</v>
      </c>
      <c r="F576" s="2">
        <v>10</v>
      </c>
      <c r="G576" s="35" t="str">
        <f t="shared" si="10"/>
        <v>ILICABOĞAZI10410</v>
      </c>
      <c r="H576" s="35" t="s">
        <v>142</v>
      </c>
      <c r="I576" s="49">
        <f>($J$557/$D$557)*D576</f>
        <v>284965.77790160995</v>
      </c>
      <c r="J576" s="48"/>
    </row>
    <row r="577" spans="1:10">
      <c r="A577" s="65" t="s">
        <v>14</v>
      </c>
      <c r="B577" s="19" t="s">
        <v>15</v>
      </c>
      <c r="C577" s="19" t="s">
        <v>63</v>
      </c>
      <c r="D577" s="19">
        <v>856.96</v>
      </c>
      <c r="E577" s="19">
        <v>103</v>
      </c>
      <c r="F577" s="17">
        <v>11</v>
      </c>
      <c r="G577" s="35" t="str">
        <f t="shared" si="10"/>
        <v>ILICABOĞAZI10311</v>
      </c>
      <c r="H577" s="19" t="s">
        <v>138</v>
      </c>
      <c r="I577" s="54">
        <v>640000</v>
      </c>
      <c r="J577" s="7"/>
    </row>
    <row r="578" spans="1:10">
      <c r="A578" s="79" t="s">
        <v>14</v>
      </c>
      <c r="B578" s="20" t="s">
        <v>15</v>
      </c>
      <c r="C578" s="20" t="s">
        <v>63</v>
      </c>
      <c r="D578" s="20">
        <v>876.54</v>
      </c>
      <c r="E578" s="20">
        <v>105</v>
      </c>
      <c r="F578" s="23">
        <v>11</v>
      </c>
      <c r="G578" s="35" t="str">
        <f t="shared" si="10"/>
        <v>ILICABOĞAZI10511</v>
      </c>
      <c r="H578" s="20" t="s">
        <v>138</v>
      </c>
      <c r="I578" s="41">
        <v>670000</v>
      </c>
      <c r="J578" s="21">
        <v>770000</v>
      </c>
    </row>
    <row r="579" spans="1:10">
      <c r="A579" s="64" t="s">
        <v>14</v>
      </c>
      <c r="B579" s="35" t="s">
        <v>15</v>
      </c>
      <c r="C579" s="35" t="s">
        <v>63</v>
      </c>
      <c r="D579" s="35">
        <v>257.87</v>
      </c>
      <c r="E579" s="35">
        <v>104</v>
      </c>
      <c r="F579" s="2">
        <v>11</v>
      </c>
      <c r="G579" s="35" t="str">
        <f t="shared" ref="G579:G642" si="12">C579&amp;E579&amp;F579</f>
        <v>ILICABOĞAZI10411</v>
      </c>
      <c r="H579" s="35" t="s">
        <v>142</v>
      </c>
      <c r="I579" s="49">
        <f>($J$583/$D$583)*D579</f>
        <v>0</v>
      </c>
      <c r="J579" s="48"/>
    </row>
    <row r="580" spans="1:10">
      <c r="A580" s="65" t="s">
        <v>14</v>
      </c>
      <c r="B580" s="19" t="s">
        <v>15</v>
      </c>
      <c r="C580" s="19" t="s">
        <v>63</v>
      </c>
      <c r="D580" s="19">
        <v>838.32</v>
      </c>
      <c r="E580" s="19">
        <v>103</v>
      </c>
      <c r="F580" s="17">
        <v>12</v>
      </c>
      <c r="G580" s="35" t="str">
        <f t="shared" si="12"/>
        <v>ILICABOĞAZI10312</v>
      </c>
      <c r="H580" s="19" t="s">
        <v>138</v>
      </c>
      <c r="I580" s="54">
        <v>640000</v>
      </c>
      <c r="J580" s="7"/>
    </row>
    <row r="581" spans="1:10">
      <c r="A581" s="79" t="s">
        <v>14</v>
      </c>
      <c r="B581" s="20" t="s">
        <v>15</v>
      </c>
      <c r="C581" s="20" t="s">
        <v>63</v>
      </c>
      <c r="D581" s="20">
        <v>877.23</v>
      </c>
      <c r="E581" s="20">
        <v>105</v>
      </c>
      <c r="F581" s="23">
        <v>12</v>
      </c>
      <c r="G581" s="35" t="str">
        <f t="shared" si="12"/>
        <v>ILICABOĞAZI10512</v>
      </c>
      <c r="H581" s="20" t="s">
        <v>138</v>
      </c>
      <c r="I581" s="41">
        <v>670000</v>
      </c>
      <c r="J581" s="21">
        <v>705000</v>
      </c>
    </row>
    <row r="582" spans="1:10">
      <c r="A582" s="64" t="s">
        <v>14</v>
      </c>
      <c r="B582" s="35" t="s">
        <v>15</v>
      </c>
      <c r="C582" s="35" t="s">
        <v>63</v>
      </c>
      <c r="D582" s="35">
        <v>486.59</v>
      </c>
      <c r="E582" s="35">
        <v>104</v>
      </c>
      <c r="F582" s="2">
        <v>12</v>
      </c>
      <c r="G582" s="35" t="str">
        <f t="shared" si="12"/>
        <v>ILICABOĞAZI10412</v>
      </c>
      <c r="H582" s="35" t="s">
        <v>142</v>
      </c>
      <c r="I582" s="49">
        <f>($J$583/$D$583)*D582</f>
        <v>0</v>
      </c>
      <c r="J582" s="48"/>
    </row>
    <row r="583" spans="1:10">
      <c r="A583" s="65" t="s">
        <v>14</v>
      </c>
      <c r="B583" s="19" t="s">
        <v>15</v>
      </c>
      <c r="C583" s="19" t="s">
        <v>63</v>
      </c>
      <c r="D583" s="19">
        <v>860.71</v>
      </c>
      <c r="E583" s="19">
        <v>103</v>
      </c>
      <c r="F583" s="17">
        <v>13</v>
      </c>
      <c r="G583" s="35" t="str">
        <f t="shared" si="12"/>
        <v>ILICABOĞAZI10313</v>
      </c>
      <c r="H583" s="19" t="s">
        <v>138</v>
      </c>
      <c r="I583" s="54">
        <v>650000</v>
      </c>
      <c r="J583" s="7"/>
    </row>
    <row r="584" spans="1:10">
      <c r="A584" s="42" t="s">
        <v>14</v>
      </c>
      <c r="B584" s="42" t="s">
        <v>23</v>
      </c>
      <c r="C584" s="42" t="s">
        <v>56</v>
      </c>
      <c r="D584" s="42">
        <v>290</v>
      </c>
      <c r="E584" s="43">
        <v>14236</v>
      </c>
      <c r="F584" s="42">
        <v>8</v>
      </c>
      <c r="G584" s="35" t="str">
        <f t="shared" si="12"/>
        <v>KUVAYİ MİLLİYE142368</v>
      </c>
      <c r="H584" s="42" t="s">
        <v>137</v>
      </c>
      <c r="I584" s="44">
        <v>443000</v>
      </c>
      <c r="J584" s="44">
        <v>541000</v>
      </c>
    </row>
    <row r="585" spans="1:10">
      <c r="A585" s="42" t="s">
        <v>14</v>
      </c>
      <c r="B585" s="42" t="s">
        <v>23</v>
      </c>
      <c r="C585" s="42" t="s">
        <v>56</v>
      </c>
      <c r="D585" s="42">
        <v>320</v>
      </c>
      <c r="E585" s="43">
        <v>14236</v>
      </c>
      <c r="F585" s="42">
        <v>22</v>
      </c>
      <c r="G585" s="35" t="str">
        <f t="shared" si="12"/>
        <v>KUVAYİ MİLLİYE1423622</v>
      </c>
      <c r="H585" s="42" t="s">
        <v>137</v>
      </c>
      <c r="I585" s="44">
        <v>500000</v>
      </c>
      <c r="J585" s="44">
        <v>525000</v>
      </c>
    </row>
    <row r="586" spans="1:10">
      <c r="A586" s="35" t="s">
        <v>14</v>
      </c>
      <c r="B586" s="35" t="s">
        <v>23</v>
      </c>
      <c r="C586" s="35" t="s">
        <v>56</v>
      </c>
      <c r="D586" s="35">
        <v>325</v>
      </c>
      <c r="E586" s="82">
        <v>14236</v>
      </c>
      <c r="F586" s="35">
        <v>16</v>
      </c>
      <c r="G586" s="35" t="str">
        <f t="shared" si="12"/>
        <v>KUVAYİ MİLLİYE1423616</v>
      </c>
      <c r="H586" s="35" t="s">
        <v>137</v>
      </c>
      <c r="I586" s="48">
        <v>443000</v>
      </c>
      <c r="J586" s="48">
        <v>0</v>
      </c>
    </row>
    <row r="587" spans="1:10">
      <c r="A587" s="35" t="s">
        <v>14</v>
      </c>
      <c r="B587" s="35" t="s">
        <v>23</v>
      </c>
      <c r="C587" s="35" t="s">
        <v>56</v>
      </c>
      <c r="D587" s="35">
        <v>321.12</v>
      </c>
      <c r="E587" s="82">
        <v>14236</v>
      </c>
      <c r="F587" s="35">
        <v>20</v>
      </c>
      <c r="G587" s="35" t="str">
        <f t="shared" si="12"/>
        <v>KUVAYİ MİLLİYE1423620</v>
      </c>
      <c r="H587" s="35" t="s">
        <v>137</v>
      </c>
      <c r="I587" s="48">
        <v>500000</v>
      </c>
      <c r="J587" s="48">
        <v>0</v>
      </c>
    </row>
    <row r="588" spans="1:10">
      <c r="A588" s="35" t="s">
        <v>14</v>
      </c>
      <c r="B588" s="35" t="s">
        <v>23</v>
      </c>
      <c r="C588" s="35" t="s">
        <v>56</v>
      </c>
      <c r="D588" s="35">
        <v>320</v>
      </c>
      <c r="E588" s="82">
        <v>14236</v>
      </c>
      <c r="F588" s="35">
        <v>21</v>
      </c>
      <c r="G588" s="35" t="str">
        <f t="shared" si="12"/>
        <v>KUVAYİ MİLLİYE1423621</v>
      </c>
      <c r="H588" s="35" t="s">
        <v>137</v>
      </c>
      <c r="I588" s="48">
        <v>500000</v>
      </c>
      <c r="J588" s="48">
        <v>0</v>
      </c>
    </row>
    <row r="589" spans="1:10">
      <c r="A589" s="65" t="s">
        <v>14</v>
      </c>
      <c r="B589" s="19" t="s">
        <v>15</v>
      </c>
      <c r="C589" s="19" t="s">
        <v>63</v>
      </c>
      <c r="D589" s="19">
        <v>835</v>
      </c>
      <c r="E589" s="19">
        <v>105</v>
      </c>
      <c r="F589" s="87">
        <v>13</v>
      </c>
      <c r="G589" s="35" t="str">
        <f t="shared" si="12"/>
        <v>ILICABOĞAZI10513</v>
      </c>
      <c r="H589" s="19" t="s">
        <v>138</v>
      </c>
      <c r="I589" s="54">
        <v>640000</v>
      </c>
      <c r="J589" s="7">
        <v>672000</v>
      </c>
    </row>
    <row r="590" spans="1:10">
      <c r="A590" s="65" t="s">
        <v>14</v>
      </c>
      <c r="B590" s="19" t="s">
        <v>15</v>
      </c>
      <c r="C590" s="19" t="s">
        <v>63</v>
      </c>
      <c r="D590" s="19">
        <v>728.25</v>
      </c>
      <c r="E590" s="19">
        <v>103</v>
      </c>
      <c r="F590" s="17">
        <v>14</v>
      </c>
      <c r="G590" s="35" t="str">
        <f t="shared" si="12"/>
        <v>ILICABOĞAZI10314</v>
      </c>
      <c r="H590" s="19" t="s">
        <v>138</v>
      </c>
      <c r="I590" s="54">
        <v>570000</v>
      </c>
      <c r="J590" s="7"/>
    </row>
    <row r="591" spans="1:10">
      <c r="A591" s="20" t="s">
        <v>14</v>
      </c>
      <c r="B591" s="20" t="s">
        <v>15</v>
      </c>
      <c r="C591" s="20" t="s">
        <v>16</v>
      </c>
      <c r="D591" s="20">
        <v>749.19</v>
      </c>
      <c r="E591" s="34">
        <v>180</v>
      </c>
      <c r="F591" s="20">
        <v>2</v>
      </c>
      <c r="G591" s="35" t="str">
        <f t="shared" si="12"/>
        <v>REŞADİYE1802</v>
      </c>
      <c r="H591" s="20" t="s">
        <v>137</v>
      </c>
      <c r="I591" s="21">
        <v>305000</v>
      </c>
      <c r="J591" s="21">
        <v>320000</v>
      </c>
    </row>
    <row r="592" spans="1:10">
      <c r="A592" s="36" t="s">
        <v>14</v>
      </c>
      <c r="B592" s="36" t="s">
        <v>15</v>
      </c>
      <c r="C592" s="36" t="s">
        <v>16</v>
      </c>
      <c r="D592" s="36">
        <v>770.93</v>
      </c>
      <c r="E592" s="55">
        <v>181</v>
      </c>
      <c r="F592" s="36">
        <v>13</v>
      </c>
      <c r="G592" s="35" t="str">
        <f t="shared" si="12"/>
        <v>REŞADİYE18113</v>
      </c>
      <c r="H592" s="36" t="s">
        <v>137</v>
      </c>
      <c r="I592" s="38">
        <v>300000</v>
      </c>
      <c r="J592" s="38">
        <v>320000</v>
      </c>
    </row>
    <row r="593" spans="1:10">
      <c r="A593" s="20" t="s">
        <v>14</v>
      </c>
      <c r="B593" s="20" t="s">
        <v>15</v>
      </c>
      <c r="C593" s="20" t="s">
        <v>16</v>
      </c>
      <c r="D593" s="20">
        <v>754.4</v>
      </c>
      <c r="E593" s="34">
        <v>181</v>
      </c>
      <c r="F593" s="20">
        <v>3</v>
      </c>
      <c r="G593" s="35" t="str">
        <f t="shared" si="12"/>
        <v>REŞADİYE1813</v>
      </c>
      <c r="H593" s="20" t="s">
        <v>137</v>
      </c>
      <c r="I593" s="21">
        <v>296000</v>
      </c>
      <c r="J593" s="21">
        <v>310000</v>
      </c>
    </row>
    <row r="594" spans="1:10">
      <c r="A594" s="20" t="s">
        <v>14</v>
      </c>
      <c r="B594" s="20" t="s">
        <v>15</v>
      </c>
      <c r="C594" s="20" t="s">
        <v>16</v>
      </c>
      <c r="D594" s="20">
        <v>741.7</v>
      </c>
      <c r="E594" s="34">
        <v>181</v>
      </c>
      <c r="F594" s="20">
        <v>7</v>
      </c>
      <c r="G594" s="35" t="str">
        <f t="shared" si="12"/>
        <v>REŞADİYE1817</v>
      </c>
      <c r="H594" s="20" t="s">
        <v>137</v>
      </c>
      <c r="I594" s="21">
        <v>285000</v>
      </c>
      <c r="J594" s="21">
        <v>300000</v>
      </c>
    </row>
    <row r="595" spans="1:10">
      <c r="A595" s="20" t="s">
        <v>14</v>
      </c>
      <c r="B595" s="20" t="s">
        <v>15</v>
      </c>
      <c r="C595" s="20" t="s">
        <v>16</v>
      </c>
      <c r="D595" s="20">
        <v>776.77</v>
      </c>
      <c r="E595" s="34">
        <v>181</v>
      </c>
      <c r="F595" s="20">
        <v>11</v>
      </c>
      <c r="G595" s="35" t="str">
        <f t="shared" si="12"/>
        <v>REŞADİYE18111</v>
      </c>
      <c r="H595" s="20" t="s">
        <v>137</v>
      </c>
      <c r="I595" s="21">
        <v>316000</v>
      </c>
      <c r="J595" s="21">
        <v>330000</v>
      </c>
    </row>
    <row r="596" spans="1:10">
      <c r="A596" s="20" t="s">
        <v>14</v>
      </c>
      <c r="B596" s="20" t="s">
        <v>15</v>
      </c>
      <c r="C596" s="20" t="s">
        <v>16</v>
      </c>
      <c r="D596" s="20">
        <v>771.66</v>
      </c>
      <c r="E596" s="34">
        <v>181</v>
      </c>
      <c r="F596" s="20">
        <v>14</v>
      </c>
      <c r="G596" s="35" t="str">
        <f t="shared" si="12"/>
        <v>REŞADİYE18114</v>
      </c>
      <c r="H596" s="20" t="s">
        <v>137</v>
      </c>
      <c r="I596" s="21">
        <v>430000</v>
      </c>
      <c r="J596" s="21">
        <v>445000</v>
      </c>
    </row>
    <row r="597" spans="1:10">
      <c r="A597" s="42" t="s">
        <v>14</v>
      </c>
      <c r="B597" s="42" t="s">
        <v>15</v>
      </c>
      <c r="C597" s="42" t="s">
        <v>16</v>
      </c>
      <c r="D597" s="42">
        <v>385.97</v>
      </c>
      <c r="E597" s="42">
        <v>181</v>
      </c>
      <c r="F597" s="42">
        <v>16</v>
      </c>
      <c r="G597" s="35" t="str">
        <f t="shared" si="12"/>
        <v>REŞADİYE18116</v>
      </c>
      <c r="H597" s="42" t="s">
        <v>137</v>
      </c>
      <c r="I597" s="61"/>
      <c r="J597" s="44"/>
    </row>
    <row r="598" spans="1:10">
      <c r="A598" s="20" t="s">
        <v>14</v>
      </c>
      <c r="B598" s="20" t="s">
        <v>28</v>
      </c>
      <c r="C598" s="20" t="s">
        <v>108</v>
      </c>
      <c r="D598" s="20">
        <v>593.98</v>
      </c>
      <c r="E598" s="20">
        <v>112</v>
      </c>
      <c r="F598" s="23">
        <v>4</v>
      </c>
      <c r="G598" s="35" t="str">
        <f t="shared" si="12"/>
        <v>SELİMAĞA1124</v>
      </c>
      <c r="H598" s="20" t="s">
        <v>138</v>
      </c>
      <c r="I598" s="21">
        <v>446000</v>
      </c>
      <c r="J598" s="21">
        <v>702427</v>
      </c>
    </row>
    <row r="599" spans="1:10">
      <c r="A599" s="20" t="s">
        <v>14</v>
      </c>
      <c r="B599" s="20" t="s">
        <v>28</v>
      </c>
      <c r="C599" s="20" t="s">
        <v>108</v>
      </c>
      <c r="D599" s="20">
        <v>581.96</v>
      </c>
      <c r="E599" s="20">
        <v>112</v>
      </c>
      <c r="F599" s="23">
        <v>5</v>
      </c>
      <c r="G599" s="35" t="str">
        <f t="shared" si="12"/>
        <v>SELİMAĞA1125</v>
      </c>
      <c r="H599" s="20" t="s">
        <v>138</v>
      </c>
      <c r="I599" s="21">
        <v>445000</v>
      </c>
      <c r="J599" s="21">
        <v>688212.43</v>
      </c>
    </row>
    <row r="600" spans="1:10">
      <c r="A600" s="20" t="s">
        <v>14</v>
      </c>
      <c r="B600" s="20" t="s">
        <v>28</v>
      </c>
      <c r="C600" s="20" t="s">
        <v>108</v>
      </c>
      <c r="D600" s="20">
        <v>599.99</v>
      </c>
      <c r="E600" s="20">
        <v>113</v>
      </c>
      <c r="F600" s="23">
        <v>7</v>
      </c>
      <c r="G600" s="35" t="str">
        <f t="shared" si="12"/>
        <v>SELİMAĞA1137</v>
      </c>
      <c r="H600" s="20" t="s">
        <v>138</v>
      </c>
      <c r="I600" s="21">
        <v>451000</v>
      </c>
      <c r="J600" s="21">
        <v>709534.29</v>
      </c>
    </row>
    <row r="601" spans="1:10">
      <c r="A601" s="20" t="s">
        <v>14</v>
      </c>
      <c r="B601" s="20" t="s">
        <v>28</v>
      </c>
      <c r="C601" s="20" t="s">
        <v>108</v>
      </c>
      <c r="D601" s="20">
        <v>599.99</v>
      </c>
      <c r="E601" s="20">
        <v>113</v>
      </c>
      <c r="F601" s="23">
        <v>8</v>
      </c>
      <c r="G601" s="35" t="str">
        <f t="shared" si="12"/>
        <v>SELİMAĞA1138</v>
      </c>
      <c r="H601" s="20" t="s">
        <v>138</v>
      </c>
      <c r="I601" s="21">
        <v>451000</v>
      </c>
      <c r="J601" s="21">
        <v>709534.29</v>
      </c>
    </row>
    <row r="602" spans="1:10">
      <c r="A602" s="20" t="s">
        <v>14</v>
      </c>
      <c r="B602" s="20" t="s">
        <v>28</v>
      </c>
      <c r="C602" s="20" t="s">
        <v>108</v>
      </c>
      <c r="D602" s="20">
        <v>380.81</v>
      </c>
      <c r="E602" s="20">
        <v>112</v>
      </c>
      <c r="F602" s="89">
        <v>6</v>
      </c>
      <c r="G602" s="35" t="str">
        <f t="shared" si="12"/>
        <v>SELİMAĞA1126</v>
      </c>
      <c r="H602" s="20" t="s">
        <v>138</v>
      </c>
      <c r="I602" s="41">
        <f>I538/2</f>
        <v>93376.850328947374</v>
      </c>
      <c r="J602" s="21">
        <v>450337.09</v>
      </c>
    </row>
    <row r="603" spans="1:10">
      <c r="A603" s="20" t="s">
        <v>14</v>
      </c>
      <c r="B603" s="20" t="s">
        <v>28</v>
      </c>
      <c r="C603" s="20" t="s">
        <v>108</v>
      </c>
      <c r="D603" s="20">
        <v>380.8</v>
      </c>
      <c r="E603" s="20">
        <v>112</v>
      </c>
      <c r="F603" s="89">
        <v>7</v>
      </c>
      <c r="G603" s="35" t="str">
        <f t="shared" si="12"/>
        <v>SELİMAĞA1127</v>
      </c>
      <c r="H603" s="20" t="s">
        <v>138</v>
      </c>
      <c r="I603" s="41">
        <f>I538/2</f>
        <v>93376.850328947374</v>
      </c>
      <c r="J603" s="21">
        <v>450325.027</v>
      </c>
    </row>
    <row r="604" spans="1:10">
      <c r="A604" s="20" t="s">
        <v>14</v>
      </c>
      <c r="B604" s="20" t="s">
        <v>28</v>
      </c>
      <c r="C604" s="20" t="s">
        <v>108</v>
      </c>
      <c r="D604" s="20">
        <v>455.74</v>
      </c>
      <c r="E604" s="20">
        <v>112</v>
      </c>
      <c r="F604" s="89">
        <v>9</v>
      </c>
      <c r="G604" s="35" t="str">
        <f t="shared" si="12"/>
        <v>SELİMAĞA1129</v>
      </c>
      <c r="H604" s="20" t="s">
        <v>138</v>
      </c>
      <c r="I604" s="41">
        <f>(I539+I540)/(D539+D540)*D604</f>
        <v>185513.35461903698</v>
      </c>
      <c r="J604" s="21">
        <v>538947.57999999996</v>
      </c>
    </row>
    <row r="605" spans="1:10">
      <c r="A605" s="20" t="s">
        <v>14</v>
      </c>
      <c r="B605" s="20" t="s">
        <v>28</v>
      </c>
      <c r="C605" s="20" t="s">
        <v>108</v>
      </c>
      <c r="D605" s="20">
        <v>455.74</v>
      </c>
      <c r="E605" s="20">
        <v>112</v>
      </c>
      <c r="F605" s="89">
        <v>10</v>
      </c>
      <c r="G605" s="35" t="str">
        <f t="shared" si="12"/>
        <v>SELİMAĞA11210</v>
      </c>
      <c r="H605" s="20" t="s">
        <v>138</v>
      </c>
      <c r="I605" s="41">
        <f>(I539+I540)/(D539+D540)*D605</f>
        <v>185513.35461903698</v>
      </c>
      <c r="J605" s="21">
        <v>538947.57999999996</v>
      </c>
    </row>
    <row r="606" spans="1:10">
      <c r="A606" s="79" t="s">
        <v>14</v>
      </c>
      <c r="B606" s="20" t="s">
        <v>33</v>
      </c>
      <c r="C606" s="20" t="s">
        <v>42</v>
      </c>
      <c r="D606" s="20">
        <v>635.70000000000005</v>
      </c>
      <c r="E606" s="20">
        <v>121</v>
      </c>
      <c r="F606" s="20">
        <v>5</v>
      </c>
      <c r="G606" s="35" t="str">
        <f t="shared" si="12"/>
        <v>İBİLLER1215</v>
      </c>
      <c r="H606" s="20" t="s">
        <v>137</v>
      </c>
      <c r="I606" s="21">
        <v>390000</v>
      </c>
      <c r="J606" s="21">
        <v>415000</v>
      </c>
    </row>
    <row r="607" spans="1:10">
      <c r="A607" s="79" t="s">
        <v>14</v>
      </c>
      <c r="B607" s="20" t="s">
        <v>33</v>
      </c>
      <c r="C607" s="20" t="s">
        <v>42</v>
      </c>
      <c r="D607" s="20">
        <v>590.4</v>
      </c>
      <c r="E607" s="20">
        <v>121</v>
      </c>
      <c r="F607" s="20">
        <v>7</v>
      </c>
      <c r="G607" s="35" t="str">
        <f t="shared" si="12"/>
        <v>İBİLLER1217</v>
      </c>
      <c r="H607" s="20" t="s">
        <v>137</v>
      </c>
      <c r="I607" s="21">
        <v>360000</v>
      </c>
      <c r="J607" s="21">
        <v>385000</v>
      </c>
    </row>
    <row r="608" spans="1:10">
      <c r="A608" s="79" t="s">
        <v>14</v>
      </c>
      <c r="B608" s="20" t="s">
        <v>33</v>
      </c>
      <c r="C608" s="20" t="s">
        <v>42</v>
      </c>
      <c r="D608" s="20">
        <v>322.83</v>
      </c>
      <c r="E608" s="20">
        <v>121</v>
      </c>
      <c r="F608" s="23">
        <v>8</v>
      </c>
      <c r="G608" s="35" t="str">
        <f t="shared" si="12"/>
        <v>İBİLLER1218</v>
      </c>
      <c r="H608" s="20" t="s">
        <v>137</v>
      </c>
      <c r="I608" s="41">
        <f>($I$523/$D$523)*D608</f>
        <v>196070.45247494685</v>
      </c>
      <c r="J608" s="21">
        <v>210000</v>
      </c>
    </row>
    <row r="609" spans="1:10">
      <c r="A609" s="79" t="s">
        <v>14</v>
      </c>
      <c r="B609" s="20" t="s">
        <v>33</v>
      </c>
      <c r="C609" s="20" t="s">
        <v>42</v>
      </c>
      <c r="D609" s="20">
        <v>335.77</v>
      </c>
      <c r="E609" s="20">
        <v>121</v>
      </c>
      <c r="F609" s="23">
        <v>9</v>
      </c>
      <c r="G609" s="35" t="str">
        <f t="shared" si="12"/>
        <v>İBİLLER1219</v>
      </c>
      <c r="H609" s="20" t="s">
        <v>137</v>
      </c>
      <c r="I609" s="41">
        <f>($I$523/$D$523)*D609</f>
        <v>203929.54752505312</v>
      </c>
      <c r="J609" s="21">
        <v>210000</v>
      </c>
    </row>
    <row r="610" spans="1:10">
      <c r="A610" s="79" t="s">
        <v>14</v>
      </c>
      <c r="B610" s="20" t="s">
        <v>33</v>
      </c>
      <c r="C610" s="20" t="s">
        <v>42</v>
      </c>
      <c r="D610" s="20">
        <v>423.79</v>
      </c>
      <c r="E610" s="20">
        <v>121</v>
      </c>
      <c r="F610" s="23">
        <v>11</v>
      </c>
      <c r="G610" s="35" t="str">
        <f t="shared" si="12"/>
        <v>İBİLLER12111</v>
      </c>
      <c r="H610" s="20" t="s">
        <v>137</v>
      </c>
      <c r="I610" s="41">
        <f>($I$524+$I$525)/($D$524+$D$525)*D610</f>
        <v>215062.58851298192</v>
      </c>
      <c r="J610" s="21">
        <v>225000</v>
      </c>
    </row>
    <row r="611" spans="1:10">
      <c r="A611" s="79" t="s">
        <v>14</v>
      </c>
      <c r="B611" s="20" t="s">
        <v>33</v>
      </c>
      <c r="C611" s="20" t="s">
        <v>42</v>
      </c>
      <c r="D611" s="20">
        <v>423.45</v>
      </c>
      <c r="E611" s="20">
        <v>121</v>
      </c>
      <c r="F611" s="23">
        <v>13</v>
      </c>
      <c r="G611" s="35" t="str">
        <f t="shared" si="12"/>
        <v>İBİLLER12113</v>
      </c>
      <c r="H611" s="20" t="s">
        <v>137</v>
      </c>
      <c r="I611" s="41">
        <f>($I$524+$I$525)/($D$524+$D$525)*D611</f>
        <v>214890.04720692369</v>
      </c>
      <c r="J611" s="21">
        <v>225000</v>
      </c>
    </row>
    <row r="612" spans="1:10">
      <c r="A612" s="79" t="s">
        <v>14</v>
      </c>
      <c r="B612" s="20" t="s">
        <v>33</v>
      </c>
      <c r="C612" s="20" t="s">
        <v>42</v>
      </c>
      <c r="D612" s="20">
        <v>363.79</v>
      </c>
      <c r="E612" s="20">
        <v>121</v>
      </c>
      <c r="F612" s="23">
        <v>14</v>
      </c>
      <c r="G612" s="35" t="str">
        <f t="shared" si="12"/>
        <v>İBİLLER12114</v>
      </c>
      <c r="H612" s="20" t="s">
        <v>137</v>
      </c>
      <c r="I612" s="41">
        <f>($I$526/$D$526)*D612</f>
        <v>222735.06516224964</v>
      </c>
      <c r="J612" s="21">
        <v>240000</v>
      </c>
    </row>
    <row r="613" spans="1:10">
      <c r="A613" s="79" t="s">
        <v>14</v>
      </c>
      <c r="B613" s="20" t="s">
        <v>33</v>
      </c>
      <c r="C613" s="20" t="s">
        <v>42</v>
      </c>
      <c r="D613" s="20">
        <v>322.19</v>
      </c>
      <c r="E613" s="20">
        <v>121</v>
      </c>
      <c r="F613" s="23">
        <v>15</v>
      </c>
      <c r="G613" s="35" t="str">
        <f t="shared" si="12"/>
        <v>İBİLLER12115</v>
      </c>
      <c r="H613" s="20" t="s">
        <v>137</v>
      </c>
      <c r="I613" s="41">
        <f>($I$526/$D$526)*D613</f>
        <v>197264.93483775036</v>
      </c>
      <c r="J613" s="21">
        <v>210000</v>
      </c>
    </row>
    <row r="614" spans="1:10">
      <c r="A614" s="65" t="s">
        <v>14</v>
      </c>
      <c r="B614" s="19" t="s">
        <v>15</v>
      </c>
      <c r="C614" s="19" t="s">
        <v>63</v>
      </c>
      <c r="D614" s="19">
        <v>835.7</v>
      </c>
      <c r="E614" s="19">
        <v>105</v>
      </c>
      <c r="F614" s="87">
        <v>14</v>
      </c>
      <c r="G614" s="35" t="str">
        <f t="shared" si="12"/>
        <v>ILICABOĞAZI10514</v>
      </c>
      <c r="H614" s="19" t="s">
        <v>138</v>
      </c>
      <c r="I614" s="54">
        <v>650000</v>
      </c>
      <c r="J614" s="7">
        <v>682500</v>
      </c>
    </row>
    <row r="615" spans="1:10">
      <c r="A615" s="90" t="s">
        <v>14</v>
      </c>
      <c r="B615" s="91" t="s">
        <v>33</v>
      </c>
      <c r="C615" s="91" t="s">
        <v>42</v>
      </c>
      <c r="D615" s="91">
        <v>509.45</v>
      </c>
      <c r="E615" s="91">
        <v>122</v>
      </c>
      <c r="F615" s="92">
        <v>1</v>
      </c>
      <c r="G615" s="35" t="str">
        <f t="shared" si="12"/>
        <v>İBİLLER1221</v>
      </c>
      <c r="H615" s="91" t="s">
        <v>137</v>
      </c>
      <c r="I615" s="93">
        <v>310000</v>
      </c>
      <c r="J615" s="93">
        <v>0</v>
      </c>
    </row>
    <row r="616" spans="1:10">
      <c r="A616" s="90" t="s">
        <v>14</v>
      </c>
      <c r="B616" s="91" t="s">
        <v>33</v>
      </c>
      <c r="C616" s="91" t="s">
        <v>42</v>
      </c>
      <c r="D616" s="91">
        <v>640.59</v>
      </c>
      <c r="E616" s="91">
        <v>122</v>
      </c>
      <c r="F616" s="92">
        <v>2</v>
      </c>
      <c r="G616" s="35" t="str">
        <f t="shared" si="12"/>
        <v>İBİLLER1222</v>
      </c>
      <c r="H616" s="91" t="s">
        <v>137</v>
      </c>
      <c r="I616" s="93">
        <v>325000</v>
      </c>
      <c r="J616" s="93">
        <v>0</v>
      </c>
    </row>
    <row r="617" spans="1:10">
      <c r="A617" s="90" t="s">
        <v>14</v>
      </c>
      <c r="B617" s="91" t="s">
        <v>33</v>
      </c>
      <c r="C617" s="91" t="s">
        <v>42</v>
      </c>
      <c r="D617" s="91">
        <v>625.52</v>
      </c>
      <c r="E617" s="91">
        <v>122</v>
      </c>
      <c r="F617" s="92">
        <v>3</v>
      </c>
      <c r="G617" s="35" t="str">
        <f t="shared" si="12"/>
        <v>İBİLLER1223</v>
      </c>
      <c r="H617" s="91" t="s">
        <v>137</v>
      </c>
      <c r="I617" s="93">
        <v>320000</v>
      </c>
      <c r="J617" s="93">
        <v>0</v>
      </c>
    </row>
    <row r="618" spans="1:10">
      <c r="A618" s="90" t="s">
        <v>14</v>
      </c>
      <c r="B618" s="91" t="s">
        <v>33</v>
      </c>
      <c r="C618" s="91" t="s">
        <v>42</v>
      </c>
      <c r="D618" s="91">
        <v>625.70000000000005</v>
      </c>
      <c r="E618" s="91">
        <v>122</v>
      </c>
      <c r="F618" s="92">
        <v>4</v>
      </c>
      <c r="G618" s="35" t="str">
        <f t="shared" si="12"/>
        <v>İBİLLER1224</v>
      </c>
      <c r="H618" s="91" t="s">
        <v>137</v>
      </c>
      <c r="I618" s="93">
        <v>320000</v>
      </c>
      <c r="J618" s="93">
        <v>0</v>
      </c>
    </row>
    <row r="619" spans="1:10">
      <c r="A619" s="90" t="s">
        <v>14</v>
      </c>
      <c r="B619" s="91" t="s">
        <v>33</v>
      </c>
      <c r="C619" s="91" t="s">
        <v>42</v>
      </c>
      <c r="D619" s="91">
        <v>625.88</v>
      </c>
      <c r="E619" s="91">
        <v>122</v>
      </c>
      <c r="F619" s="92">
        <v>5</v>
      </c>
      <c r="G619" s="35" t="str">
        <f t="shared" si="12"/>
        <v>İBİLLER1225</v>
      </c>
      <c r="H619" s="91" t="s">
        <v>137</v>
      </c>
      <c r="I619" s="93">
        <v>320000</v>
      </c>
      <c r="J619" s="93">
        <v>0</v>
      </c>
    </row>
    <row r="620" spans="1:10">
      <c r="A620" s="90" t="s">
        <v>14</v>
      </c>
      <c r="B620" s="91" t="s">
        <v>33</v>
      </c>
      <c r="C620" s="91" t="s">
        <v>42</v>
      </c>
      <c r="D620" s="91">
        <v>639.03</v>
      </c>
      <c r="E620" s="91">
        <v>122</v>
      </c>
      <c r="F620" s="92">
        <v>6</v>
      </c>
      <c r="G620" s="35" t="str">
        <f t="shared" si="12"/>
        <v>İBİLLER1226</v>
      </c>
      <c r="H620" s="91" t="s">
        <v>137</v>
      </c>
      <c r="I620" s="93">
        <v>325000</v>
      </c>
      <c r="J620" s="93">
        <v>0</v>
      </c>
    </row>
    <row r="621" spans="1:10">
      <c r="A621" s="90" t="s">
        <v>14</v>
      </c>
      <c r="B621" s="91" t="s">
        <v>33</v>
      </c>
      <c r="C621" s="91" t="s">
        <v>42</v>
      </c>
      <c r="D621" s="91">
        <v>613.25</v>
      </c>
      <c r="E621" s="91">
        <v>122</v>
      </c>
      <c r="F621" s="92">
        <v>7</v>
      </c>
      <c r="G621" s="35" t="str">
        <f t="shared" si="12"/>
        <v>İBİLLER1227</v>
      </c>
      <c r="H621" s="91" t="s">
        <v>137</v>
      </c>
      <c r="I621" s="93">
        <v>310000</v>
      </c>
      <c r="J621" s="93">
        <v>0</v>
      </c>
    </row>
    <row r="622" spans="1:10">
      <c r="A622" s="90" t="s">
        <v>14</v>
      </c>
      <c r="B622" s="91" t="s">
        <v>33</v>
      </c>
      <c r="C622" s="91" t="s">
        <v>42</v>
      </c>
      <c r="D622" s="91">
        <v>672.25</v>
      </c>
      <c r="E622" s="91">
        <v>122</v>
      </c>
      <c r="F622" s="92">
        <v>8</v>
      </c>
      <c r="G622" s="35" t="str">
        <f t="shared" si="12"/>
        <v>İBİLLER1228</v>
      </c>
      <c r="H622" s="91" t="s">
        <v>137</v>
      </c>
      <c r="I622" s="93">
        <v>410000</v>
      </c>
      <c r="J622" s="93">
        <v>0</v>
      </c>
    </row>
    <row r="623" spans="1:10">
      <c r="A623" s="20" t="s">
        <v>14</v>
      </c>
      <c r="B623" s="20" t="s">
        <v>28</v>
      </c>
      <c r="C623" s="20" t="s">
        <v>108</v>
      </c>
      <c r="D623" s="20">
        <v>455.74</v>
      </c>
      <c r="E623" s="20">
        <v>112</v>
      </c>
      <c r="F623" s="23">
        <v>11</v>
      </c>
      <c r="G623" s="35" t="str">
        <f t="shared" si="12"/>
        <v>SELİMAĞA11211</v>
      </c>
      <c r="H623" s="20" t="s">
        <v>138</v>
      </c>
      <c r="I623" s="41">
        <f>(I556+I557)/(D556+D557)*D623</f>
        <v>347372.43271709309</v>
      </c>
      <c r="J623" s="21">
        <v>538947.57999999996</v>
      </c>
    </row>
    <row r="624" spans="1:10">
      <c r="A624" s="20" t="s">
        <v>14</v>
      </c>
      <c r="B624" s="20" t="s">
        <v>28</v>
      </c>
      <c r="C624" s="20" t="s">
        <v>108</v>
      </c>
      <c r="D624" s="20">
        <v>401.76</v>
      </c>
      <c r="E624" s="20">
        <v>113</v>
      </c>
      <c r="F624" s="23">
        <v>10</v>
      </c>
      <c r="G624" s="35" t="str">
        <f t="shared" si="12"/>
        <v>SELİMAĞA11310</v>
      </c>
      <c r="H624" s="20" t="s">
        <v>138</v>
      </c>
      <c r="I624" s="41">
        <f>I560/2</f>
        <v>225000</v>
      </c>
      <c r="J624" s="21">
        <v>475112.08</v>
      </c>
    </row>
    <row r="625" spans="1:10">
      <c r="A625" s="20" t="s">
        <v>14</v>
      </c>
      <c r="B625" s="20" t="s">
        <v>28</v>
      </c>
      <c r="C625" s="20" t="s">
        <v>108</v>
      </c>
      <c r="D625" s="20">
        <v>401.76</v>
      </c>
      <c r="E625" s="20">
        <v>113</v>
      </c>
      <c r="F625" s="23">
        <v>11</v>
      </c>
      <c r="G625" s="35" t="str">
        <f t="shared" si="12"/>
        <v>SELİMAĞA11311</v>
      </c>
      <c r="H625" s="20" t="s">
        <v>138</v>
      </c>
      <c r="I625" s="41">
        <f>I560/2</f>
        <v>225000</v>
      </c>
      <c r="J625" s="21">
        <v>475112.08</v>
      </c>
    </row>
    <row r="626" spans="1:10">
      <c r="A626" s="20" t="s">
        <v>14</v>
      </c>
      <c r="B626" s="20" t="s">
        <v>28</v>
      </c>
      <c r="C626" s="20" t="s">
        <v>108</v>
      </c>
      <c r="D626" s="20">
        <v>559.02</v>
      </c>
      <c r="E626" s="20">
        <v>113</v>
      </c>
      <c r="F626" s="23">
        <v>12</v>
      </c>
      <c r="G626" s="35" t="str">
        <f t="shared" si="12"/>
        <v>SELİMAĞA11312</v>
      </c>
      <c r="H626" s="20" t="s">
        <v>138</v>
      </c>
      <c r="I626" s="41">
        <f>I561/2</f>
        <v>320000</v>
      </c>
      <c r="J626" s="21">
        <v>661084.12</v>
      </c>
    </row>
    <row r="627" spans="1:10">
      <c r="A627" s="20" t="s">
        <v>14</v>
      </c>
      <c r="B627" s="20" t="s">
        <v>28</v>
      </c>
      <c r="C627" s="20" t="s">
        <v>108</v>
      </c>
      <c r="D627" s="20">
        <v>559.02</v>
      </c>
      <c r="E627" s="20">
        <v>113</v>
      </c>
      <c r="F627" s="23">
        <v>13</v>
      </c>
      <c r="G627" s="35" t="str">
        <f t="shared" si="12"/>
        <v>SELİMAĞA11313</v>
      </c>
      <c r="H627" s="20" t="s">
        <v>138</v>
      </c>
      <c r="I627" s="41">
        <f>I561/2</f>
        <v>320000</v>
      </c>
      <c r="J627" s="21">
        <v>661084.12</v>
      </c>
    </row>
    <row r="628" spans="1:10">
      <c r="A628" s="90" t="s">
        <v>14</v>
      </c>
      <c r="B628" s="91" t="s">
        <v>33</v>
      </c>
      <c r="C628" s="91" t="s">
        <v>42</v>
      </c>
      <c r="D628" s="91">
        <v>760.56</v>
      </c>
      <c r="E628" s="91">
        <v>122</v>
      </c>
      <c r="F628" s="92">
        <v>9</v>
      </c>
      <c r="G628" s="35" t="str">
        <f t="shared" si="12"/>
        <v>İBİLLER1229</v>
      </c>
      <c r="H628" s="91" t="s">
        <v>137</v>
      </c>
      <c r="I628" s="93">
        <v>460000</v>
      </c>
      <c r="J628" s="93">
        <v>0</v>
      </c>
    </row>
    <row r="629" spans="1:10">
      <c r="A629" s="90" t="s">
        <v>14</v>
      </c>
      <c r="B629" s="91" t="s">
        <v>33</v>
      </c>
      <c r="C629" s="91" t="s">
        <v>42</v>
      </c>
      <c r="D629" s="91">
        <v>697.45</v>
      </c>
      <c r="E629" s="91">
        <v>122</v>
      </c>
      <c r="F629" s="92">
        <v>10</v>
      </c>
      <c r="G629" s="35" t="str">
        <f t="shared" si="12"/>
        <v>İBİLLER12210</v>
      </c>
      <c r="H629" s="91" t="s">
        <v>137</v>
      </c>
      <c r="I629" s="93">
        <v>425000</v>
      </c>
      <c r="J629" s="93">
        <v>0</v>
      </c>
    </row>
    <row r="630" spans="1:10">
      <c r="A630" s="90" t="s">
        <v>14</v>
      </c>
      <c r="B630" s="91" t="s">
        <v>33</v>
      </c>
      <c r="C630" s="91" t="s">
        <v>42</v>
      </c>
      <c r="D630" s="91">
        <v>677.8</v>
      </c>
      <c r="E630" s="91">
        <v>122</v>
      </c>
      <c r="F630" s="92">
        <v>11</v>
      </c>
      <c r="G630" s="35" t="str">
        <f t="shared" si="12"/>
        <v>İBİLLER12211</v>
      </c>
      <c r="H630" s="91" t="s">
        <v>137</v>
      </c>
      <c r="I630" s="93">
        <v>410000</v>
      </c>
      <c r="J630" s="93">
        <v>0</v>
      </c>
    </row>
    <row r="631" spans="1:10">
      <c r="A631" s="90" t="s">
        <v>14</v>
      </c>
      <c r="B631" s="91" t="s">
        <v>33</v>
      </c>
      <c r="C631" s="91" t="s">
        <v>42</v>
      </c>
      <c r="D631" s="91">
        <v>678.03</v>
      </c>
      <c r="E631" s="91">
        <v>122</v>
      </c>
      <c r="F631" s="92">
        <v>12</v>
      </c>
      <c r="G631" s="35" t="str">
        <f t="shared" si="12"/>
        <v>İBİLLER12212</v>
      </c>
      <c r="H631" s="91" t="s">
        <v>137</v>
      </c>
      <c r="I631" s="93">
        <v>410000</v>
      </c>
      <c r="J631" s="93">
        <v>0</v>
      </c>
    </row>
    <row r="632" spans="1:10">
      <c r="A632" s="90" t="s">
        <v>14</v>
      </c>
      <c r="B632" s="91" t="s">
        <v>33</v>
      </c>
      <c r="C632" s="91" t="s">
        <v>42</v>
      </c>
      <c r="D632" s="91">
        <v>678.26</v>
      </c>
      <c r="E632" s="91">
        <v>122</v>
      </c>
      <c r="F632" s="92">
        <v>13</v>
      </c>
      <c r="G632" s="35" t="str">
        <f t="shared" si="12"/>
        <v>İBİLLER12213</v>
      </c>
      <c r="H632" s="91" t="s">
        <v>137</v>
      </c>
      <c r="I632" s="93">
        <v>410000</v>
      </c>
      <c r="J632" s="93">
        <v>0</v>
      </c>
    </row>
    <row r="633" spans="1:10">
      <c r="A633" s="90" t="s">
        <v>14</v>
      </c>
      <c r="B633" s="91" t="s">
        <v>33</v>
      </c>
      <c r="C633" s="91" t="s">
        <v>42</v>
      </c>
      <c r="D633" s="91">
        <v>632.32000000000005</v>
      </c>
      <c r="E633" s="91">
        <v>122</v>
      </c>
      <c r="F633" s="92">
        <v>14</v>
      </c>
      <c r="G633" s="35" t="str">
        <f t="shared" si="12"/>
        <v>İBİLLER12214</v>
      </c>
      <c r="H633" s="91" t="s">
        <v>137</v>
      </c>
      <c r="I633" s="93">
        <v>390000</v>
      </c>
      <c r="J633" s="93">
        <v>0</v>
      </c>
    </row>
    <row r="634" spans="1:10">
      <c r="A634" s="79" t="s">
        <v>14</v>
      </c>
      <c r="B634" s="20" t="s">
        <v>15</v>
      </c>
      <c r="C634" s="20" t="s">
        <v>63</v>
      </c>
      <c r="D634" s="20">
        <v>845.16</v>
      </c>
      <c r="E634" s="20">
        <v>103</v>
      </c>
      <c r="F634" s="23">
        <v>15</v>
      </c>
      <c r="G634" s="35" t="str">
        <f t="shared" si="12"/>
        <v>ILICABOĞAZI10315</v>
      </c>
      <c r="H634" s="20" t="s">
        <v>138</v>
      </c>
      <c r="I634" s="41">
        <v>640000</v>
      </c>
      <c r="J634" s="21">
        <v>672000</v>
      </c>
    </row>
    <row r="635" spans="1:10">
      <c r="A635" s="65" t="s">
        <v>14</v>
      </c>
      <c r="B635" s="19" t="s">
        <v>15</v>
      </c>
      <c r="C635" s="19" t="s">
        <v>63</v>
      </c>
      <c r="D635" s="19">
        <v>828.44</v>
      </c>
      <c r="E635" s="19">
        <v>103</v>
      </c>
      <c r="F635" s="17">
        <v>16</v>
      </c>
      <c r="G635" s="35" t="str">
        <f t="shared" si="12"/>
        <v>ILICABOĞAZI10316</v>
      </c>
      <c r="H635" s="19" t="s">
        <v>138</v>
      </c>
      <c r="I635" s="54">
        <v>630000</v>
      </c>
      <c r="J635" s="7"/>
    </row>
    <row r="636" spans="1:10">
      <c r="A636" s="65" t="s">
        <v>14</v>
      </c>
      <c r="B636" s="19" t="s">
        <v>15</v>
      </c>
      <c r="C636" s="19" t="s">
        <v>63</v>
      </c>
      <c r="D636" s="19">
        <v>819.18</v>
      </c>
      <c r="E636" s="19">
        <v>103</v>
      </c>
      <c r="F636" s="17">
        <v>17</v>
      </c>
      <c r="G636" s="35" t="str">
        <f t="shared" si="12"/>
        <v>ILICABOĞAZI10317</v>
      </c>
      <c r="H636" s="19" t="s">
        <v>138</v>
      </c>
      <c r="I636" s="54">
        <v>620000</v>
      </c>
      <c r="J636" s="7"/>
    </row>
    <row r="637" spans="1:10">
      <c r="A637" s="35" t="s">
        <v>46</v>
      </c>
      <c r="B637" s="35" t="s">
        <v>47</v>
      </c>
      <c r="C637" s="35" t="s">
        <v>48</v>
      </c>
      <c r="D637" s="35">
        <v>437.28</v>
      </c>
      <c r="E637" s="82">
        <v>103</v>
      </c>
      <c r="F637" s="35">
        <v>2</v>
      </c>
      <c r="G637" s="35" t="str">
        <f t="shared" si="12"/>
        <v>İSLAMLAR1032</v>
      </c>
      <c r="H637" s="35" t="s">
        <v>137</v>
      </c>
      <c r="I637" s="48">
        <v>300000</v>
      </c>
      <c r="J637" s="48">
        <v>0</v>
      </c>
    </row>
    <row r="638" spans="1:10">
      <c r="A638" s="35" t="s">
        <v>46</v>
      </c>
      <c r="B638" s="35" t="s">
        <v>47</v>
      </c>
      <c r="C638" s="35" t="s">
        <v>48</v>
      </c>
      <c r="D638" s="35">
        <v>438.12</v>
      </c>
      <c r="E638" s="35">
        <v>101</v>
      </c>
      <c r="F638" s="3">
        <v>2</v>
      </c>
      <c r="G638" s="35" t="str">
        <f t="shared" si="12"/>
        <v>İSLAMLAR1012</v>
      </c>
      <c r="H638" s="35" t="s">
        <v>138</v>
      </c>
      <c r="I638" s="49">
        <v>200000</v>
      </c>
      <c r="J638" s="48"/>
    </row>
    <row r="639" spans="1:10">
      <c r="A639" s="35" t="s">
        <v>84</v>
      </c>
      <c r="B639" s="35" t="s">
        <v>85</v>
      </c>
      <c r="C639" s="35" t="s">
        <v>86</v>
      </c>
      <c r="D639" s="35">
        <v>358</v>
      </c>
      <c r="E639" s="82">
        <v>446</v>
      </c>
      <c r="F639" s="35">
        <v>11</v>
      </c>
      <c r="G639" s="35" t="str">
        <f t="shared" si="12"/>
        <v>KARŞIYAKA44611</v>
      </c>
      <c r="H639" s="35" t="s">
        <v>137</v>
      </c>
      <c r="I639" s="48">
        <v>765000</v>
      </c>
      <c r="J639" s="48">
        <v>0</v>
      </c>
    </row>
    <row r="640" spans="1:10">
      <c r="A640" s="20" t="s">
        <v>14</v>
      </c>
      <c r="B640" s="20" t="s">
        <v>28</v>
      </c>
      <c r="C640" s="20" t="s">
        <v>108</v>
      </c>
      <c r="D640" s="20">
        <v>507.45</v>
      </c>
      <c r="E640" s="20">
        <v>113</v>
      </c>
      <c r="F640" s="23">
        <v>15</v>
      </c>
      <c r="G640" s="35" t="str">
        <f t="shared" si="12"/>
        <v>SELİMAĞA11315</v>
      </c>
      <c r="H640" s="20" t="s">
        <v>138</v>
      </c>
      <c r="I640" s="41">
        <f>($I$463+$I$464+$I$465)/($D$463+$D$464+$D$465)*D640</f>
        <v>381248.12174538505</v>
      </c>
      <c r="J640" s="21">
        <v>600098.63</v>
      </c>
    </row>
    <row r="641" spans="1:10">
      <c r="A641" s="20" t="s">
        <v>14</v>
      </c>
      <c r="B641" s="20" t="s">
        <v>28</v>
      </c>
      <c r="C641" s="20" t="s">
        <v>108</v>
      </c>
      <c r="D641" s="20">
        <v>507.45</v>
      </c>
      <c r="E641" s="20">
        <v>113</v>
      </c>
      <c r="F641" s="23">
        <v>16</v>
      </c>
      <c r="G641" s="35" t="str">
        <f t="shared" si="12"/>
        <v>SELİMAĞA11316</v>
      </c>
      <c r="H641" s="20" t="s">
        <v>138</v>
      </c>
      <c r="I641" s="41">
        <f>($I$463+$I$464+$I$465)/($D$463+$D$464+$D$465)*D641</f>
        <v>381248.12174538505</v>
      </c>
      <c r="J641" s="21">
        <v>600098.63</v>
      </c>
    </row>
    <row r="642" spans="1:10">
      <c r="A642" s="20" t="s">
        <v>14</v>
      </c>
      <c r="B642" s="20" t="s">
        <v>28</v>
      </c>
      <c r="C642" s="20" t="s">
        <v>108</v>
      </c>
      <c r="D642" s="20">
        <v>507.45</v>
      </c>
      <c r="E642" s="20">
        <v>113</v>
      </c>
      <c r="F642" s="23">
        <v>17</v>
      </c>
      <c r="G642" s="35" t="str">
        <f t="shared" si="12"/>
        <v>SELİMAĞA11317</v>
      </c>
      <c r="H642" s="20" t="s">
        <v>138</v>
      </c>
      <c r="I642" s="41">
        <f>($I$463+$I$464+$I$465)/($D$463+$D$464+$D$465)*D642</f>
        <v>381248.12174538505</v>
      </c>
      <c r="J642" s="21">
        <v>600098.63</v>
      </c>
    </row>
    <row r="643" spans="1:10">
      <c r="A643" s="20" t="s">
        <v>14</v>
      </c>
      <c r="B643" s="20" t="s">
        <v>28</v>
      </c>
      <c r="C643" s="20" t="s">
        <v>108</v>
      </c>
      <c r="D643" s="20">
        <v>507.45</v>
      </c>
      <c r="E643" s="20">
        <v>113</v>
      </c>
      <c r="F643" s="23">
        <v>18</v>
      </c>
      <c r="G643" s="35" t="str">
        <f t="shared" ref="G643:G706" si="13">C643&amp;E643&amp;F643</f>
        <v>SELİMAĞA11318</v>
      </c>
      <c r="H643" s="20" t="s">
        <v>138</v>
      </c>
      <c r="I643" s="41">
        <f>($I$463+$I$464+$I$465)/($D$463+$D$464+$D$465)*D643</f>
        <v>381248.12174538505</v>
      </c>
      <c r="J643" s="21">
        <v>600098.63</v>
      </c>
    </row>
    <row r="644" spans="1:10">
      <c r="A644" s="42" t="s">
        <v>14</v>
      </c>
      <c r="B644" s="42" t="s">
        <v>15</v>
      </c>
      <c r="C644" s="42" t="s">
        <v>16</v>
      </c>
      <c r="D644" s="42">
        <v>385.97</v>
      </c>
      <c r="E644" s="42">
        <v>181</v>
      </c>
      <c r="F644" s="42">
        <v>17</v>
      </c>
      <c r="G644" s="35" t="str">
        <f t="shared" si="13"/>
        <v>REŞADİYE18117</v>
      </c>
      <c r="H644" s="42" t="s">
        <v>137</v>
      </c>
      <c r="I644" s="61"/>
      <c r="J644" s="44"/>
    </row>
    <row r="645" spans="1:10">
      <c r="A645" s="35" t="s">
        <v>81</v>
      </c>
      <c r="B645" s="35" t="s">
        <v>102</v>
      </c>
      <c r="C645" s="35" t="s">
        <v>103</v>
      </c>
      <c r="D645" s="35">
        <v>650</v>
      </c>
      <c r="E645" s="82">
        <v>6404</v>
      </c>
      <c r="F645" s="35">
        <v>19</v>
      </c>
      <c r="G645" s="35" t="str">
        <f t="shared" si="13"/>
        <v>KAYAPA640419</v>
      </c>
      <c r="H645" s="35" t="s">
        <v>137</v>
      </c>
      <c r="I645" s="48">
        <v>850000</v>
      </c>
      <c r="J645" s="48">
        <v>0</v>
      </c>
    </row>
    <row r="646" spans="1:10">
      <c r="A646" s="83" t="s">
        <v>14</v>
      </c>
      <c r="B646" s="10" t="s">
        <v>33</v>
      </c>
      <c r="C646" s="10" t="s">
        <v>42</v>
      </c>
      <c r="D646" s="10">
        <v>421.64</v>
      </c>
      <c r="E646" s="10">
        <v>122</v>
      </c>
      <c r="F646" s="15">
        <v>24</v>
      </c>
      <c r="G646" s="35" t="str">
        <f t="shared" si="13"/>
        <v>İBİLLER12224</v>
      </c>
      <c r="H646" s="10" t="s">
        <v>137</v>
      </c>
      <c r="I646" s="84">
        <f>($I$619+$I$620)/($D$619+$D$60)*D646</f>
        <v>266395.46273802995</v>
      </c>
      <c r="J646" s="14"/>
    </row>
    <row r="647" spans="1:10">
      <c r="A647" s="83" t="s">
        <v>14</v>
      </c>
      <c r="B647" s="10" t="s">
        <v>33</v>
      </c>
      <c r="C647" s="10" t="s">
        <v>42</v>
      </c>
      <c r="D647" s="10">
        <v>421.63</v>
      </c>
      <c r="E647" s="10">
        <v>122</v>
      </c>
      <c r="F647" s="15">
        <v>25</v>
      </c>
      <c r="G647" s="35" t="str">
        <f t="shared" si="13"/>
        <v>İBİLLER12225</v>
      </c>
      <c r="H647" s="10" t="s">
        <v>137</v>
      </c>
      <c r="I647" s="84">
        <f>($I$619+$I$620)/($D$619+$D$60)*D647</f>
        <v>266389.14465950942</v>
      </c>
      <c r="J647" s="14"/>
    </row>
    <row r="648" spans="1:10">
      <c r="A648" s="83" t="s">
        <v>14</v>
      </c>
      <c r="B648" s="10" t="s">
        <v>33</v>
      </c>
      <c r="C648" s="10" t="s">
        <v>42</v>
      </c>
      <c r="D648" s="10">
        <v>413.6</v>
      </c>
      <c r="E648" s="10">
        <v>122</v>
      </c>
      <c r="F648" s="15">
        <v>27</v>
      </c>
      <c r="G648" s="35" t="str">
        <f t="shared" si="13"/>
        <v>İBİLLER12227</v>
      </c>
      <c r="H648" s="10" t="s">
        <v>137</v>
      </c>
      <c r="I648" s="84">
        <f>($I$621+$I$622)/($D$621+$D$622)*D648</f>
        <v>231654.60910151692</v>
      </c>
      <c r="J648" s="14"/>
    </row>
    <row r="649" spans="1:10">
      <c r="A649" s="20" t="s">
        <v>17</v>
      </c>
      <c r="B649" s="20" t="s">
        <v>21</v>
      </c>
      <c r="C649" s="20" t="s">
        <v>22</v>
      </c>
      <c r="D649" s="20">
        <v>432</v>
      </c>
      <c r="E649" s="34">
        <v>236</v>
      </c>
      <c r="F649" s="20">
        <v>6</v>
      </c>
      <c r="G649" s="35" t="str">
        <f t="shared" si="13"/>
        <v>KİLLİK2366</v>
      </c>
      <c r="H649" s="20" t="s">
        <v>137</v>
      </c>
      <c r="I649" s="21">
        <v>200000</v>
      </c>
      <c r="J649" s="21">
        <v>201100</v>
      </c>
    </row>
    <row r="650" spans="1:10">
      <c r="A650" s="20" t="s">
        <v>14</v>
      </c>
      <c r="B650" s="20" t="s">
        <v>33</v>
      </c>
      <c r="C650" s="20" t="s">
        <v>105</v>
      </c>
      <c r="D650" s="20">
        <v>467.94</v>
      </c>
      <c r="E650" s="20">
        <v>146</v>
      </c>
      <c r="F650" s="20">
        <v>6</v>
      </c>
      <c r="G650" s="35" t="str">
        <f t="shared" si="13"/>
        <v>KOCASİNAN1466</v>
      </c>
      <c r="H650" s="20" t="s">
        <v>137</v>
      </c>
      <c r="I650" s="21">
        <v>25000</v>
      </c>
      <c r="J650" s="21">
        <v>35000</v>
      </c>
    </row>
    <row r="651" spans="1:10">
      <c r="A651" s="42" t="s">
        <v>14</v>
      </c>
      <c r="B651" s="42" t="s">
        <v>23</v>
      </c>
      <c r="C651" s="42" t="s">
        <v>56</v>
      </c>
      <c r="D651" s="42">
        <v>462.45</v>
      </c>
      <c r="E651" s="43">
        <v>12481</v>
      </c>
      <c r="F651" s="42">
        <v>9</v>
      </c>
      <c r="G651" s="35" t="str">
        <f t="shared" si="13"/>
        <v>KUVAYİ MİLLİYE124819</v>
      </c>
      <c r="H651" s="42" t="s">
        <v>137</v>
      </c>
      <c r="I651" s="44">
        <v>636111.11</v>
      </c>
      <c r="J651" s="44">
        <v>700000</v>
      </c>
    </row>
    <row r="652" spans="1:10">
      <c r="A652" s="35" t="s">
        <v>14</v>
      </c>
      <c r="B652" s="35" t="s">
        <v>23</v>
      </c>
      <c r="C652" s="35" t="s">
        <v>74</v>
      </c>
      <c r="D652" s="35">
        <v>244.43</v>
      </c>
      <c r="E652" s="82">
        <v>11633</v>
      </c>
      <c r="F652" s="35">
        <v>11</v>
      </c>
      <c r="G652" s="35" t="str">
        <f t="shared" si="13"/>
        <v>MALTEPE1163311</v>
      </c>
      <c r="H652" s="35" t="s">
        <v>137</v>
      </c>
      <c r="I652" s="48">
        <v>70000</v>
      </c>
      <c r="J652" s="48">
        <v>0</v>
      </c>
    </row>
    <row r="653" spans="1:10">
      <c r="A653" s="35" t="s">
        <v>14</v>
      </c>
      <c r="B653" s="35" t="s">
        <v>23</v>
      </c>
      <c r="C653" s="35" t="s">
        <v>27</v>
      </c>
      <c r="D653" s="35">
        <v>988.24</v>
      </c>
      <c r="E653" s="35">
        <v>113</v>
      </c>
      <c r="F653" s="3">
        <v>3</v>
      </c>
      <c r="G653" s="35" t="str">
        <f t="shared" si="13"/>
        <v>NAİPLİ1133</v>
      </c>
      <c r="H653" s="35" t="s">
        <v>137</v>
      </c>
      <c r="I653" s="49"/>
      <c r="J653" s="48"/>
    </row>
    <row r="654" spans="1:10">
      <c r="A654" s="20" t="s">
        <v>14</v>
      </c>
      <c r="B654" s="20" t="s">
        <v>15</v>
      </c>
      <c r="C654" s="20" t="s">
        <v>16</v>
      </c>
      <c r="D654" s="20">
        <v>412</v>
      </c>
      <c r="E654" s="20">
        <v>157</v>
      </c>
      <c r="F654" s="23">
        <v>2</v>
      </c>
      <c r="G654" s="35" t="str">
        <f t="shared" si="13"/>
        <v>REŞADİYE1572</v>
      </c>
      <c r="H654" s="20" t="s">
        <v>138</v>
      </c>
      <c r="I654" s="41">
        <v>630000</v>
      </c>
      <c r="J654" s="21">
        <v>724500</v>
      </c>
    </row>
    <row r="655" spans="1:10">
      <c r="A655" s="20" t="s">
        <v>14</v>
      </c>
      <c r="B655" s="20" t="s">
        <v>15</v>
      </c>
      <c r="C655" s="20" t="s">
        <v>16</v>
      </c>
      <c r="D655" s="20">
        <v>353.16</v>
      </c>
      <c r="E655" s="20">
        <v>158</v>
      </c>
      <c r="F655" s="23">
        <v>17</v>
      </c>
      <c r="G655" s="35" t="str">
        <f t="shared" si="13"/>
        <v>REŞADİYE15817</v>
      </c>
      <c r="H655" s="20" t="s">
        <v>137</v>
      </c>
      <c r="I655" s="41">
        <f>(I95+I96)/(D95+D96)*D655</f>
        <v>149777.61844102549</v>
      </c>
      <c r="J655" s="21">
        <v>175000</v>
      </c>
    </row>
    <row r="656" spans="1:10">
      <c r="A656" s="20" t="s">
        <v>14</v>
      </c>
      <c r="B656" s="20" t="s">
        <v>15</v>
      </c>
      <c r="C656" s="20" t="s">
        <v>16</v>
      </c>
      <c r="D656" s="20">
        <v>378.89</v>
      </c>
      <c r="E656" s="20">
        <v>162</v>
      </c>
      <c r="F656" s="23">
        <v>28</v>
      </c>
      <c r="G656" s="35" t="str">
        <f t="shared" si="13"/>
        <v>REŞADİYE16228</v>
      </c>
      <c r="H656" s="20" t="s">
        <v>138</v>
      </c>
      <c r="I656" s="41"/>
      <c r="J656" s="21">
        <v>172500</v>
      </c>
    </row>
    <row r="657" spans="1:10">
      <c r="A657" s="35" t="s">
        <v>14</v>
      </c>
      <c r="B657" s="35" t="s">
        <v>15</v>
      </c>
      <c r="C657" s="35" t="s">
        <v>16</v>
      </c>
      <c r="D657" s="35">
        <v>489</v>
      </c>
      <c r="E657" s="35">
        <v>163</v>
      </c>
      <c r="F657" s="2">
        <v>14</v>
      </c>
      <c r="G657" s="35" t="str">
        <f t="shared" si="13"/>
        <v>REŞADİYE16314</v>
      </c>
      <c r="H657" s="35" t="s">
        <v>138</v>
      </c>
      <c r="I657" s="49">
        <f>(795000/787.36)*D657</f>
        <v>493744.91973176185</v>
      </c>
      <c r="J657" s="48"/>
    </row>
    <row r="658" spans="1:10">
      <c r="A658" s="20" t="s">
        <v>14</v>
      </c>
      <c r="B658" s="20" t="s">
        <v>15</v>
      </c>
      <c r="C658" s="20" t="s">
        <v>16</v>
      </c>
      <c r="D658" s="20">
        <v>298</v>
      </c>
      <c r="E658" s="20">
        <v>163</v>
      </c>
      <c r="F658" s="23">
        <v>15</v>
      </c>
      <c r="G658" s="35" t="str">
        <f t="shared" si="13"/>
        <v>REŞADİYE16315</v>
      </c>
      <c r="H658" s="20" t="s">
        <v>138</v>
      </c>
      <c r="I658" s="41">
        <f>(795000/787.36)*D658</f>
        <v>300891.58707579761</v>
      </c>
      <c r="J658" s="21">
        <v>315000</v>
      </c>
    </row>
    <row r="659" spans="1:10">
      <c r="A659" s="20" t="s">
        <v>14</v>
      </c>
      <c r="B659" s="20" t="s">
        <v>15</v>
      </c>
      <c r="C659" s="20" t="s">
        <v>16</v>
      </c>
      <c r="D659" s="20">
        <v>338</v>
      </c>
      <c r="E659" s="20">
        <v>170</v>
      </c>
      <c r="F659" s="23">
        <v>14</v>
      </c>
      <c r="G659" s="35" t="str">
        <f t="shared" si="13"/>
        <v>REŞADİYE17014</v>
      </c>
      <c r="H659" s="20" t="s">
        <v>138</v>
      </c>
      <c r="I659" s="41">
        <v>425000</v>
      </c>
      <c r="J659" s="21">
        <v>485000</v>
      </c>
    </row>
    <row r="660" spans="1:10">
      <c r="A660" s="26" t="s">
        <v>14</v>
      </c>
      <c r="B660" s="26" t="s">
        <v>15</v>
      </c>
      <c r="C660" s="26" t="s">
        <v>16</v>
      </c>
      <c r="D660" s="26">
        <v>379.55</v>
      </c>
      <c r="E660" s="26">
        <v>171</v>
      </c>
      <c r="F660" s="27">
        <v>12</v>
      </c>
      <c r="G660" s="35" t="str">
        <f t="shared" si="13"/>
        <v>REŞADİYE17112</v>
      </c>
      <c r="H660" s="26" t="s">
        <v>138</v>
      </c>
      <c r="I660" s="29">
        <v>195000</v>
      </c>
      <c r="J660" s="28">
        <v>460000</v>
      </c>
    </row>
    <row r="661" spans="1:10">
      <c r="A661" s="35" t="s">
        <v>14</v>
      </c>
      <c r="B661" s="35" t="s">
        <v>15</v>
      </c>
      <c r="C661" s="35" t="s">
        <v>16</v>
      </c>
      <c r="D661" s="35">
        <v>379.5</v>
      </c>
      <c r="E661" s="35">
        <v>171</v>
      </c>
      <c r="F661" s="2">
        <v>13</v>
      </c>
      <c r="G661" s="35" t="str">
        <f t="shared" si="13"/>
        <v>REŞADİYE17113</v>
      </c>
      <c r="H661" s="35" t="s">
        <v>141</v>
      </c>
      <c r="I661" s="49">
        <v>95000</v>
      </c>
      <c r="J661" s="48"/>
    </row>
    <row r="662" spans="1:10">
      <c r="A662" s="35" t="s">
        <v>14</v>
      </c>
      <c r="B662" s="35" t="s">
        <v>15</v>
      </c>
      <c r="C662" s="35" t="s">
        <v>16</v>
      </c>
      <c r="D662" s="35">
        <v>753.16</v>
      </c>
      <c r="E662" s="35">
        <v>168</v>
      </c>
      <c r="F662" s="2">
        <v>5</v>
      </c>
      <c r="G662" s="35" t="str">
        <f t="shared" si="13"/>
        <v>REŞADİYE1685</v>
      </c>
      <c r="H662" s="35" t="s">
        <v>138</v>
      </c>
      <c r="I662" s="49">
        <v>120000</v>
      </c>
      <c r="J662" s="48"/>
    </row>
    <row r="663" spans="1:10">
      <c r="A663" s="35" t="s">
        <v>14</v>
      </c>
      <c r="B663" s="35" t="s">
        <v>28</v>
      </c>
      <c r="C663" s="35" t="s">
        <v>29</v>
      </c>
      <c r="D663" s="35">
        <v>301.66000000000003</v>
      </c>
      <c r="E663" s="35">
        <v>169</v>
      </c>
      <c r="F663" s="2">
        <v>2</v>
      </c>
      <c r="G663" s="35" t="str">
        <f t="shared" si="13"/>
        <v>AŞAĞIMUSALAR1692</v>
      </c>
      <c r="H663" s="35" t="s">
        <v>138</v>
      </c>
      <c r="I663" s="49">
        <v>281000</v>
      </c>
      <c r="J663" s="48"/>
    </row>
    <row r="664" spans="1:10">
      <c r="A664" s="35" t="s">
        <v>14</v>
      </c>
      <c r="B664" s="35" t="s">
        <v>28</v>
      </c>
      <c r="C664" s="35" t="s">
        <v>29</v>
      </c>
      <c r="D664" s="35">
        <v>301.66000000000003</v>
      </c>
      <c r="E664" s="35">
        <v>170</v>
      </c>
      <c r="F664" s="2">
        <v>2</v>
      </c>
      <c r="G664" s="35" t="str">
        <f t="shared" si="13"/>
        <v>AŞAĞIMUSALAR1702</v>
      </c>
      <c r="H664" s="35" t="s">
        <v>141</v>
      </c>
      <c r="I664" s="49">
        <v>275000</v>
      </c>
      <c r="J664" s="48"/>
    </row>
    <row r="665" spans="1:10">
      <c r="A665" s="20" t="s">
        <v>14</v>
      </c>
      <c r="B665" s="20" t="s">
        <v>28</v>
      </c>
      <c r="C665" s="20" t="s">
        <v>29</v>
      </c>
      <c r="D665" s="20">
        <v>301.66000000000003</v>
      </c>
      <c r="E665" s="20">
        <v>170</v>
      </c>
      <c r="F665" s="23">
        <v>4</v>
      </c>
      <c r="G665" s="35" t="str">
        <f t="shared" si="13"/>
        <v>AŞAĞIMUSALAR1704</v>
      </c>
      <c r="H665" s="20" t="s">
        <v>137</v>
      </c>
      <c r="I665" s="41">
        <v>300000</v>
      </c>
      <c r="J665" s="21">
        <v>370000</v>
      </c>
    </row>
    <row r="666" spans="1:10">
      <c r="A666" s="35" t="s">
        <v>14</v>
      </c>
      <c r="B666" s="35" t="s">
        <v>28</v>
      </c>
      <c r="C666" s="35" t="s">
        <v>29</v>
      </c>
      <c r="D666" s="35">
        <v>301.23</v>
      </c>
      <c r="E666" s="35">
        <v>171</v>
      </c>
      <c r="F666" s="2">
        <v>3</v>
      </c>
      <c r="G666" s="35" t="str">
        <f t="shared" si="13"/>
        <v>AŞAĞIMUSALAR1713</v>
      </c>
      <c r="H666" s="35" t="s">
        <v>137</v>
      </c>
      <c r="I666" s="49">
        <v>285500</v>
      </c>
      <c r="J666" s="48"/>
    </row>
    <row r="667" spans="1:10">
      <c r="A667" s="35" t="s">
        <v>81</v>
      </c>
      <c r="B667" s="35" t="s">
        <v>82</v>
      </c>
      <c r="C667" s="35" t="s">
        <v>83</v>
      </c>
      <c r="D667" s="35">
        <v>3204.35</v>
      </c>
      <c r="E667" s="35">
        <v>765</v>
      </c>
      <c r="F667" s="2">
        <v>368</v>
      </c>
      <c r="G667" s="35" t="str">
        <f t="shared" si="13"/>
        <v>GEDELEK765368</v>
      </c>
      <c r="H667" s="35" t="s">
        <v>137</v>
      </c>
      <c r="I667" s="49">
        <v>100000</v>
      </c>
      <c r="J667" s="48"/>
    </row>
    <row r="668" spans="1:10">
      <c r="A668" s="64" t="s">
        <v>14</v>
      </c>
      <c r="B668" s="35" t="s">
        <v>33</v>
      </c>
      <c r="C668" s="35" t="s">
        <v>42</v>
      </c>
      <c r="D668" s="35">
        <v>393.23</v>
      </c>
      <c r="E668" s="35">
        <v>119</v>
      </c>
      <c r="F668" s="2">
        <v>10</v>
      </c>
      <c r="G668" s="35" t="str">
        <f t="shared" si="13"/>
        <v>İBİLLER11910</v>
      </c>
      <c r="H668" s="35" t="s">
        <v>142</v>
      </c>
      <c r="I668" s="49">
        <f>($J$467+$J$468+$J$470)/($D$467+$D$468+$D$470)*D668</f>
        <v>227070.30695978118</v>
      </c>
      <c r="J668" s="48"/>
    </row>
    <row r="669" spans="1:10">
      <c r="A669" s="64" t="s">
        <v>14</v>
      </c>
      <c r="B669" s="35" t="s">
        <v>33</v>
      </c>
      <c r="C669" s="35" t="s">
        <v>42</v>
      </c>
      <c r="D669" s="35">
        <v>393.24</v>
      </c>
      <c r="E669" s="35">
        <v>119</v>
      </c>
      <c r="F669" s="2">
        <v>11</v>
      </c>
      <c r="G669" s="35" t="str">
        <f t="shared" si="13"/>
        <v>İBİLLER11911</v>
      </c>
      <c r="H669" s="35" t="s">
        <v>142</v>
      </c>
      <c r="I669" s="49">
        <f>($J$467+$J$468+$J$470)/($D$467+$D$468+$D$470)*D669</f>
        <v>227076.08145071423</v>
      </c>
      <c r="J669" s="48"/>
    </row>
    <row r="670" spans="1:10">
      <c r="A670" s="64" t="s">
        <v>14</v>
      </c>
      <c r="B670" s="35" t="s">
        <v>33</v>
      </c>
      <c r="C670" s="35" t="s">
        <v>42</v>
      </c>
      <c r="D670" s="35">
        <v>468.89</v>
      </c>
      <c r="E670" s="35">
        <v>119</v>
      </c>
      <c r="F670" s="2">
        <v>12</v>
      </c>
      <c r="G670" s="35" t="str">
        <f t="shared" si="13"/>
        <v>İBİLLER11912</v>
      </c>
      <c r="H670" s="35" t="s">
        <v>142</v>
      </c>
      <c r="I670" s="49">
        <f>($J$467+$J$468+$J$470)/($D$467+$D$468+$D$470)*D670</f>
        <v>270760.10535913281</v>
      </c>
      <c r="J670" s="48"/>
    </row>
    <row r="671" spans="1:10">
      <c r="A671" s="64" t="s">
        <v>14</v>
      </c>
      <c r="B671" s="35" t="s">
        <v>33</v>
      </c>
      <c r="C671" s="35" t="s">
        <v>42</v>
      </c>
      <c r="D671" s="35">
        <v>310.06</v>
      </c>
      <c r="E671" s="35">
        <v>119</v>
      </c>
      <c r="F671" s="2">
        <v>13</v>
      </c>
      <c r="G671" s="35" t="str">
        <f t="shared" si="13"/>
        <v>İBİLLER11913</v>
      </c>
      <c r="H671" s="35" t="s">
        <v>142</v>
      </c>
      <c r="I671" s="49">
        <f>($J$467+$J$468+$J$470)/($D$467+$D$468+$D$470)*D671</f>
        <v>179043.86586971939</v>
      </c>
      <c r="J671" s="48"/>
    </row>
    <row r="672" spans="1:10">
      <c r="A672" s="64" t="s">
        <v>14</v>
      </c>
      <c r="B672" s="35" t="s">
        <v>33</v>
      </c>
      <c r="C672" s="35" t="s">
        <v>42</v>
      </c>
      <c r="D672" s="35">
        <v>310.07</v>
      </c>
      <c r="E672" s="35">
        <v>119</v>
      </c>
      <c r="F672" s="2">
        <v>14</v>
      </c>
      <c r="G672" s="35" t="str">
        <f t="shared" si="13"/>
        <v>İBİLLER11914</v>
      </c>
      <c r="H672" s="35" t="s">
        <v>142</v>
      </c>
      <c r="I672" s="49">
        <f>($J$467+$J$468+$J$470)/($D$467+$D$468+$D$470)*D672</f>
        <v>179049.64036065241</v>
      </c>
      <c r="J672" s="48"/>
    </row>
    <row r="673" spans="1:10">
      <c r="A673" s="35" t="s">
        <v>30</v>
      </c>
      <c r="B673" s="35" t="s">
        <v>31</v>
      </c>
      <c r="C673" s="35" t="s">
        <v>32</v>
      </c>
      <c r="D673" s="35">
        <v>393.84</v>
      </c>
      <c r="E673" s="35">
        <v>314</v>
      </c>
      <c r="F673" s="2">
        <v>1</v>
      </c>
      <c r="G673" s="35" t="str">
        <f t="shared" si="13"/>
        <v>CAMİKEBİR3141</v>
      </c>
      <c r="H673" s="35" t="s">
        <v>138</v>
      </c>
      <c r="I673" s="49">
        <v>395000</v>
      </c>
      <c r="J673" s="48"/>
    </row>
    <row r="674" spans="1:10">
      <c r="A674" s="20" t="s">
        <v>30</v>
      </c>
      <c r="B674" s="20" t="s">
        <v>31</v>
      </c>
      <c r="C674" s="20" t="s">
        <v>32</v>
      </c>
      <c r="D674" s="20">
        <v>235.28</v>
      </c>
      <c r="E674" s="20">
        <v>314</v>
      </c>
      <c r="F674" s="23">
        <v>7</v>
      </c>
      <c r="G674" s="35" t="str">
        <f t="shared" si="13"/>
        <v>CAMİKEBİR3147</v>
      </c>
      <c r="H674" s="20" t="s">
        <v>138</v>
      </c>
      <c r="I674" s="41">
        <v>236000</v>
      </c>
      <c r="J674" s="21">
        <v>295000</v>
      </c>
    </row>
    <row r="675" spans="1:10">
      <c r="A675" s="26" t="s">
        <v>30</v>
      </c>
      <c r="B675" s="26" t="s">
        <v>31</v>
      </c>
      <c r="C675" s="26" t="s">
        <v>32</v>
      </c>
      <c r="D675" s="26">
        <v>351.37</v>
      </c>
      <c r="E675" s="26">
        <v>314</v>
      </c>
      <c r="F675" s="27">
        <v>9</v>
      </c>
      <c r="G675" s="35" t="str">
        <f t="shared" si="13"/>
        <v>CAMİKEBİR3149</v>
      </c>
      <c r="H675" s="26" t="s">
        <v>138</v>
      </c>
      <c r="I675" s="29">
        <v>351000</v>
      </c>
      <c r="J675" s="28">
        <v>421000</v>
      </c>
    </row>
    <row r="676" spans="1:10">
      <c r="A676" s="20" t="s">
        <v>30</v>
      </c>
      <c r="B676" s="20" t="s">
        <v>31</v>
      </c>
      <c r="C676" s="20" t="s">
        <v>32</v>
      </c>
      <c r="D676" s="20">
        <v>258.98</v>
      </c>
      <c r="E676" s="20">
        <v>314</v>
      </c>
      <c r="F676" s="23">
        <v>15</v>
      </c>
      <c r="G676" s="35" t="str">
        <f t="shared" si="13"/>
        <v>CAMİKEBİR31415</v>
      </c>
      <c r="H676" s="20" t="s">
        <v>138</v>
      </c>
      <c r="I676" s="41">
        <v>260000</v>
      </c>
      <c r="J676" s="21">
        <v>351000</v>
      </c>
    </row>
    <row r="677" spans="1:10">
      <c r="A677" s="20" t="s">
        <v>30</v>
      </c>
      <c r="B677" s="20" t="s">
        <v>31</v>
      </c>
      <c r="C677" s="20" t="s">
        <v>32</v>
      </c>
      <c r="D677" s="20">
        <v>314.76</v>
      </c>
      <c r="E677" s="20">
        <v>314</v>
      </c>
      <c r="F677" s="23">
        <v>16</v>
      </c>
      <c r="G677" s="35" t="str">
        <f t="shared" si="13"/>
        <v>CAMİKEBİR31416</v>
      </c>
      <c r="H677" s="20" t="s">
        <v>138</v>
      </c>
      <c r="I677" s="41">
        <v>316000</v>
      </c>
      <c r="J677" s="21">
        <v>375000</v>
      </c>
    </row>
    <row r="678" spans="1:10">
      <c r="A678" s="4" t="s">
        <v>30</v>
      </c>
      <c r="B678" s="4" t="s">
        <v>31</v>
      </c>
      <c r="C678" s="4" t="s">
        <v>32</v>
      </c>
      <c r="D678" s="4">
        <v>272.64999999999998</v>
      </c>
      <c r="E678" s="4">
        <v>316</v>
      </c>
      <c r="F678" s="6">
        <v>21</v>
      </c>
      <c r="G678" s="35" t="str">
        <f t="shared" si="13"/>
        <v>CAMİKEBİR31621</v>
      </c>
      <c r="H678" s="4" t="s">
        <v>138</v>
      </c>
      <c r="I678" s="11">
        <v>274000</v>
      </c>
      <c r="J678" s="5"/>
    </row>
    <row r="679" spans="1:10">
      <c r="A679" s="4" t="s">
        <v>30</v>
      </c>
      <c r="B679" s="4" t="s">
        <v>31</v>
      </c>
      <c r="C679" s="4" t="s">
        <v>32</v>
      </c>
      <c r="D679" s="4">
        <v>272.17</v>
      </c>
      <c r="E679" s="4">
        <v>316</v>
      </c>
      <c r="F679" s="6">
        <v>22</v>
      </c>
      <c r="G679" s="35" t="str">
        <f t="shared" si="13"/>
        <v>CAMİKEBİR31622</v>
      </c>
      <c r="H679" s="4" t="s">
        <v>138</v>
      </c>
      <c r="I679" s="11">
        <v>295000</v>
      </c>
      <c r="J679" s="5"/>
    </row>
    <row r="680" spans="1:10">
      <c r="A680" s="4" t="s">
        <v>30</v>
      </c>
      <c r="B680" s="4" t="s">
        <v>31</v>
      </c>
      <c r="C680" s="4" t="s">
        <v>32</v>
      </c>
      <c r="D680" s="4">
        <v>271.76</v>
      </c>
      <c r="E680" s="4">
        <v>316</v>
      </c>
      <c r="F680" s="6">
        <v>23</v>
      </c>
      <c r="G680" s="35" t="str">
        <f t="shared" si="13"/>
        <v>CAMİKEBİR31623</v>
      </c>
      <c r="H680" s="4" t="s">
        <v>138</v>
      </c>
      <c r="I680" s="11">
        <v>273000</v>
      </c>
      <c r="J680" s="5"/>
    </row>
    <row r="681" spans="1:10">
      <c r="A681" s="4" t="s">
        <v>30</v>
      </c>
      <c r="B681" s="4" t="s">
        <v>31</v>
      </c>
      <c r="C681" s="4" t="s">
        <v>32</v>
      </c>
      <c r="D681" s="4">
        <v>271.36</v>
      </c>
      <c r="E681" s="4">
        <v>316</v>
      </c>
      <c r="F681" s="6">
        <v>24</v>
      </c>
      <c r="G681" s="35" t="str">
        <f t="shared" si="13"/>
        <v>CAMİKEBİR31624</v>
      </c>
      <c r="H681" s="4" t="s">
        <v>138</v>
      </c>
      <c r="I681" s="11">
        <v>272000</v>
      </c>
      <c r="J681" s="5"/>
    </row>
    <row r="682" spans="1:10">
      <c r="A682" s="4" t="s">
        <v>30</v>
      </c>
      <c r="B682" s="4" t="s">
        <v>31</v>
      </c>
      <c r="C682" s="4" t="s">
        <v>32</v>
      </c>
      <c r="D682" s="4">
        <v>270.95</v>
      </c>
      <c r="E682" s="4">
        <v>316</v>
      </c>
      <c r="F682" s="6">
        <v>25</v>
      </c>
      <c r="G682" s="35" t="str">
        <f t="shared" si="13"/>
        <v>CAMİKEBİR31625</v>
      </c>
      <c r="H682" s="4" t="s">
        <v>138</v>
      </c>
      <c r="I682" s="11">
        <v>272000</v>
      </c>
      <c r="J682" s="5"/>
    </row>
    <row r="683" spans="1:10">
      <c r="A683" s="20" t="s">
        <v>30</v>
      </c>
      <c r="B683" s="20" t="s">
        <v>31</v>
      </c>
      <c r="C683" s="20" t="s">
        <v>32</v>
      </c>
      <c r="D683" s="20">
        <v>270.14999999999998</v>
      </c>
      <c r="E683" s="20">
        <v>316</v>
      </c>
      <c r="F683" s="23">
        <v>27</v>
      </c>
      <c r="G683" s="35" t="str">
        <f t="shared" si="13"/>
        <v>CAMİKEBİR31627</v>
      </c>
      <c r="H683" s="20" t="s">
        <v>138</v>
      </c>
      <c r="I683" s="41">
        <v>271000</v>
      </c>
      <c r="J683" s="21">
        <v>340000</v>
      </c>
    </row>
    <row r="684" spans="1:10">
      <c r="A684" s="20" t="s">
        <v>30</v>
      </c>
      <c r="B684" s="20" t="s">
        <v>31</v>
      </c>
      <c r="C684" s="20" t="s">
        <v>32</v>
      </c>
      <c r="D684" s="20">
        <v>269.73</v>
      </c>
      <c r="E684" s="20">
        <v>316</v>
      </c>
      <c r="F684" s="23">
        <v>28</v>
      </c>
      <c r="G684" s="35" t="str">
        <f t="shared" si="13"/>
        <v>CAMİKEBİR31628</v>
      </c>
      <c r="H684" s="20" t="s">
        <v>138</v>
      </c>
      <c r="I684" s="41">
        <v>271000</v>
      </c>
      <c r="J684" s="21">
        <v>330000</v>
      </c>
    </row>
    <row r="685" spans="1:10">
      <c r="A685" s="20" t="s">
        <v>30</v>
      </c>
      <c r="B685" s="20" t="s">
        <v>31</v>
      </c>
      <c r="C685" s="20" t="s">
        <v>32</v>
      </c>
      <c r="D685" s="20">
        <v>266.89999999999998</v>
      </c>
      <c r="E685" s="20">
        <v>316</v>
      </c>
      <c r="F685" s="23">
        <v>35</v>
      </c>
      <c r="G685" s="35" t="str">
        <f t="shared" si="13"/>
        <v>CAMİKEBİR31635</v>
      </c>
      <c r="H685" s="20" t="s">
        <v>138</v>
      </c>
      <c r="I685" s="41">
        <v>268000</v>
      </c>
      <c r="J685" s="21">
        <v>321000</v>
      </c>
    </row>
    <row r="686" spans="1:10">
      <c r="A686" s="20" t="s">
        <v>87</v>
      </c>
      <c r="B686" s="20" t="s">
        <v>88</v>
      </c>
      <c r="C686" s="20" t="s">
        <v>32</v>
      </c>
      <c r="D686" s="20">
        <v>267</v>
      </c>
      <c r="E686" s="20">
        <v>176</v>
      </c>
      <c r="F686" s="23">
        <v>116</v>
      </c>
      <c r="G686" s="35" t="str">
        <f t="shared" si="13"/>
        <v>CAMİKEBİR176116</v>
      </c>
      <c r="H686" s="20" t="s">
        <v>138</v>
      </c>
      <c r="I686" s="41">
        <v>220000</v>
      </c>
      <c r="J686" s="21">
        <v>264000</v>
      </c>
    </row>
    <row r="687" spans="1:10">
      <c r="A687" s="20" t="s">
        <v>87</v>
      </c>
      <c r="B687" s="20" t="s">
        <v>88</v>
      </c>
      <c r="C687" s="20" t="s">
        <v>32</v>
      </c>
      <c r="D687" s="20">
        <v>259</v>
      </c>
      <c r="E687" s="20">
        <v>176</v>
      </c>
      <c r="F687" s="23">
        <v>117</v>
      </c>
      <c r="G687" s="35" t="str">
        <f t="shared" si="13"/>
        <v>CAMİKEBİR176117</v>
      </c>
      <c r="H687" s="20" t="s">
        <v>138</v>
      </c>
      <c r="I687" s="41">
        <v>213000</v>
      </c>
      <c r="J687" s="21">
        <v>254000</v>
      </c>
    </row>
    <row r="688" spans="1:10">
      <c r="A688" s="20" t="s">
        <v>87</v>
      </c>
      <c r="B688" s="20" t="s">
        <v>88</v>
      </c>
      <c r="C688" s="20" t="s">
        <v>32</v>
      </c>
      <c r="D688" s="20">
        <v>261</v>
      </c>
      <c r="E688" s="20">
        <v>176</v>
      </c>
      <c r="F688" s="23">
        <v>119</v>
      </c>
      <c r="G688" s="35" t="str">
        <f t="shared" si="13"/>
        <v>CAMİKEBİR176119</v>
      </c>
      <c r="H688" s="20" t="s">
        <v>138</v>
      </c>
      <c r="I688" s="41">
        <v>215000</v>
      </c>
      <c r="J688" s="21">
        <v>225000</v>
      </c>
    </row>
    <row r="689" spans="1:10">
      <c r="A689" s="20" t="s">
        <v>87</v>
      </c>
      <c r="B689" s="20" t="s">
        <v>88</v>
      </c>
      <c r="C689" s="20" t="s">
        <v>32</v>
      </c>
      <c r="D689" s="20">
        <v>264</v>
      </c>
      <c r="E689" s="20">
        <v>176</v>
      </c>
      <c r="F689" s="23">
        <v>120</v>
      </c>
      <c r="G689" s="35" t="str">
        <f t="shared" si="13"/>
        <v>CAMİKEBİR176120</v>
      </c>
      <c r="H689" s="20" t="s">
        <v>138</v>
      </c>
      <c r="I689" s="41">
        <v>217000</v>
      </c>
      <c r="J689" s="21">
        <v>260000</v>
      </c>
    </row>
    <row r="690" spans="1:10">
      <c r="A690" s="20" t="s">
        <v>87</v>
      </c>
      <c r="B690" s="20" t="s">
        <v>88</v>
      </c>
      <c r="C690" s="20" t="s">
        <v>32</v>
      </c>
      <c r="D690" s="20">
        <v>269</v>
      </c>
      <c r="E690" s="20">
        <v>176</v>
      </c>
      <c r="F690" s="23">
        <v>139</v>
      </c>
      <c r="G690" s="35" t="str">
        <f t="shared" si="13"/>
        <v>CAMİKEBİR176139</v>
      </c>
      <c r="H690" s="20" t="s">
        <v>138</v>
      </c>
      <c r="I690" s="41">
        <v>221000</v>
      </c>
      <c r="J690" s="21">
        <v>265000</v>
      </c>
    </row>
    <row r="691" spans="1:10">
      <c r="A691" s="20" t="s">
        <v>87</v>
      </c>
      <c r="B691" s="20" t="s">
        <v>88</v>
      </c>
      <c r="C691" s="20" t="s">
        <v>32</v>
      </c>
      <c r="D691" s="20">
        <v>266</v>
      </c>
      <c r="E691" s="20">
        <v>176</v>
      </c>
      <c r="F691" s="23">
        <v>140</v>
      </c>
      <c r="G691" s="35" t="str">
        <f t="shared" si="13"/>
        <v>CAMİKEBİR176140</v>
      </c>
      <c r="H691" s="20" t="s">
        <v>138</v>
      </c>
      <c r="I691" s="41">
        <v>220000</v>
      </c>
      <c r="J691" s="21">
        <v>264000</v>
      </c>
    </row>
    <row r="692" spans="1:10">
      <c r="A692" s="20" t="s">
        <v>87</v>
      </c>
      <c r="B692" s="20" t="s">
        <v>88</v>
      </c>
      <c r="C692" s="20" t="s">
        <v>32</v>
      </c>
      <c r="D692" s="20">
        <v>264</v>
      </c>
      <c r="E692" s="20">
        <v>176</v>
      </c>
      <c r="F692" s="23">
        <v>141</v>
      </c>
      <c r="G692" s="35" t="str">
        <f t="shared" si="13"/>
        <v>CAMİKEBİR176141</v>
      </c>
      <c r="H692" s="20" t="s">
        <v>138</v>
      </c>
      <c r="I692" s="41">
        <v>217000</v>
      </c>
      <c r="J692" s="21">
        <v>260000</v>
      </c>
    </row>
    <row r="693" spans="1:10">
      <c r="A693" s="20" t="s">
        <v>87</v>
      </c>
      <c r="B693" s="20" t="s">
        <v>88</v>
      </c>
      <c r="C693" s="20" t="s">
        <v>32</v>
      </c>
      <c r="D693" s="20">
        <v>262</v>
      </c>
      <c r="E693" s="20">
        <v>176</v>
      </c>
      <c r="F693" s="23">
        <v>142</v>
      </c>
      <c r="G693" s="35" t="str">
        <f t="shared" si="13"/>
        <v>CAMİKEBİR176142</v>
      </c>
      <c r="H693" s="20" t="s">
        <v>138</v>
      </c>
      <c r="I693" s="41">
        <v>216000</v>
      </c>
      <c r="J693" s="21">
        <v>260000</v>
      </c>
    </row>
    <row r="694" spans="1:10">
      <c r="A694" s="20" t="s">
        <v>87</v>
      </c>
      <c r="B694" s="20" t="s">
        <v>88</v>
      </c>
      <c r="C694" s="20" t="s">
        <v>32</v>
      </c>
      <c r="D694" s="20">
        <v>257</v>
      </c>
      <c r="E694" s="20">
        <v>176</v>
      </c>
      <c r="F694" s="23">
        <v>143</v>
      </c>
      <c r="G694" s="35" t="str">
        <f t="shared" si="13"/>
        <v>CAMİKEBİR176143</v>
      </c>
      <c r="H694" s="20" t="s">
        <v>138</v>
      </c>
      <c r="I694" s="41">
        <v>212000</v>
      </c>
      <c r="J694" s="21">
        <v>254000</v>
      </c>
    </row>
    <row r="695" spans="1:10">
      <c r="A695" s="20" t="s">
        <v>87</v>
      </c>
      <c r="B695" s="20" t="s">
        <v>88</v>
      </c>
      <c r="C695" s="20" t="s">
        <v>32</v>
      </c>
      <c r="D695" s="20">
        <v>259</v>
      </c>
      <c r="E695" s="20">
        <v>247</v>
      </c>
      <c r="F695" s="23">
        <v>1</v>
      </c>
      <c r="G695" s="35" t="str">
        <f t="shared" si="13"/>
        <v>CAMİKEBİR2471</v>
      </c>
      <c r="H695" s="20" t="s">
        <v>138</v>
      </c>
      <c r="I695" s="41">
        <v>213000</v>
      </c>
      <c r="J695" s="21">
        <v>225000</v>
      </c>
    </row>
    <row r="696" spans="1:10">
      <c r="A696" s="20" t="s">
        <v>87</v>
      </c>
      <c r="B696" s="20" t="s">
        <v>88</v>
      </c>
      <c r="C696" s="20" t="s">
        <v>32</v>
      </c>
      <c r="D696" s="20">
        <v>253</v>
      </c>
      <c r="E696" s="20">
        <v>247</v>
      </c>
      <c r="F696" s="23">
        <v>2</v>
      </c>
      <c r="G696" s="35" t="str">
        <f t="shared" si="13"/>
        <v>CAMİKEBİR2472</v>
      </c>
      <c r="H696" s="20" t="s">
        <v>138</v>
      </c>
      <c r="I696" s="41">
        <v>208000</v>
      </c>
      <c r="J696" s="21">
        <v>249000</v>
      </c>
    </row>
    <row r="697" spans="1:10">
      <c r="A697" s="20" t="s">
        <v>87</v>
      </c>
      <c r="B697" s="20" t="s">
        <v>88</v>
      </c>
      <c r="C697" s="20" t="s">
        <v>32</v>
      </c>
      <c r="D697" s="20">
        <v>255</v>
      </c>
      <c r="E697" s="20">
        <v>247</v>
      </c>
      <c r="F697" s="23">
        <v>3</v>
      </c>
      <c r="G697" s="35" t="str">
        <f t="shared" si="13"/>
        <v>CAMİKEBİR2473</v>
      </c>
      <c r="H697" s="20" t="s">
        <v>138</v>
      </c>
      <c r="I697" s="41">
        <v>210000</v>
      </c>
      <c r="J697" s="21">
        <v>250000</v>
      </c>
    </row>
    <row r="698" spans="1:10">
      <c r="A698" s="20" t="s">
        <v>87</v>
      </c>
      <c r="B698" s="20" t="s">
        <v>88</v>
      </c>
      <c r="C698" s="20" t="s">
        <v>32</v>
      </c>
      <c r="D698" s="20">
        <v>257</v>
      </c>
      <c r="E698" s="20">
        <v>247</v>
      </c>
      <c r="F698" s="23">
        <v>4</v>
      </c>
      <c r="G698" s="35" t="str">
        <f t="shared" si="13"/>
        <v>CAMİKEBİR2474</v>
      </c>
      <c r="H698" s="20" t="s">
        <v>138</v>
      </c>
      <c r="I698" s="41">
        <v>212000</v>
      </c>
      <c r="J698" s="21">
        <v>253000</v>
      </c>
    </row>
    <row r="699" spans="1:10">
      <c r="A699" s="20" t="s">
        <v>87</v>
      </c>
      <c r="B699" s="20" t="s">
        <v>88</v>
      </c>
      <c r="C699" s="20" t="s">
        <v>32</v>
      </c>
      <c r="D699" s="20">
        <v>259</v>
      </c>
      <c r="E699" s="20">
        <v>247</v>
      </c>
      <c r="F699" s="23">
        <v>5</v>
      </c>
      <c r="G699" s="35" t="str">
        <f t="shared" si="13"/>
        <v>CAMİKEBİR2475</v>
      </c>
      <c r="H699" s="20" t="s">
        <v>138</v>
      </c>
      <c r="I699" s="41">
        <v>213000</v>
      </c>
      <c r="J699" s="21">
        <v>254000</v>
      </c>
    </row>
    <row r="700" spans="1:10">
      <c r="A700" s="20" t="s">
        <v>87</v>
      </c>
      <c r="B700" s="20" t="s">
        <v>88</v>
      </c>
      <c r="C700" s="20" t="s">
        <v>32</v>
      </c>
      <c r="D700" s="20">
        <v>256</v>
      </c>
      <c r="E700" s="20">
        <v>247</v>
      </c>
      <c r="F700" s="23">
        <v>6</v>
      </c>
      <c r="G700" s="35" t="str">
        <f t="shared" si="13"/>
        <v>CAMİKEBİR2476</v>
      </c>
      <c r="H700" s="20" t="s">
        <v>138</v>
      </c>
      <c r="I700" s="41">
        <v>211000</v>
      </c>
      <c r="J700" s="21">
        <v>251000</v>
      </c>
    </row>
    <row r="701" spans="1:10">
      <c r="A701" s="20" t="s">
        <v>87</v>
      </c>
      <c r="B701" s="20" t="s">
        <v>88</v>
      </c>
      <c r="C701" s="20" t="s">
        <v>32</v>
      </c>
      <c r="D701" s="20">
        <v>254</v>
      </c>
      <c r="E701" s="20">
        <v>247</v>
      </c>
      <c r="F701" s="23">
        <v>14</v>
      </c>
      <c r="G701" s="35" t="str">
        <f t="shared" si="13"/>
        <v>CAMİKEBİR24714</v>
      </c>
      <c r="H701" s="20" t="s">
        <v>138</v>
      </c>
      <c r="I701" s="41">
        <v>210000</v>
      </c>
      <c r="J701" s="21">
        <v>250000</v>
      </c>
    </row>
    <row r="702" spans="1:10">
      <c r="A702" s="20" t="s">
        <v>87</v>
      </c>
      <c r="B702" s="20" t="s">
        <v>88</v>
      </c>
      <c r="C702" s="20" t="s">
        <v>32</v>
      </c>
      <c r="D702" s="20">
        <v>252</v>
      </c>
      <c r="E702" s="20">
        <v>247</v>
      </c>
      <c r="F702" s="23">
        <v>15</v>
      </c>
      <c r="G702" s="35" t="str">
        <f t="shared" si="13"/>
        <v>CAMİKEBİR24715</v>
      </c>
      <c r="H702" s="20" t="s">
        <v>138</v>
      </c>
      <c r="I702" s="41">
        <v>207000</v>
      </c>
      <c r="J702" s="21">
        <v>248000</v>
      </c>
    </row>
    <row r="703" spans="1:10">
      <c r="A703" s="20" t="s">
        <v>87</v>
      </c>
      <c r="B703" s="20" t="s">
        <v>88</v>
      </c>
      <c r="C703" s="20" t="s">
        <v>32</v>
      </c>
      <c r="D703" s="20">
        <v>249</v>
      </c>
      <c r="E703" s="20">
        <v>247</v>
      </c>
      <c r="F703" s="23">
        <v>16</v>
      </c>
      <c r="G703" s="35" t="str">
        <f t="shared" si="13"/>
        <v>CAMİKEBİR24716</v>
      </c>
      <c r="H703" s="20" t="s">
        <v>138</v>
      </c>
      <c r="I703" s="41">
        <v>205000</v>
      </c>
      <c r="J703" s="21">
        <v>246000</v>
      </c>
    </row>
    <row r="704" spans="1:10">
      <c r="A704" s="20" t="s">
        <v>30</v>
      </c>
      <c r="B704" s="20" t="s">
        <v>31</v>
      </c>
      <c r="C704" s="20" t="s">
        <v>32</v>
      </c>
      <c r="D704" s="20">
        <v>228.78</v>
      </c>
      <c r="E704" s="20">
        <v>314</v>
      </c>
      <c r="F704" s="23">
        <v>3</v>
      </c>
      <c r="G704" s="35" t="str">
        <f t="shared" si="13"/>
        <v>CAMİKEBİR3143</v>
      </c>
      <c r="H704" s="20" t="s">
        <v>138</v>
      </c>
      <c r="I704" s="41">
        <v>230000</v>
      </c>
      <c r="J704" s="21">
        <v>265000</v>
      </c>
    </row>
    <row r="705" spans="1:10">
      <c r="A705" s="20" t="s">
        <v>30</v>
      </c>
      <c r="B705" s="20" t="s">
        <v>31</v>
      </c>
      <c r="C705" s="20" t="s">
        <v>32</v>
      </c>
      <c r="D705" s="20">
        <v>228.98</v>
      </c>
      <c r="E705" s="20">
        <v>314</v>
      </c>
      <c r="F705" s="23">
        <v>4</v>
      </c>
      <c r="G705" s="35" t="str">
        <f t="shared" si="13"/>
        <v>CAMİKEBİR3144</v>
      </c>
      <c r="H705" s="20" t="s">
        <v>138</v>
      </c>
      <c r="I705" s="41">
        <v>230000</v>
      </c>
      <c r="J705" s="21">
        <v>265000</v>
      </c>
    </row>
    <row r="706" spans="1:10">
      <c r="A706" s="20" t="s">
        <v>30</v>
      </c>
      <c r="B706" s="20" t="s">
        <v>31</v>
      </c>
      <c r="C706" s="20" t="s">
        <v>32</v>
      </c>
      <c r="D706" s="20">
        <v>229.18</v>
      </c>
      <c r="E706" s="20">
        <v>314</v>
      </c>
      <c r="F706" s="23">
        <v>5</v>
      </c>
      <c r="G706" s="35" t="str">
        <f t="shared" si="13"/>
        <v>CAMİKEBİR3145</v>
      </c>
      <c r="H706" s="20" t="s">
        <v>138</v>
      </c>
      <c r="I706" s="41">
        <v>230000</v>
      </c>
      <c r="J706" s="21">
        <v>265000</v>
      </c>
    </row>
    <row r="707" spans="1:10">
      <c r="A707" s="20" t="s">
        <v>30</v>
      </c>
      <c r="B707" s="20" t="s">
        <v>31</v>
      </c>
      <c r="C707" s="20" t="s">
        <v>32</v>
      </c>
      <c r="D707" s="20">
        <v>226.82</v>
      </c>
      <c r="E707" s="20">
        <v>314</v>
      </c>
      <c r="F707" s="23">
        <v>6</v>
      </c>
      <c r="G707" s="35" t="str">
        <f t="shared" ref="G707:G770" si="14">C707&amp;E707&amp;F707</f>
        <v>CAMİKEBİR3146</v>
      </c>
      <c r="H707" s="20" t="s">
        <v>138</v>
      </c>
      <c r="I707" s="41">
        <v>228000</v>
      </c>
      <c r="J707" s="21">
        <v>250000</v>
      </c>
    </row>
    <row r="708" spans="1:10">
      <c r="A708" s="20" t="s">
        <v>30</v>
      </c>
      <c r="B708" s="20" t="s">
        <v>31</v>
      </c>
      <c r="C708" s="20" t="s">
        <v>32</v>
      </c>
      <c r="D708" s="20">
        <v>338.96</v>
      </c>
      <c r="E708" s="20">
        <v>314</v>
      </c>
      <c r="F708" s="23">
        <v>8</v>
      </c>
      <c r="G708" s="35" t="str">
        <f t="shared" si="14"/>
        <v>CAMİKEBİR3148</v>
      </c>
      <c r="H708" s="20" t="s">
        <v>138</v>
      </c>
      <c r="I708" s="41">
        <v>340000</v>
      </c>
      <c r="J708" s="21">
        <v>391000</v>
      </c>
    </row>
    <row r="709" spans="1:10">
      <c r="A709" s="20" t="s">
        <v>30</v>
      </c>
      <c r="B709" s="20" t="s">
        <v>31</v>
      </c>
      <c r="C709" s="20" t="s">
        <v>32</v>
      </c>
      <c r="D709" s="20">
        <v>248.79</v>
      </c>
      <c r="E709" s="20">
        <v>314</v>
      </c>
      <c r="F709" s="23">
        <v>10</v>
      </c>
      <c r="G709" s="35" t="str">
        <f t="shared" si="14"/>
        <v>CAMİKEBİR31410</v>
      </c>
      <c r="H709" s="20" t="s">
        <v>138</v>
      </c>
      <c r="I709" s="41">
        <v>300000</v>
      </c>
      <c r="J709" s="21">
        <v>370000</v>
      </c>
    </row>
    <row r="710" spans="1:10">
      <c r="A710" s="20" t="s">
        <v>30</v>
      </c>
      <c r="B710" s="20" t="s">
        <v>31</v>
      </c>
      <c r="C710" s="20" t="s">
        <v>32</v>
      </c>
      <c r="D710" s="20">
        <v>258.7</v>
      </c>
      <c r="E710" s="20">
        <v>314</v>
      </c>
      <c r="F710" s="23">
        <v>11</v>
      </c>
      <c r="G710" s="35" t="str">
        <f t="shared" si="14"/>
        <v>CAMİKEBİR31411</v>
      </c>
      <c r="H710" s="20" t="s">
        <v>138</v>
      </c>
      <c r="I710" s="41">
        <v>259000</v>
      </c>
      <c r="J710" s="21">
        <v>320000</v>
      </c>
    </row>
    <row r="711" spans="1:10">
      <c r="A711" s="20" t="s">
        <v>30</v>
      </c>
      <c r="B711" s="20" t="s">
        <v>31</v>
      </c>
      <c r="C711" s="20" t="s">
        <v>32</v>
      </c>
      <c r="D711" s="20">
        <v>256.36</v>
      </c>
      <c r="E711" s="20">
        <v>314</v>
      </c>
      <c r="F711" s="23">
        <v>12</v>
      </c>
      <c r="G711" s="35" t="str">
        <f t="shared" si="14"/>
        <v>CAMİKEBİR31412</v>
      </c>
      <c r="H711" s="20" t="s">
        <v>138</v>
      </c>
      <c r="I711" s="41">
        <v>257000</v>
      </c>
      <c r="J711" s="21">
        <v>317000</v>
      </c>
    </row>
    <row r="712" spans="1:10">
      <c r="A712" s="20" t="s">
        <v>30</v>
      </c>
      <c r="B712" s="20" t="s">
        <v>31</v>
      </c>
      <c r="C712" s="20" t="s">
        <v>32</v>
      </c>
      <c r="D712" s="20">
        <v>257.24</v>
      </c>
      <c r="E712" s="20">
        <v>314</v>
      </c>
      <c r="F712" s="23">
        <v>13</v>
      </c>
      <c r="G712" s="35" t="str">
        <f t="shared" si="14"/>
        <v>CAMİKEBİR31413</v>
      </c>
      <c r="H712" s="20" t="s">
        <v>138</v>
      </c>
      <c r="I712" s="41">
        <v>258000</v>
      </c>
      <c r="J712" s="21">
        <v>318000</v>
      </c>
    </row>
    <row r="713" spans="1:10">
      <c r="A713" s="20" t="s">
        <v>30</v>
      </c>
      <c r="B713" s="20" t="s">
        <v>31</v>
      </c>
      <c r="C713" s="20" t="s">
        <v>32</v>
      </c>
      <c r="D713" s="20">
        <v>258.11</v>
      </c>
      <c r="E713" s="20">
        <v>314</v>
      </c>
      <c r="F713" s="23">
        <v>14</v>
      </c>
      <c r="G713" s="35" t="str">
        <f t="shared" si="14"/>
        <v>CAMİKEBİR31414</v>
      </c>
      <c r="H713" s="20" t="s">
        <v>138</v>
      </c>
      <c r="I713" s="41">
        <v>259000</v>
      </c>
      <c r="J713" s="21">
        <v>295000</v>
      </c>
    </row>
    <row r="714" spans="1:10">
      <c r="A714" s="20" t="s">
        <v>30</v>
      </c>
      <c r="B714" s="20" t="s">
        <v>31</v>
      </c>
      <c r="C714" s="20" t="s">
        <v>32</v>
      </c>
      <c r="D714" s="20">
        <v>405.68</v>
      </c>
      <c r="E714" s="20">
        <v>316</v>
      </c>
      <c r="F714" s="23">
        <v>1</v>
      </c>
      <c r="G714" s="35" t="str">
        <f t="shared" si="14"/>
        <v>CAMİKEBİR3161</v>
      </c>
      <c r="H714" s="20" t="s">
        <v>138</v>
      </c>
      <c r="I714" s="41">
        <v>407000</v>
      </c>
      <c r="J714" s="21">
        <v>500000</v>
      </c>
    </row>
    <row r="715" spans="1:10">
      <c r="A715" s="20" t="s">
        <v>30</v>
      </c>
      <c r="B715" s="20" t="s">
        <v>31</v>
      </c>
      <c r="C715" s="20" t="s">
        <v>32</v>
      </c>
      <c r="D715" s="20">
        <v>271.23</v>
      </c>
      <c r="E715" s="20">
        <v>316</v>
      </c>
      <c r="F715" s="23">
        <v>12</v>
      </c>
      <c r="G715" s="35" t="str">
        <f t="shared" si="14"/>
        <v>CAMİKEBİR31612</v>
      </c>
      <c r="H715" s="20" t="s">
        <v>138</v>
      </c>
      <c r="I715" s="41">
        <v>272000</v>
      </c>
      <c r="J715" s="21">
        <v>330000</v>
      </c>
    </row>
    <row r="716" spans="1:10">
      <c r="A716" s="20" t="s">
        <v>30</v>
      </c>
      <c r="B716" s="20" t="s">
        <v>31</v>
      </c>
      <c r="C716" s="20" t="s">
        <v>32</v>
      </c>
      <c r="D716" s="20">
        <v>271.5</v>
      </c>
      <c r="E716" s="20">
        <v>316</v>
      </c>
      <c r="F716" s="23">
        <v>13</v>
      </c>
      <c r="G716" s="35" t="str">
        <f t="shared" si="14"/>
        <v>CAMİKEBİR31613</v>
      </c>
      <c r="H716" s="20" t="s">
        <v>138</v>
      </c>
      <c r="I716" s="41">
        <v>273000</v>
      </c>
      <c r="J716" s="21">
        <v>335000</v>
      </c>
    </row>
    <row r="717" spans="1:10">
      <c r="A717" s="20" t="s">
        <v>30</v>
      </c>
      <c r="B717" s="20" t="s">
        <v>31</v>
      </c>
      <c r="C717" s="20" t="s">
        <v>32</v>
      </c>
      <c r="D717" s="20">
        <v>271.76</v>
      </c>
      <c r="E717" s="20">
        <v>316</v>
      </c>
      <c r="F717" s="23">
        <v>14</v>
      </c>
      <c r="G717" s="35" t="str">
        <f t="shared" si="14"/>
        <v>CAMİKEBİR31614</v>
      </c>
      <c r="H717" s="20" t="s">
        <v>138</v>
      </c>
      <c r="I717" s="41">
        <v>273000</v>
      </c>
      <c r="J717" s="21">
        <v>335000</v>
      </c>
    </row>
    <row r="718" spans="1:10">
      <c r="A718" s="20" t="s">
        <v>30</v>
      </c>
      <c r="B718" s="20" t="s">
        <v>31</v>
      </c>
      <c r="C718" s="20" t="s">
        <v>32</v>
      </c>
      <c r="D718" s="20">
        <v>272.02</v>
      </c>
      <c r="E718" s="20">
        <v>316</v>
      </c>
      <c r="F718" s="23">
        <v>15</v>
      </c>
      <c r="G718" s="35" t="str">
        <f t="shared" si="14"/>
        <v>CAMİKEBİR31615</v>
      </c>
      <c r="H718" s="20" t="s">
        <v>138</v>
      </c>
      <c r="I718" s="41">
        <v>290000</v>
      </c>
      <c r="J718" s="21">
        <v>333500</v>
      </c>
    </row>
    <row r="719" spans="1:10">
      <c r="A719" s="20" t="s">
        <v>30</v>
      </c>
      <c r="B719" s="20" t="s">
        <v>31</v>
      </c>
      <c r="C719" s="20" t="s">
        <v>32</v>
      </c>
      <c r="D719" s="20">
        <v>272.35000000000002</v>
      </c>
      <c r="E719" s="20">
        <v>316</v>
      </c>
      <c r="F719" s="23">
        <v>16</v>
      </c>
      <c r="G719" s="35" t="str">
        <f t="shared" si="14"/>
        <v>CAMİKEBİR31616</v>
      </c>
      <c r="H719" s="20" t="s">
        <v>138</v>
      </c>
      <c r="I719" s="41">
        <v>273000</v>
      </c>
      <c r="J719" s="21">
        <v>314000</v>
      </c>
    </row>
    <row r="720" spans="1:10">
      <c r="A720" s="20" t="s">
        <v>30</v>
      </c>
      <c r="B720" s="20" t="s">
        <v>31</v>
      </c>
      <c r="C720" s="20" t="s">
        <v>32</v>
      </c>
      <c r="D720" s="20">
        <v>258.87</v>
      </c>
      <c r="E720" s="20">
        <v>316</v>
      </c>
      <c r="F720" s="23">
        <v>17</v>
      </c>
      <c r="G720" s="35" t="str">
        <f t="shared" si="14"/>
        <v>CAMİKEBİR31617</v>
      </c>
      <c r="H720" s="20" t="s">
        <v>138</v>
      </c>
      <c r="I720" s="41">
        <v>260000</v>
      </c>
      <c r="J720" s="21">
        <v>300000</v>
      </c>
    </row>
    <row r="721" spans="1:10">
      <c r="A721" s="20" t="s">
        <v>30</v>
      </c>
      <c r="B721" s="20" t="s">
        <v>31</v>
      </c>
      <c r="C721" s="20" t="s">
        <v>32</v>
      </c>
      <c r="D721" s="20">
        <v>270.54000000000002</v>
      </c>
      <c r="E721" s="20">
        <v>316</v>
      </c>
      <c r="F721" s="23">
        <v>26</v>
      </c>
      <c r="G721" s="35" t="str">
        <f t="shared" si="14"/>
        <v>CAMİKEBİR31626</v>
      </c>
      <c r="H721" s="20" t="s">
        <v>138</v>
      </c>
      <c r="I721" s="41">
        <v>272000</v>
      </c>
      <c r="J721" s="21">
        <v>310000</v>
      </c>
    </row>
    <row r="722" spans="1:10">
      <c r="A722" s="20" t="s">
        <v>30</v>
      </c>
      <c r="B722" s="20" t="s">
        <v>31</v>
      </c>
      <c r="C722" s="20" t="s">
        <v>32</v>
      </c>
      <c r="D722" s="20">
        <v>269.33</v>
      </c>
      <c r="E722" s="20">
        <v>316</v>
      </c>
      <c r="F722" s="23">
        <v>29</v>
      </c>
      <c r="G722" s="35" t="str">
        <f t="shared" si="14"/>
        <v>CAMİKEBİR31629</v>
      </c>
      <c r="H722" s="20" t="s">
        <v>138</v>
      </c>
      <c r="I722" s="41">
        <v>271000</v>
      </c>
      <c r="J722" s="21">
        <v>310000</v>
      </c>
    </row>
    <row r="723" spans="1:10">
      <c r="A723" s="20" t="s">
        <v>30</v>
      </c>
      <c r="B723" s="20" t="s">
        <v>31</v>
      </c>
      <c r="C723" s="20" t="s">
        <v>32</v>
      </c>
      <c r="D723" s="20">
        <v>268.92</v>
      </c>
      <c r="E723" s="20">
        <v>316</v>
      </c>
      <c r="F723" s="23">
        <v>30</v>
      </c>
      <c r="G723" s="35" t="str">
        <f t="shared" si="14"/>
        <v>CAMİKEBİR31630</v>
      </c>
      <c r="H723" s="20" t="s">
        <v>138</v>
      </c>
      <c r="I723" s="41">
        <v>270000</v>
      </c>
      <c r="J723" s="21">
        <v>310000</v>
      </c>
    </row>
    <row r="724" spans="1:10">
      <c r="A724" s="20" t="s">
        <v>30</v>
      </c>
      <c r="B724" s="20" t="s">
        <v>31</v>
      </c>
      <c r="C724" s="20" t="s">
        <v>32</v>
      </c>
      <c r="D724" s="20">
        <v>268.52</v>
      </c>
      <c r="E724" s="20">
        <v>316</v>
      </c>
      <c r="F724" s="23">
        <v>31</v>
      </c>
      <c r="G724" s="35" t="str">
        <f t="shared" si="14"/>
        <v>CAMİKEBİR31631</v>
      </c>
      <c r="H724" s="20" t="s">
        <v>138</v>
      </c>
      <c r="I724" s="41">
        <v>270000</v>
      </c>
      <c r="J724" s="21">
        <v>310000</v>
      </c>
    </row>
    <row r="725" spans="1:10">
      <c r="A725" s="20" t="s">
        <v>30</v>
      </c>
      <c r="B725" s="20" t="s">
        <v>31</v>
      </c>
      <c r="C725" s="20" t="s">
        <v>32</v>
      </c>
      <c r="D725" s="20">
        <v>268.11</v>
      </c>
      <c r="E725" s="20">
        <v>316</v>
      </c>
      <c r="F725" s="23">
        <v>32</v>
      </c>
      <c r="G725" s="35" t="str">
        <f t="shared" si="14"/>
        <v>CAMİKEBİR31632</v>
      </c>
      <c r="H725" s="20" t="s">
        <v>138</v>
      </c>
      <c r="I725" s="41">
        <v>269000</v>
      </c>
      <c r="J725" s="21">
        <v>310000</v>
      </c>
    </row>
    <row r="726" spans="1:10">
      <c r="A726" s="20" t="s">
        <v>30</v>
      </c>
      <c r="B726" s="20" t="s">
        <v>31</v>
      </c>
      <c r="C726" s="20" t="s">
        <v>32</v>
      </c>
      <c r="D726" s="20">
        <v>267.70999999999998</v>
      </c>
      <c r="E726" s="20">
        <v>316</v>
      </c>
      <c r="F726" s="23">
        <v>33</v>
      </c>
      <c r="G726" s="35" t="str">
        <f t="shared" si="14"/>
        <v>CAMİKEBİR31633</v>
      </c>
      <c r="H726" s="20" t="s">
        <v>138</v>
      </c>
      <c r="I726" s="41">
        <v>269000</v>
      </c>
      <c r="J726" s="21">
        <v>295000</v>
      </c>
    </row>
    <row r="727" spans="1:10">
      <c r="A727" s="20" t="s">
        <v>30</v>
      </c>
      <c r="B727" s="20" t="s">
        <v>31</v>
      </c>
      <c r="C727" s="20" t="s">
        <v>32</v>
      </c>
      <c r="D727" s="20">
        <v>267.3</v>
      </c>
      <c r="E727" s="20">
        <v>316</v>
      </c>
      <c r="F727" s="23">
        <v>34</v>
      </c>
      <c r="G727" s="35" t="str">
        <f t="shared" si="14"/>
        <v>CAMİKEBİR31634</v>
      </c>
      <c r="H727" s="20" t="s">
        <v>138</v>
      </c>
      <c r="I727" s="41">
        <v>268000</v>
      </c>
      <c r="J727" s="21">
        <v>310000</v>
      </c>
    </row>
    <row r="728" spans="1:10">
      <c r="A728" s="20" t="s">
        <v>87</v>
      </c>
      <c r="B728" s="20" t="s">
        <v>88</v>
      </c>
      <c r="C728" s="20" t="s">
        <v>32</v>
      </c>
      <c r="D728" s="20">
        <v>267</v>
      </c>
      <c r="E728" s="20">
        <v>176</v>
      </c>
      <c r="F728" s="23">
        <v>121</v>
      </c>
      <c r="G728" s="35" t="str">
        <f t="shared" si="14"/>
        <v>CAMİKEBİR176121</v>
      </c>
      <c r="H728" s="20" t="s">
        <v>138</v>
      </c>
      <c r="I728" s="41">
        <v>220000</v>
      </c>
      <c r="J728" s="21">
        <v>253000</v>
      </c>
    </row>
    <row r="729" spans="1:10">
      <c r="A729" s="20" t="s">
        <v>87</v>
      </c>
      <c r="B729" s="20" t="s">
        <v>88</v>
      </c>
      <c r="C729" s="20" t="s">
        <v>32</v>
      </c>
      <c r="D729" s="20">
        <v>273</v>
      </c>
      <c r="E729" s="20">
        <v>176</v>
      </c>
      <c r="F729" s="23">
        <v>137</v>
      </c>
      <c r="G729" s="35" t="str">
        <f t="shared" si="14"/>
        <v>CAMİKEBİR176137</v>
      </c>
      <c r="H729" s="20" t="s">
        <v>138</v>
      </c>
      <c r="I729" s="41">
        <v>225000</v>
      </c>
      <c r="J729" s="21">
        <v>258000</v>
      </c>
    </row>
    <row r="730" spans="1:10">
      <c r="A730" s="20" t="s">
        <v>87</v>
      </c>
      <c r="B730" s="20" t="s">
        <v>88</v>
      </c>
      <c r="C730" s="20" t="s">
        <v>32</v>
      </c>
      <c r="D730" s="20">
        <v>271</v>
      </c>
      <c r="E730" s="20">
        <v>176</v>
      </c>
      <c r="F730" s="23">
        <v>138</v>
      </c>
      <c r="G730" s="35" t="str">
        <f t="shared" si="14"/>
        <v>CAMİKEBİR176138</v>
      </c>
      <c r="H730" s="20" t="s">
        <v>138</v>
      </c>
      <c r="I730" s="41">
        <v>223000</v>
      </c>
      <c r="J730" s="21">
        <v>257000</v>
      </c>
    </row>
    <row r="731" spans="1:10">
      <c r="A731" s="65" t="s">
        <v>14</v>
      </c>
      <c r="B731" s="19" t="s">
        <v>15</v>
      </c>
      <c r="C731" s="19" t="s">
        <v>63</v>
      </c>
      <c r="D731" s="19">
        <v>840.44</v>
      </c>
      <c r="E731" s="19">
        <v>103</v>
      </c>
      <c r="F731" s="17">
        <v>18</v>
      </c>
      <c r="G731" s="35" t="str">
        <f t="shared" si="14"/>
        <v>ILICABOĞAZI10318</v>
      </c>
      <c r="H731" s="19" t="s">
        <v>138</v>
      </c>
      <c r="I731" s="54">
        <v>640000</v>
      </c>
      <c r="J731" s="7"/>
    </row>
    <row r="732" spans="1:10">
      <c r="A732" s="65" t="s">
        <v>14</v>
      </c>
      <c r="B732" s="19" t="s">
        <v>15</v>
      </c>
      <c r="C732" s="19" t="s">
        <v>63</v>
      </c>
      <c r="D732" s="19">
        <v>820.87</v>
      </c>
      <c r="E732" s="19">
        <v>103</v>
      </c>
      <c r="F732" s="47">
        <v>19</v>
      </c>
      <c r="G732" s="35" t="str">
        <f t="shared" si="14"/>
        <v>ILICABOĞAZI10319</v>
      </c>
      <c r="H732" s="19" t="s">
        <v>138</v>
      </c>
      <c r="I732" s="54">
        <v>620000</v>
      </c>
      <c r="J732" s="7"/>
    </row>
    <row r="733" spans="1:10">
      <c r="A733" s="64" t="s">
        <v>14</v>
      </c>
      <c r="B733" s="35" t="s">
        <v>15</v>
      </c>
      <c r="C733" s="35" t="s">
        <v>63</v>
      </c>
      <c r="D733" s="35">
        <v>554.84</v>
      </c>
      <c r="E733" s="35">
        <v>105</v>
      </c>
      <c r="F733" s="2">
        <v>19</v>
      </c>
      <c r="G733" s="35" t="str">
        <f t="shared" si="14"/>
        <v>ILICABOĞAZI10519</v>
      </c>
      <c r="H733" s="35" t="s">
        <v>142</v>
      </c>
      <c r="I733" s="49">
        <f>($J$566+$J$567)/($D$566+$D$567)*D733</f>
        <v>0</v>
      </c>
      <c r="J733" s="48"/>
    </row>
    <row r="734" spans="1:10">
      <c r="A734" s="65" t="s">
        <v>14</v>
      </c>
      <c r="B734" s="19" t="s">
        <v>15</v>
      </c>
      <c r="C734" s="19" t="s">
        <v>63</v>
      </c>
      <c r="D734" s="19">
        <v>842.08</v>
      </c>
      <c r="E734" s="19">
        <v>103</v>
      </c>
      <c r="F734" s="47">
        <v>20</v>
      </c>
      <c r="G734" s="35" t="str">
        <f t="shared" si="14"/>
        <v>ILICABOĞAZI10320</v>
      </c>
      <c r="H734" s="19" t="s">
        <v>138</v>
      </c>
      <c r="I734" s="54">
        <v>640000</v>
      </c>
      <c r="J734" s="7"/>
    </row>
    <row r="735" spans="1:10">
      <c r="A735" s="64" t="s">
        <v>14</v>
      </c>
      <c r="B735" s="35" t="s">
        <v>15</v>
      </c>
      <c r="C735" s="35" t="s">
        <v>63</v>
      </c>
      <c r="D735" s="35">
        <v>554.84</v>
      </c>
      <c r="E735" s="35">
        <v>105</v>
      </c>
      <c r="F735" s="2">
        <v>20</v>
      </c>
      <c r="G735" s="35" t="str">
        <f t="shared" si="14"/>
        <v>ILICABOĞAZI10520</v>
      </c>
      <c r="H735" s="35" t="s">
        <v>142</v>
      </c>
      <c r="I735" s="49">
        <f>($J$566+$J$567)/($D$566+$D$567)*D735</f>
        <v>0</v>
      </c>
      <c r="J735" s="48"/>
    </row>
    <row r="736" spans="1:10">
      <c r="A736" s="65" t="s">
        <v>14</v>
      </c>
      <c r="B736" s="19" t="s">
        <v>15</v>
      </c>
      <c r="C736" s="19" t="s">
        <v>63</v>
      </c>
      <c r="D736" s="19">
        <v>862.95</v>
      </c>
      <c r="E736" s="19">
        <v>103</v>
      </c>
      <c r="F736" s="47">
        <v>21</v>
      </c>
      <c r="G736" s="35" t="str">
        <f t="shared" si="14"/>
        <v>ILICABOĞAZI10321</v>
      </c>
      <c r="H736" s="19" t="s">
        <v>138</v>
      </c>
      <c r="I736" s="54">
        <v>650000</v>
      </c>
      <c r="J736" s="7"/>
    </row>
    <row r="737" spans="1:10">
      <c r="A737" s="64" t="s">
        <v>14</v>
      </c>
      <c r="B737" s="35" t="s">
        <v>15</v>
      </c>
      <c r="C737" s="35" t="s">
        <v>63</v>
      </c>
      <c r="D737" s="35">
        <v>554.85</v>
      </c>
      <c r="E737" s="35">
        <v>105</v>
      </c>
      <c r="F737" s="2">
        <v>21</v>
      </c>
      <c r="G737" s="35" t="str">
        <f t="shared" si="14"/>
        <v>ILICABOĞAZI10521</v>
      </c>
      <c r="H737" s="35" t="s">
        <v>142</v>
      </c>
      <c r="I737" s="49">
        <f>($J$566+$J$567)/($D$566+$D$567)*D737</f>
        <v>0</v>
      </c>
      <c r="J737" s="48"/>
    </row>
    <row r="738" spans="1:10">
      <c r="A738" s="65" t="s">
        <v>14</v>
      </c>
      <c r="B738" s="19" t="s">
        <v>15</v>
      </c>
      <c r="C738" s="19" t="s">
        <v>63</v>
      </c>
      <c r="D738" s="19">
        <v>843.75</v>
      </c>
      <c r="E738" s="19">
        <v>103</v>
      </c>
      <c r="F738" s="17">
        <v>22</v>
      </c>
      <c r="G738" s="35" t="str">
        <f t="shared" si="14"/>
        <v>ILICABOĞAZI10322</v>
      </c>
      <c r="H738" s="19" t="s">
        <v>138</v>
      </c>
      <c r="I738" s="54">
        <v>640000</v>
      </c>
      <c r="J738" s="7"/>
    </row>
    <row r="739" spans="1:10">
      <c r="A739" s="65" t="s">
        <v>14</v>
      </c>
      <c r="B739" s="19" t="s">
        <v>15</v>
      </c>
      <c r="C739" s="19" t="s">
        <v>63</v>
      </c>
      <c r="D739" s="19">
        <v>844.95</v>
      </c>
      <c r="E739" s="19">
        <v>103</v>
      </c>
      <c r="F739" s="17">
        <v>23</v>
      </c>
      <c r="G739" s="35" t="str">
        <f t="shared" si="14"/>
        <v>ILICABOĞAZI10323</v>
      </c>
      <c r="H739" s="19" t="s">
        <v>138</v>
      </c>
      <c r="I739" s="54">
        <v>640000</v>
      </c>
      <c r="J739" s="7"/>
    </row>
    <row r="740" spans="1:10">
      <c r="A740" s="64" t="s">
        <v>14</v>
      </c>
      <c r="B740" s="35" t="s">
        <v>15</v>
      </c>
      <c r="C740" s="35" t="s">
        <v>63</v>
      </c>
      <c r="D740" s="35">
        <v>556.9</v>
      </c>
      <c r="E740" s="35">
        <v>105</v>
      </c>
      <c r="F740" s="2">
        <v>23</v>
      </c>
      <c r="G740" s="35" t="str">
        <f t="shared" si="14"/>
        <v>ILICABOĞAZI10523</v>
      </c>
      <c r="H740" s="35" t="s">
        <v>142</v>
      </c>
      <c r="I740" s="49">
        <f>($J$564+$J$573)/($D$564+$D$573)*D740</f>
        <v>0</v>
      </c>
      <c r="J740" s="48"/>
    </row>
    <row r="741" spans="1:10">
      <c r="A741" s="65" t="s">
        <v>14</v>
      </c>
      <c r="B741" s="19" t="s">
        <v>15</v>
      </c>
      <c r="C741" s="19" t="s">
        <v>63</v>
      </c>
      <c r="D741" s="19">
        <v>805.2</v>
      </c>
      <c r="E741" s="19">
        <v>103</v>
      </c>
      <c r="F741" s="17">
        <v>24</v>
      </c>
      <c r="G741" s="35" t="str">
        <f t="shared" si="14"/>
        <v>ILICABOĞAZI10324</v>
      </c>
      <c r="H741" s="19" t="s">
        <v>138</v>
      </c>
      <c r="I741" s="54">
        <v>610000</v>
      </c>
      <c r="J741" s="7"/>
    </row>
    <row r="742" spans="1:10">
      <c r="A742" s="64" t="s">
        <v>14</v>
      </c>
      <c r="B742" s="35" t="s">
        <v>15</v>
      </c>
      <c r="C742" s="35" t="s">
        <v>63</v>
      </c>
      <c r="D742" s="35">
        <v>556.9</v>
      </c>
      <c r="E742" s="35">
        <v>105</v>
      </c>
      <c r="F742" s="2">
        <v>24</v>
      </c>
      <c r="G742" s="35" t="str">
        <f t="shared" si="14"/>
        <v>ILICABOĞAZI10524</v>
      </c>
      <c r="H742" s="35" t="s">
        <v>142</v>
      </c>
      <c r="I742" s="49">
        <f>($J$564+$J$573)/($D$564+$D$573)*D742</f>
        <v>0</v>
      </c>
      <c r="J742" s="48"/>
    </row>
    <row r="743" spans="1:10">
      <c r="A743" s="65" t="s">
        <v>14</v>
      </c>
      <c r="B743" s="19" t="s">
        <v>15</v>
      </c>
      <c r="C743" s="19" t="s">
        <v>63</v>
      </c>
      <c r="D743" s="19">
        <v>846.62</v>
      </c>
      <c r="E743" s="19">
        <v>103</v>
      </c>
      <c r="F743" s="17">
        <v>25</v>
      </c>
      <c r="G743" s="35" t="str">
        <f t="shared" si="14"/>
        <v>ILICABOĞAZI10325</v>
      </c>
      <c r="H743" s="19" t="s">
        <v>138</v>
      </c>
      <c r="I743" s="54">
        <v>650000</v>
      </c>
      <c r="J743" s="7"/>
    </row>
    <row r="744" spans="1:10">
      <c r="A744" s="64" t="s">
        <v>14</v>
      </c>
      <c r="B744" s="35" t="s">
        <v>15</v>
      </c>
      <c r="C744" s="35" t="s">
        <v>63</v>
      </c>
      <c r="D744" s="35">
        <v>556.9</v>
      </c>
      <c r="E744" s="35">
        <v>105</v>
      </c>
      <c r="F744" s="2">
        <v>25</v>
      </c>
      <c r="G744" s="35" t="str">
        <f t="shared" si="14"/>
        <v>ILICABOĞAZI10525</v>
      </c>
      <c r="H744" s="35" t="s">
        <v>142</v>
      </c>
      <c r="I744" s="49">
        <f>($J$564+$J$573)/($D$564+$D$573)*D744</f>
        <v>0</v>
      </c>
      <c r="J744" s="48"/>
    </row>
    <row r="745" spans="1:10">
      <c r="A745" s="65" t="s">
        <v>14</v>
      </c>
      <c r="B745" s="19" t="s">
        <v>15</v>
      </c>
      <c r="C745" s="19" t="s">
        <v>63</v>
      </c>
      <c r="D745" s="19">
        <v>867.68</v>
      </c>
      <c r="E745" s="19">
        <v>103</v>
      </c>
      <c r="F745" s="17">
        <v>26</v>
      </c>
      <c r="G745" s="35" t="str">
        <f t="shared" si="14"/>
        <v>ILICABOĞAZI10326</v>
      </c>
      <c r="H745" s="19" t="s">
        <v>138</v>
      </c>
      <c r="I745" s="54">
        <v>660000</v>
      </c>
      <c r="J745" s="7"/>
    </row>
    <row r="746" spans="1:10">
      <c r="A746" s="64" t="s">
        <v>14</v>
      </c>
      <c r="B746" s="35" t="s">
        <v>15</v>
      </c>
      <c r="C746" s="35" t="s">
        <v>63</v>
      </c>
      <c r="D746" s="35">
        <v>507.05</v>
      </c>
      <c r="E746" s="35">
        <v>105</v>
      </c>
      <c r="F746" s="2">
        <v>27</v>
      </c>
      <c r="G746" s="35" t="str">
        <f t="shared" si="14"/>
        <v>ILICABOĞAZI10527</v>
      </c>
      <c r="H746" s="35" t="s">
        <v>138</v>
      </c>
      <c r="I746" s="49">
        <f>($I$570+$I$571+$I$572)/($D$570+$D$571+$D$572)*D746</f>
        <v>312545.83825234807</v>
      </c>
      <c r="J746" s="48"/>
    </row>
    <row r="747" spans="1:10">
      <c r="A747" s="64" t="s">
        <v>14</v>
      </c>
      <c r="B747" s="35" t="s">
        <v>15</v>
      </c>
      <c r="C747" s="35" t="s">
        <v>63</v>
      </c>
      <c r="D747" s="35">
        <v>511.2</v>
      </c>
      <c r="E747" s="35">
        <v>103</v>
      </c>
      <c r="F747" s="2">
        <v>28</v>
      </c>
      <c r="G747" s="35" t="str">
        <f t="shared" si="14"/>
        <v>ILICABOĞAZI10328</v>
      </c>
      <c r="H747" s="35" t="s">
        <v>138</v>
      </c>
      <c r="I747" s="49">
        <v>386001.51</v>
      </c>
      <c r="J747" s="48"/>
    </row>
    <row r="748" spans="1:10">
      <c r="A748" s="79" t="s">
        <v>14</v>
      </c>
      <c r="B748" s="20" t="s">
        <v>15</v>
      </c>
      <c r="C748" s="20" t="s">
        <v>63</v>
      </c>
      <c r="D748" s="20">
        <v>507.05</v>
      </c>
      <c r="E748" s="20">
        <v>105</v>
      </c>
      <c r="F748" s="23">
        <v>28</v>
      </c>
      <c r="G748" s="35" t="str">
        <f t="shared" si="14"/>
        <v>ILICABOĞAZI10528</v>
      </c>
      <c r="H748" s="20" t="s">
        <v>138</v>
      </c>
      <c r="I748" s="41">
        <f>($I$570+$I$571+$I$572)/($D$570+$D$571+$D$572)*D748</f>
        <v>312545.83825234807</v>
      </c>
      <c r="J748" s="21">
        <v>390000</v>
      </c>
    </row>
    <row r="749" spans="1:10">
      <c r="A749" s="64" t="s">
        <v>14</v>
      </c>
      <c r="B749" s="35" t="s">
        <v>15</v>
      </c>
      <c r="C749" s="35" t="s">
        <v>63</v>
      </c>
      <c r="D749" s="35">
        <v>511.2</v>
      </c>
      <c r="E749" s="35">
        <v>103</v>
      </c>
      <c r="F749" s="2">
        <v>29</v>
      </c>
      <c r="G749" s="35" t="str">
        <f t="shared" si="14"/>
        <v>ILICABOĞAZI10329</v>
      </c>
      <c r="H749" s="35" t="s">
        <v>138</v>
      </c>
      <c r="I749" s="49">
        <v>386001.51</v>
      </c>
      <c r="J749" s="48"/>
    </row>
    <row r="750" spans="1:10">
      <c r="A750" s="86" t="s">
        <v>14</v>
      </c>
      <c r="B750" s="26" t="s">
        <v>15</v>
      </c>
      <c r="C750" s="26" t="s">
        <v>63</v>
      </c>
      <c r="D750" s="26">
        <v>507.05</v>
      </c>
      <c r="E750" s="26">
        <v>105</v>
      </c>
      <c r="F750" s="27">
        <v>29</v>
      </c>
      <c r="G750" s="35" t="str">
        <f t="shared" si="14"/>
        <v>ILICABOĞAZI10529</v>
      </c>
      <c r="H750" s="26" t="s">
        <v>138</v>
      </c>
      <c r="I750" s="29">
        <f>($I$570+$I$571+$I$572)/($D$570+$D$571+$D$572)*D750</f>
        <v>312545.83825234807</v>
      </c>
      <c r="J750" s="28">
        <v>370000</v>
      </c>
    </row>
    <row r="751" spans="1:10">
      <c r="A751" s="64" t="s">
        <v>14</v>
      </c>
      <c r="B751" s="35" t="s">
        <v>15</v>
      </c>
      <c r="C751" s="35" t="s">
        <v>63</v>
      </c>
      <c r="D751" s="35">
        <v>511.19</v>
      </c>
      <c r="E751" s="35">
        <v>103</v>
      </c>
      <c r="F751" s="2">
        <v>30</v>
      </c>
      <c r="G751" s="35" t="str">
        <f t="shared" si="14"/>
        <v>ILICABOĞAZI10330</v>
      </c>
      <c r="H751" s="35" t="s">
        <v>138</v>
      </c>
      <c r="I751" s="49">
        <v>385993.96</v>
      </c>
      <c r="J751" s="48"/>
    </row>
    <row r="752" spans="1:10">
      <c r="A752" s="86" t="s">
        <v>14</v>
      </c>
      <c r="B752" s="26" t="s">
        <v>15</v>
      </c>
      <c r="C752" s="26" t="s">
        <v>63</v>
      </c>
      <c r="D752" s="26">
        <v>507.05</v>
      </c>
      <c r="E752" s="26">
        <v>105</v>
      </c>
      <c r="F752" s="27">
        <v>30</v>
      </c>
      <c r="G752" s="35" t="str">
        <f t="shared" si="14"/>
        <v>ILICABOĞAZI10530</v>
      </c>
      <c r="H752" s="26" t="s">
        <v>138</v>
      </c>
      <c r="I752" s="29">
        <f>($I$570+$I$571+$I$572)/($D$570+$D$571+$D$572)*D752</f>
        <v>312545.83825234807</v>
      </c>
      <c r="J752" s="28">
        <v>460000</v>
      </c>
    </row>
    <row r="753" spans="1:10">
      <c r="A753" s="64" t="s">
        <v>14</v>
      </c>
      <c r="B753" s="35" t="s">
        <v>15</v>
      </c>
      <c r="C753" s="35" t="s">
        <v>63</v>
      </c>
      <c r="D753" s="35">
        <v>511.2</v>
      </c>
      <c r="E753" s="35">
        <v>103</v>
      </c>
      <c r="F753" s="2">
        <v>31</v>
      </c>
      <c r="G753" s="35" t="str">
        <f t="shared" si="14"/>
        <v>ILICABOĞAZI10331</v>
      </c>
      <c r="H753" s="35" t="s">
        <v>138</v>
      </c>
      <c r="I753" s="49">
        <v>386001.51</v>
      </c>
      <c r="J753" s="48"/>
    </row>
    <row r="754" spans="1:10">
      <c r="A754" s="86" t="s">
        <v>14</v>
      </c>
      <c r="B754" s="26" t="s">
        <v>15</v>
      </c>
      <c r="C754" s="26" t="s">
        <v>63</v>
      </c>
      <c r="D754" s="26">
        <v>507.08</v>
      </c>
      <c r="E754" s="26">
        <v>105</v>
      </c>
      <c r="F754" s="27">
        <v>31</v>
      </c>
      <c r="G754" s="35" t="str">
        <f t="shared" si="14"/>
        <v>ILICABOĞAZI10531</v>
      </c>
      <c r="H754" s="26" t="s">
        <v>138</v>
      </c>
      <c r="I754" s="29">
        <f>($I$570+$I$571+$I$572)/($D$570+$D$571+$D$572)*D754</f>
        <v>312564.33026526112</v>
      </c>
      <c r="J754" s="28">
        <v>460000</v>
      </c>
    </row>
    <row r="755" spans="1:10">
      <c r="A755" s="64" t="s">
        <v>14</v>
      </c>
      <c r="B755" s="35" t="s">
        <v>15</v>
      </c>
      <c r="C755" s="35" t="s">
        <v>63</v>
      </c>
      <c r="D755" s="35">
        <v>511.2</v>
      </c>
      <c r="E755" s="35">
        <v>103</v>
      </c>
      <c r="F755" s="2">
        <v>32</v>
      </c>
      <c r="G755" s="35" t="str">
        <f t="shared" si="14"/>
        <v>ILICABOĞAZI10332</v>
      </c>
      <c r="H755" s="35" t="s">
        <v>138</v>
      </c>
      <c r="I755" s="49">
        <v>386001.51</v>
      </c>
      <c r="J755" s="48"/>
    </row>
    <row r="756" spans="1:10">
      <c r="A756" s="64" t="s">
        <v>14</v>
      </c>
      <c r="B756" s="35" t="s">
        <v>15</v>
      </c>
      <c r="C756" s="35" t="s">
        <v>63</v>
      </c>
      <c r="D756" s="35">
        <v>521.04</v>
      </c>
      <c r="E756" s="35">
        <v>105</v>
      </c>
      <c r="F756" s="35">
        <v>32</v>
      </c>
      <c r="G756" s="35" t="str">
        <f t="shared" si="14"/>
        <v>ILICABOĞAZI10532</v>
      </c>
      <c r="H756" s="35" t="s">
        <v>142</v>
      </c>
      <c r="I756" s="49">
        <f>($J$590/$D$590)*D756</f>
        <v>0</v>
      </c>
      <c r="J756" s="48"/>
    </row>
    <row r="757" spans="1:10">
      <c r="A757" s="64" t="s">
        <v>14</v>
      </c>
      <c r="B757" s="35" t="s">
        <v>15</v>
      </c>
      <c r="C757" s="35" t="s">
        <v>63</v>
      </c>
      <c r="D757" s="35">
        <v>317.75</v>
      </c>
      <c r="E757" s="35">
        <v>105</v>
      </c>
      <c r="F757" s="2">
        <v>33</v>
      </c>
      <c r="G757" s="35" t="str">
        <f t="shared" si="14"/>
        <v>ILICABOĞAZI10533</v>
      </c>
      <c r="H757" s="35" t="s">
        <v>142</v>
      </c>
      <c r="I757" s="49">
        <f>($J$590/$D$590)*D757</f>
        <v>0</v>
      </c>
      <c r="J757" s="48"/>
    </row>
    <row r="758" spans="1:10">
      <c r="A758" s="64" t="s">
        <v>14</v>
      </c>
      <c r="B758" s="35" t="s">
        <v>15</v>
      </c>
      <c r="C758" s="35" t="s">
        <v>63</v>
      </c>
      <c r="D758" s="35">
        <v>505.18</v>
      </c>
      <c r="E758" s="35">
        <v>103</v>
      </c>
      <c r="F758" s="2">
        <v>34</v>
      </c>
      <c r="G758" s="35" t="str">
        <f t="shared" si="14"/>
        <v>ILICABOĞAZI10334</v>
      </c>
      <c r="H758" s="35" t="s">
        <v>138</v>
      </c>
      <c r="I758" s="49">
        <v>382000</v>
      </c>
      <c r="J758" s="48"/>
    </row>
    <row r="759" spans="1:10">
      <c r="A759" s="64" t="s">
        <v>14</v>
      </c>
      <c r="B759" s="35" t="s">
        <v>15</v>
      </c>
      <c r="C759" s="35" t="s">
        <v>63</v>
      </c>
      <c r="D759" s="35">
        <v>505.18</v>
      </c>
      <c r="E759" s="35">
        <v>103</v>
      </c>
      <c r="F759" s="2">
        <v>35</v>
      </c>
      <c r="G759" s="35" t="str">
        <f t="shared" si="14"/>
        <v>ILICABOĞAZI10335</v>
      </c>
      <c r="H759" s="35" t="s">
        <v>138</v>
      </c>
      <c r="I759" s="49">
        <v>382000</v>
      </c>
      <c r="J759" s="48"/>
    </row>
    <row r="760" spans="1:10">
      <c r="A760" s="64" t="s">
        <v>14</v>
      </c>
      <c r="B760" s="35" t="s">
        <v>15</v>
      </c>
      <c r="C760" s="35" t="s">
        <v>63</v>
      </c>
      <c r="D760" s="35">
        <v>546.97</v>
      </c>
      <c r="E760" s="35">
        <v>105</v>
      </c>
      <c r="F760" s="2">
        <v>35</v>
      </c>
      <c r="G760" s="35" t="str">
        <f t="shared" si="14"/>
        <v>ILICABOĞAZI10535</v>
      </c>
      <c r="H760" s="35" t="s">
        <v>142</v>
      </c>
      <c r="I760" s="49">
        <f>($J$568+$J$569)/($D$568+$D$569)*D760</f>
        <v>0</v>
      </c>
      <c r="J760" s="48"/>
    </row>
    <row r="761" spans="1:10">
      <c r="A761" s="79" t="s">
        <v>14</v>
      </c>
      <c r="B761" s="20" t="s">
        <v>15</v>
      </c>
      <c r="C761" s="20" t="s">
        <v>63</v>
      </c>
      <c r="D761" s="20">
        <v>505.18</v>
      </c>
      <c r="E761" s="20">
        <v>103</v>
      </c>
      <c r="F761" s="23">
        <v>36</v>
      </c>
      <c r="G761" s="35" t="str">
        <f t="shared" si="14"/>
        <v>ILICABOĞAZI10336</v>
      </c>
      <c r="H761" s="20" t="s">
        <v>138</v>
      </c>
      <c r="I761" s="41">
        <v>382000</v>
      </c>
      <c r="J761" s="21">
        <v>470000</v>
      </c>
    </row>
    <row r="762" spans="1:10">
      <c r="A762" s="64" t="s">
        <v>14</v>
      </c>
      <c r="B762" s="35" t="s">
        <v>15</v>
      </c>
      <c r="C762" s="35" t="s">
        <v>63</v>
      </c>
      <c r="D762" s="35">
        <v>546.97</v>
      </c>
      <c r="E762" s="35">
        <v>105</v>
      </c>
      <c r="F762" s="2">
        <v>36</v>
      </c>
      <c r="G762" s="35" t="str">
        <f t="shared" si="14"/>
        <v>ILICABOĞAZI10536</v>
      </c>
      <c r="H762" s="35" t="s">
        <v>142</v>
      </c>
      <c r="I762" s="49">
        <f>($J$568+$J$569)/($D$568+$D$569)*D762</f>
        <v>0</v>
      </c>
      <c r="J762" s="48"/>
    </row>
    <row r="763" spans="1:10">
      <c r="A763" s="79" t="s">
        <v>14</v>
      </c>
      <c r="B763" s="20" t="s">
        <v>15</v>
      </c>
      <c r="C763" s="20" t="s">
        <v>63</v>
      </c>
      <c r="D763" s="20">
        <v>505.18</v>
      </c>
      <c r="E763" s="20">
        <v>103</v>
      </c>
      <c r="F763" s="23">
        <v>37</v>
      </c>
      <c r="G763" s="35" t="str">
        <f t="shared" si="14"/>
        <v>ILICABOĞAZI10337</v>
      </c>
      <c r="H763" s="20" t="s">
        <v>138</v>
      </c>
      <c r="I763" s="41">
        <v>382000</v>
      </c>
      <c r="J763" s="21">
        <v>470000</v>
      </c>
    </row>
    <row r="764" spans="1:10">
      <c r="A764" s="64" t="s">
        <v>14</v>
      </c>
      <c r="B764" s="35" t="s">
        <v>15</v>
      </c>
      <c r="C764" s="35" t="s">
        <v>63</v>
      </c>
      <c r="D764" s="35">
        <v>546.99</v>
      </c>
      <c r="E764" s="35">
        <v>105</v>
      </c>
      <c r="F764" s="2">
        <v>37</v>
      </c>
      <c r="G764" s="35" t="str">
        <f t="shared" si="14"/>
        <v>ILICABOĞAZI10537</v>
      </c>
      <c r="H764" s="35" t="s">
        <v>142</v>
      </c>
      <c r="I764" s="49">
        <f>($J$568+$J$569)/($D$568+$D$569)*D764</f>
        <v>0</v>
      </c>
      <c r="J764" s="48"/>
    </row>
    <row r="765" spans="1:10">
      <c r="A765" s="79" t="s">
        <v>14</v>
      </c>
      <c r="B765" s="20" t="s">
        <v>15</v>
      </c>
      <c r="C765" s="20" t="s">
        <v>63</v>
      </c>
      <c r="D765" s="20">
        <v>505.18</v>
      </c>
      <c r="E765" s="20">
        <v>103</v>
      </c>
      <c r="F765" s="23">
        <v>38</v>
      </c>
      <c r="G765" s="35" t="str">
        <f t="shared" si="14"/>
        <v>ILICABOĞAZI10338</v>
      </c>
      <c r="H765" s="20" t="s">
        <v>138</v>
      </c>
      <c r="I765" s="41">
        <v>382000</v>
      </c>
      <c r="J765" s="21">
        <v>460000</v>
      </c>
    </row>
    <row r="766" spans="1:10">
      <c r="A766" s="64" t="s">
        <v>14</v>
      </c>
      <c r="B766" s="35" t="s">
        <v>15</v>
      </c>
      <c r="C766" s="35" t="s">
        <v>63</v>
      </c>
      <c r="D766" s="35">
        <v>429.83</v>
      </c>
      <c r="E766" s="35">
        <v>105</v>
      </c>
      <c r="F766" s="2">
        <v>38</v>
      </c>
      <c r="G766" s="35" t="str">
        <f t="shared" si="14"/>
        <v>ILICABOĞAZI10538</v>
      </c>
      <c r="H766" s="35" t="s">
        <v>142</v>
      </c>
      <c r="I766" s="49">
        <f>($J$565/$D$565)*D766</f>
        <v>0</v>
      </c>
      <c r="J766" s="48"/>
    </row>
    <row r="767" spans="1:10">
      <c r="A767" s="64" t="s">
        <v>14</v>
      </c>
      <c r="B767" s="35" t="s">
        <v>15</v>
      </c>
      <c r="C767" s="35" t="s">
        <v>63</v>
      </c>
      <c r="D767" s="35">
        <v>479.2</v>
      </c>
      <c r="E767" s="35">
        <v>103</v>
      </c>
      <c r="F767" s="2">
        <v>39</v>
      </c>
      <c r="G767" s="35" t="str">
        <f t="shared" si="14"/>
        <v>ILICABOĞAZI10339</v>
      </c>
      <c r="H767" s="35" t="s">
        <v>138</v>
      </c>
      <c r="I767" s="49">
        <v>363952.25</v>
      </c>
      <c r="J767" s="48"/>
    </row>
    <row r="768" spans="1:10">
      <c r="A768" s="64" t="s">
        <v>14</v>
      </c>
      <c r="B768" s="35" t="s">
        <v>15</v>
      </c>
      <c r="C768" s="35" t="s">
        <v>63</v>
      </c>
      <c r="D768" s="35">
        <v>429.83</v>
      </c>
      <c r="E768" s="35">
        <v>105</v>
      </c>
      <c r="F768" s="2">
        <v>39</v>
      </c>
      <c r="G768" s="35" t="str">
        <f t="shared" si="14"/>
        <v>ILICABOĞAZI10539</v>
      </c>
      <c r="H768" s="35" t="s">
        <v>142</v>
      </c>
      <c r="I768" s="49">
        <f>($J$565/$D$565)*D768</f>
        <v>0</v>
      </c>
      <c r="J768" s="48"/>
    </row>
    <row r="769" spans="1:10">
      <c r="A769" s="64" t="s">
        <v>14</v>
      </c>
      <c r="B769" s="35" t="s">
        <v>15</v>
      </c>
      <c r="C769" s="35" t="s">
        <v>63</v>
      </c>
      <c r="D769" s="35">
        <v>363.46</v>
      </c>
      <c r="E769" s="35">
        <v>103</v>
      </c>
      <c r="F769" s="2">
        <v>40</v>
      </c>
      <c r="G769" s="35" t="str">
        <f t="shared" si="14"/>
        <v>ILICABOĞAZI10340</v>
      </c>
      <c r="H769" s="35" t="s">
        <v>138</v>
      </c>
      <c r="I769" s="94">
        <v>276047.75</v>
      </c>
      <c r="J769" s="48"/>
    </row>
    <row r="770" spans="1:10">
      <c r="A770" s="64" t="s">
        <v>14</v>
      </c>
      <c r="B770" s="35" t="s">
        <v>15</v>
      </c>
      <c r="C770" s="35" t="s">
        <v>63</v>
      </c>
      <c r="D770" s="35">
        <v>504.45</v>
      </c>
      <c r="E770" s="35">
        <v>103</v>
      </c>
      <c r="F770" s="2">
        <v>42</v>
      </c>
      <c r="G770" s="35" t="str">
        <f t="shared" si="14"/>
        <v>ILICABOĞAZI10342</v>
      </c>
      <c r="H770" s="35" t="s">
        <v>138</v>
      </c>
      <c r="I770" s="49">
        <v>381996.97</v>
      </c>
      <c r="J770" s="48"/>
    </row>
    <row r="771" spans="1:10">
      <c r="A771" s="64" t="s">
        <v>14</v>
      </c>
      <c r="B771" s="35" t="s">
        <v>15</v>
      </c>
      <c r="C771" s="35" t="s">
        <v>63</v>
      </c>
      <c r="D771" s="35">
        <v>504.46</v>
      </c>
      <c r="E771" s="35">
        <v>103</v>
      </c>
      <c r="F771" s="2">
        <v>43</v>
      </c>
      <c r="G771" s="35" t="str">
        <f t="shared" ref="G771:G810" si="15">C771&amp;E771&amp;F771</f>
        <v>ILICABOĞAZI10343</v>
      </c>
      <c r="H771" s="35" t="s">
        <v>138</v>
      </c>
      <c r="I771" s="49">
        <v>382004.54</v>
      </c>
      <c r="J771" s="48"/>
    </row>
    <row r="772" spans="1:10">
      <c r="A772" s="64" t="s">
        <v>14</v>
      </c>
      <c r="B772" s="35" t="s">
        <v>15</v>
      </c>
      <c r="C772" s="35" t="s">
        <v>63</v>
      </c>
      <c r="D772" s="35">
        <v>504.44</v>
      </c>
      <c r="E772" s="35">
        <v>103</v>
      </c>
      <c r="F772" s="2">
        <v>44</v>
      </c>
      <c r="G772" s="35" t="str">
        <f t="shared" si="15"/>
        <v>ILICABOĞAZI10344</v>
      </c>
      <c r="H772" s="35" t="s">
        <v>138</v>
      </c>
      <c r="I772" s="49">
        <v>381989.4</v>
      </c>
      <c r="J772" s="48"/>
    </row>
    <row r="773" spans="1:10">
      <c r="A773" s="64" t="s">
        <v>14</v>
      </c>
      <c r="B773" s="35" t="s">
        <v>15</v>
      </c>
      <c r="C773" s="35" t="s">
        <v>63</v>
      </c>
      <c r="D773" s="35">
        <v>504.46</v>
      </c>
      <c r="E773" s="35">
        <v>103</v>
      </c>
      <c r="F773" s="2">
        <v>45</v>
      </c>
      <c r="G773" s="35" t="str">
        <f t="shared" si="15"/>
        <v>ILICABOĞAZI10345</v>
      </c>
      <c r="H773" s="35" t="s">
        <v>138</v>
      </c>
      <c r="I773" s="49">
        <v>382004.54</v>
      </c>
      <c r="J773" s="48"/>
    </row>
    <row r="774" spans="1:10">
      <c r="A774" s="64" t="s">
        <v>14</v>
      </c>
      <c r="B774" s="35" t="s">
        <v>15</v>
      </c>
      <c r="C774" s="35" t="s">
        <v>63</v>
      </c>
      <c r="D774" s="35">
        <v>504.46</v>
      </c>
      <c r="E774" s="35">
        <v>103</v>
      </c>
      <c r="F774" s="2">
        <v>46</v>
      </c>
      <c r="G774" s="35" t="str">
        <f t="shared" si="15"/>
        <v>ILICABOĞAZI10346</v>
      </c>
      <c r="H774" s="35" t="s">
        <v>138</v>
      </c>
      <c r="I774" s="49">
        <v>382004.54</v>
      </c>
      <c r="J774" s="48"/>
    </row>
    <row r="775" spans="1:10">
      <c r="A775" s="79" t="s">
        <v>14</v>
      </c>
      <c r="B775" s="20" t="s">
        <v>15</v>
      </c>
      <c r="C775" s="20" t="s">
        <v>63</v>
      </c>
      <c r="D775" s="20">
        <v>364.12</v>
      </c>
      <c r="E775" s="20">
        <v>103</v>
      </c>
      <c r="F775" s="23">
        <v>47</v>
      </c>
      <c r="G775" s="35" t="str">
        <f t="shared" si="15"/>
        <v>ILICABOĞAZI10347</v>
      </c>
      <c r="H775" s="20" t="s">
        <v>138</v>
      </c>
      <c r="I775" s="41">
        <v>284996.09000000003</v>
      </c>
      <c r="J775" s="21">
        <v>325000</v>
      </c>
    </row>
    <row r="776" spans="1:10">
      <c r="A776" s="79" t="s">
        <v>14</v>
      </c>
      <c r="B776" s="20" t="s">
        <v>15</v>
      </c>
      <c r="C776" s="20" t="s">
        <v>63</v>
      </c>
      <c r="D776" s="20">
        <v>364.13</v>
      </c>
      <c r="E776" s="20">
        <v>103</v>
      </c>
      <c r="F776" s="23">
        <v>48</v>
      </c>
      <c r="G776" s="35" t="str">
        <f t="shared" si="15"/>
        <v>ILICABOĞAZI10348</v>
      </c>
      <c r="H776" s="20" t="s">
        <v>138</v>
      </c>
      <c r="I776" s="41">
        <v>285003.90999999997</v>
      </c>
      <c r="J776" s="21">
        <v>350000</v>
      </c>
    </row>
    <row r="777" spans="1:10">
      <c r="A777" s="64" t="s">
        <v>14</v>
      </c>
      <c r="B777" s="35" t="s">
        <v>15</v>
      </c>
      <c r="C777" s="35" t="s">
        <v>63</v>
      </c>
      <c r="D777" s="35">
        <v>507.76</v>
      </c>
      <c r="E777" s="35">
        <v>103</v>
      </c>
      <c r="F777" s="1">
        <v>50</v>
      </c>
      <c r="G777" s="35" t="str">
        <f t="shared" si="15"/>
        <v>ILICABOĞAZI10350</v>
      </c>
      <c r="H777" s="35" t="s">
        <v>138</v>
      </c>
      <c r="I777" s="49">
        <v>383989.41</v>
      </c>
      <c r="J777" s="48"/>
    </row>
    <row r="778" spans="1:10">
      <c r="A778" s="64" t="s">
        <v>14</v>
      </c>
      <c r="B778" s="35" t="s">
        <v>15</v>
      </c>
      <c r="C778" s="35" t="s">
        <v>63</v>
      </c>
      <c r="D778" s="35">
        <v>507.78</v>
      </c>
      <c r="E778" s="35">
        <v>103</v>
      </c>
      <c r="F778" s="2">
        <v>51</v>
      </c>
      <c r="G778" s="35" t="str">
        <f t="shared" si="15"/>
        <v>ILICABOĞAZI10351</v>
      </c>
      <c r="H778" s="35" t="s">
        <v>138</v>
      </c>
      <c r="I778" s="49">
        <v>384004.54</v>
      </c>
      <c r="J778" s="48"/>
    </row>
    <row r="779" spans="1:10">
      <c r="A779" s="64" t="s">
        <v>14</v>
      </c>
      <c r="B779" s="35" t="s">
        <v>15</v>
      </c>
      <c r="C779" s="35" t="s">
        <v>63</v>
      </c>
      <c r="D779" s="35">
        <v>507.78</v>
      </c>
      <c r="E779" s="35">
        <v>103</v>
      </c>
      <c r="F779" s="2">
        <v>52</v>
      </c>
      <c r="G779" s="35" t="str">
        <f t="shared" si="15"/>
        <v>ILICABOĞAZI10352</v>
      </c>
      <c r="H779" s="35" t="s">
        <v>138</v>
      </c>
      <c r="I779" s="49">
        <v>384004.54</v>
      </c>
      <c r="J779" s="48"/>
    </row>
    <row r="780" spans="1:10">
      <c r="A780" s="64" t="s">
        <v>14</v>
      </c>
      <c r="B780" s="35" t="s">
        <v>15</v>
      </c>
      <c r="C780" s="35" t="s">
        <v>63</v>
      </c>
      <c r="D780" s="35">
        <v>507.78</v>
      </c>
      <c r="E780" s="35">
        <v>103</v>
      </c>
      <c r="F780" s="2">
        <v>53</v>
      </c>
      <c r="G780" s="35" t="str">
        <f t="shared" si="15"/>
        <v>ILICABOĞAZI10353</v>
      </c>
      <c r="H780" s="35" t="s">
        <v>138</v>
      </c>
      <c r="I780" s="49">
        <v>384004.54</v>
      </c>
      <c r="J780" s="48"/>
    </row>
    <row r="781" spans="1:10">
      <c r="A781" s="64" t="s">
        <v>14</v>
      </c>
      <c r="B781" s="35" t="s">
        <v>15</v>
      </c>
      <c r="C781" s="35" t="s">
        <v>63</v>
      </c>
      <c r="D781" s="35">
        <v>507.77</v>
      </c>
      <c r="E781" s="35">
        <v>103</v>
      </c>
      <c r="F781" s="2">
        <v>54</v>
      </c>
      <c r="G781" s="35" t="str">
        <f t="shared" si="15"/>
        <v>ILICABOĞAZI10354</v>
      </c>
      <c r="H781" s="35" t="s">
        <v>138</v>
      </c>
      <c r="I781" s="49">
        <v>383996.98</v>
      </c>
      <c r="J781" s="48"/>
    </row>
    <row r="782" spans="1:10">
      <c r="A782" s="79" t="s">
        <v>14</v>
      </c>
      <c r="B782" s="20" t="s">
        <v>15</v>
      </c>
      <c r="C782" s="20" t="s">
        <v>63</v>
      </c>
      <c r="D782" s="20">
        <v>498.78</v>
      </c>
      <c r="E782" s="20">
        <v>103</v>
      </c>
      <c r="F782" s="23">
        <v>56</v>
      </c>
      <c r="G782" s="35" t="str">
        <f t="shared" si="15"/>
        <v>ILICABOĞAZI10356</v>
      </c>
      <c r="H782" s="20" t="s">
        <v>138</v>
      </c>
      <c r="I782" s="41">
        <v>378000</v>
      </c>
      <c r="J782" s="21">
        <v>450000</v>
      </c>
    </row>
    <row r="783" spans="1:10">
      <c r="A783" s="79" t="s">
        <v>14</v>
      </c>
      <c r="B783" s="20" t="s">
        <v>15</v>
      </c>
      <c r="C783" s="20" t="s">
        <v>63</v>
      </c>
      <c r="D783" s="20">
        <v>498.78</v>
      </c>
      <c r="E783" s="20">
        <v>103</v>
      </c>
      <c r="F783" s="23">
        <v>57</v>
      </c>
      <c r="G783" s="35" t="str">
        <f t="shared" si="15"/>
        <v>ILICABOĞAZI10357</v>
      </c>
      <c r="H783" s="20" t="s">
        <v>138</v>
      </c>
      <c r="I783" s="41">
        <v>378000</v>
      </c>
      <c r="J783" s="21">
        <v>455000</v>
      </c>
    </row>
    <row r="784" spans="1:10">
      <c r="A784" s="86" t="s">
        <v>14</v>
      </c>
      <c r="B784" s="26" t="s">
        <v>15</v>
      </c>
      <c r="C784" s="26" t="s">
        <v>63</v>
      </c>
      <c r="D784" s="26">
        <v>498.78</v>
      </c>
      <c r="E784" s="26">
        <v>103</v>
      </c>
      <c r="F784" s="27">
        <v>58</v>
      </c>
      <c r="G784" s="35" t="str">
        <f t="shared" si="15"/>
        <v>ILICABOĞAZI10358</v>
      </c>
      <c r="H784" s="26" t="s">
        <v>138</v>
      </c>
      <c r="I784" s="29">
        <v>378000</v>
      </c>
      <c r="J784" s="28">
        <v>450000</v>
      </c>
    </row>
    <row r="785" spans="1:10">
      <c r="A785" s="86" t="s">
        <v>14</v>
      </c>
      <c r="B785" s="26" t="s">
        <v>15</v>
      </c>
      <c r="C785" s="26" t="s">
        <v>63</v>
      </c>
      <c r="D785" s="26">
        <v>498.78</v>
      </c>
      <c r="E785" s="26">
        <v>103</v>
      </c>
      <c r="F785" s="27">
        <v>59</v>
      </c>
      <c r="G785" s="35" t="str">
        <f t="shared" si="15"/>
        <v>ILICABOĞAZI10359</v>
      </c>
      <c r="H785" s="26" t="s">
        <v>138</v>
      </c>
      <c r="I785" s="29">
        <v>378000</v>
      </c>
      <c r="J785" s="28">
        <v>450000</v>
      </c>
    </row>
    <row r="786" spans="1:10">
      <c r="A786" s="64" t="s">
        <v>14</v>
      </c>
      <c r="B786" s="35" t="s">
        <v>15</v>
      </c>
      <c r="C786" s="35" t="s">
        <v>63</v>
      </c>
      <c r="D786" s="35">
        <v>498.78</v>
      </c>
      <c r="E786" s="35">
        <v>103</v>
      </c>
      <c r="F786" s="2">
        <v>60</v>
      </c>
      <c r="G786" s="35" t="str">
        <f t="shared" si="15"/>
        <v>ILICABOĞAZI10360</v>
      </c>
      <c r="H786" s="35" t="s">
        <v>138</v>
      </c>
      <c r="I786" s="49">
        <v>378000</v>
      </c>
      <c r="J786" s="48"/>
    </row>
    <row r="787" spans="1:10">
      <c r="A787" s="64" t="s">
        <v>14</v>
      </c>
      <c r="B787" s="35" t="s">
        <v>15</v>
      </c>
      <c r="C787" s="35" t="s">
        <v>63</v>
      </c>
      <c r="D787" s="35">
        <v>505.78</v>
      </c>
      <c r="E787" s="35">
        <v>103</v>
      </c>
      <c r="F787" s="2">
        <v>62</v>
      </c>
      <c r="G787" s="35" t="str">
        <f t="shared" si="15"/>
        <v>ILICABOĞAZI10362</v>
      </c>
      <c r="H787" s="35" t="s">
        <v>138</v>
      </c>
      <c r="I787" s="49">
        <v>576148.09</v>
      </c>
      <c r="J787" s="48"/>
    </row>
    <row r="788" spans="1:10">
      <c r="A788" s="64" t="s">
        <v>14</v>
      </c>
      <c r="B788" s="35" t="s">
        <v>15</v>
      </c>
      <c r="C788" s="35" t="s">
        <v>63</v>
      </c>
      <c r="D788" s="35">
        <v>505.79</v>
      </c>
      <c r="E788" s="35">
        <v>103</v>
      </c>
      <c r="F788" s="2">
        <v>63</v>
      </c>
      <c r="G788" s="35" t="str">
        <f t="shared" si="15"/>
        <v>ILICABOĞAZI10363</v>
      </c>
      <c r="H788" s="35" t="s">
        <v>138</v>
      </c>
      <c r="I788" s="49">
        <v>576159.48</v>
      </c>
      <c r="J788" s="48"/>
    </row>
    <row r="789" spans="1:10">
      <c r="A789" s="64" t="s">
        <v>14</v>
      </c>
      <c r="B789" s="35" t="s">
        <v>15</v>
      </c>
      <c r="C789" s="35" t="s">
        <v>63</v>
      </c>
      <c r="D789" s="35">
        <v>505.78</v>
      </c>
      <c r="E789" s="35">
        <v>103</v>
      </c>
      <c r="F789" s="2">
        <v>64</v>
      </c>
      <c r="G789" s="35" t="str">
        <f t="shared" si="15"/>
        <v>ILICABOĞAZI10364</v>
      </c>
      <c r="H789" s="35" t="s">
        <v>138</v>
      </c>
      <c r="I789" s="49">
        <v>576148.09</v>
      </c>
      <c r="J789" s="48"/>
    </row>
    <row r="790" spans="1:10">
      <c r="A790" s="64" t="s">
        <v>14</v>
      </c>
      <c r="B790" s="35" t="s">
        <v>15</v>
      </c>
      <c r="C790" s="35" t="s">
        <v>63</v>
      </c>
      <c r="D790" s="35">
        <v>505.77</v>
      </c>
      <c r="E790" s="35">
        <v>103</v>
      </c>
      <c r="F790" s="2">
        <v>65</v>
      </c>
      <c r="G790" s="35" t="str">
        <f t="shared" si="15"/>
        <v>ILICABOĞAZI10365</v>
      </c>
      <c r="H790" s="35" t="s">
        <v>138</v>
      </c>
      <c r="I790" s="49">
        <v>576136.69999999995</v>
      </c>
      <c r="J790" s="48"/>
    </row>
    <row r="791" spans="1:10">
      <c r="A791" s="64" t="s">
        <v>14</v>
      </c>
      <c r="B791" s="35" t="s">
        <v>15</v>
      </c>
      <c r="C791" s="35" t="s">
        <v>63</v>
      </c>
      <c r="D791" s="35">
        <v>505.79</v>
      </c>
      <c r="E791" s="35">
        <v>103</v>
      </c>
      <c r="F791" s="2">
        <v>66</v>
      </c>
      <c r="G791" s="35" t="str">
        <f t="shared" si="15"/>
        <v>ILICABOĞAZI10366</v>
      </c>
      <c r="H791" s="35" t="s">
        <v>138</v>
      </c>
      <c r="I791" s="49">
        <v>383011.69</v>
      </c>
      <c r="J791" s="48"/>
    </row>
    <row r="792" spans="1:10">
      <c r="A792" s="64" t="s">
        <v>14</v>
      </c>
      <c r="B792" s="35" t="s">
        <v>15</v>
      </c>
      <c r="C792" s="35" t="s">
        <v>63</v>
      </c>
      <c r="D792" s="35">
        <v>497.6</v>
      </c>
      <c r="E792" s="35">
        <v>103</v>
      </c>
      <c r="F792" s="2">
        <v>68</v>
      </c>
      <c r="G792" s="35" t="str">
        <f t="shared" si="15"/>
        <v>ILICABOĞAZI10368</v>
      </c>
      <c r="H792" s="35" t="s">
        <v>138</v>
      </c>
      <c r="I792" s="49">
        <v>377990.88</v>
      </c>
      <c r="J792" s="48"/>
    </row>
    <row r="793" spans="1:10">
      <c r="A793" s="64" t="s">
        <v>14</v>
      </c>
      <c r="B793" s="35" t="s">
        <v>15</v>
      </c>
      <c r="C793" s="35" t="s">
        <v>63</v>
      </c>
      <c r="D793" s="35">
        <v>497.6</v>
      </c>
      <c r="E793" s="35">
        <v>103</v>
      </c>
      <c r="F793" s="2">
        <v>69</v>
      </c>
      <c r="G793" s="35" t="str">
        <f t="shared" si="15"/>
        <v>ILICABOĞAZI10369</v>
      </c>
      <c r="H793" s="35" t="s">
        <v>138</v>
      </c>
      <c r="I793" s="49">
        <v>377990.88</v>
      </c>
      <c r="J793" s="48"/>
    </row>
    <row r="794" spans="1:10">
      <c r="A794" s="64" t="s">
        <v>14</v>
      </c>
      <c r="B794" s="35" t="s">
        <v>15</v>
      </c>
      <c r="C794" s="35" t="s">
        <v>63</v>
      </c>
      <c r="D794" s="35">
        <v>497.62</v>
      </c>
      <c r="E794" s="35">
        <v>103</v>
      </c>
      <c r="F794" s="2">
        <v>70</v>
      </c>
      <c r="G794" s="35" t="str">
        <f t="shared" si="15"/>
        <v>ILICABOĞAZI10370</v>
      </c>
      <c r="H794" s="35" t="s">
        <v>138</v>
      </c>
      <c r="I794" s="49">
        <v>378006.08</v>
      </c>
      <c r="J794" s="48"/>
    </row>
    <row r="795" spans="1:10">
      <c r="A795" s="64" t="s">
        <v>14</v>
      </c>
      <c r="B795" s="35" t="s">
        <v>15</v>
      </c>
      <c r="C795" s="35" t="s">
        <v>63</v>
      </c>
      <c r="D795" s="35">
        <v>497.62</v>
      </c>
      <c r="E795" s="35">
        <v>103</v>
      </c>
      <c r="F795" s="2">
        <v>71</v>
      </c>
      <c r="G795" s="35" t="str">
        <f t="shared" si="15"/>
        <v>ILICABOĞAZI10371</v>
      </c>
      <c r="H795" s="35" t="s">
        <v>138</v>
      </c>
      <c r="I795" s="49">
        <v>378006.08</v>
      </c>
      <c r="J795" s="48"/>
    </row>
    <row r="796" spans="1:10">
      <c r="A796" s="64" t="s">
        <v>14</v>
      </c>
      <c r="B796" s="35" t="s">
        <v>15</v>
      </c>
      <c r="C796" s="35" t="s">
        <v>63</v>
      </c>
      <c r="D796" s="35">
        <v>497.62</v>
      </c>
      <c r="E796" s="35">
        <v>103</v>
      </c>
      <c r="F796" s="2">
        <v>72</v>
      </c>
      <c r="G796" s="35" t="str">
        <f t="shared" si="15"/>
        <v>ILICABOĞAZI10372</v>
      </c>
      <c r="H796" s="35" t="s">
        <v>138</v>
      </c>
      <c r="I796" s="49">
        <v>378006.08</v>
      </c>
      <c r="J796" s="48"/>
    </row>
    <row r="797" spans="1:10">
      <c r="A797" s="64" t="s">
        <v>14</v>
      </c>
      <c r="B797" s="35" t="s">
        <v>15</v>
      </c>
      <c r="C797" s="35" t="s">
        <v>63</v>
      </c>
      <c r="D797" s="35">
        <v>483.76</v>
      </c>
      <c r="E797" s="35">
        <v>103</v>
      </c>
      <c r="F797" s="2">
        <v>76</v>
      </c>
      <c r="G797" s="35" t="str">
        <f t="shared" si="15"/>
        <v>ILICABOĞAZI10376</v>
      </c>
      <c r="H797" s="35" t="s">
        <v>138</v>
      </c>
      <c r="I797" s="49">
        <f>(I584+I585)/(D584+D585)*D797</f>
        <v>747845.37704918033</v>
      </c>
      <c r="J797" s="48"/>
    </row>
    <row r="798" spans="1:10">
      <c r="A798" s="64" t="s">
        <v>14</v>
      </c>
      <c r="B798" s="35" t="s">
        <v>15</v>
      </c>
      <c r="C798" s="35" t="s">
        <v>63</v>
      </c>
      <c r="D798" s="35">
        <v>483.97</v>
      </c>
      <c r="E798" s="35">
        <v>103</v>
      </c>
      <c r="F798" s="2">
        <v>77</v>
      </c>
      <c r="G798" s="35" t="str">
        <f t="shared" si="15"/>
        <v>ILICABOĞAZI10377</v>
      </c>
      <c r="H798" s="35" t="s">
        <v>138</v>
      </c>
      <c r="I798" s="49">
        <f>(I584+I585)/(D584+D585)*D798</f>
        <v>748170.01639344264</v>
      </c>
      <c r="J798" s="48"/>
    </row>
    <row r="799" spans="1:10">
      <c r="A799" s="79" t="s">
        <v>14</v>
      </c>
      <c r="B799" s="20" t="s">
        <v>15</v>
      </c>
      <c r="C799" s="20" t="s">
        <v>63</v>
      </c>
      <c r="D799" s="20">
        <v>329.14</v>
      </c>
      <c r="E799" s="20">
        <v>103</v>
      </c>
      <c r="F799" s="23">
        <v>78</v>
      </c>
      <c r="G799" s="35" t="str">
        <f t="shared" si="15"/>
        <v>ILICABOĞAZI10378</v>
      </c>
      <c r="H799" s="20" t="s">
        <v>138</v>
      </c>
      <c r="I799" s="41">
        <f>(I584+I585)/(D584+D585)*D799</f>
        <v>508818.06557377049</v>
      </c>
      <c r="J799" s="21">
        <v>330000</v>
      </c>
    </row>
    <row r="800" spans="1:10">
      <c r="A800" s="79" t="s">
        <v>14</v>
      </c>
      <c r="B800" s="20" t="s">
        <v>15</v>
      </c>
      <c r="C800" s="20" t="s">
        <v>63</v>
      </c>
      <c r="D800" s="20">
        <v>417.43</v>
      </c>
      <c r="E800" s="20">
        <v>103</v>
      </c>
      <c r="F800" s="23">
        <v>79</v>
      </c>
      <c r="G800" s="35" t="str">
        <f t="shared" si="15"/>
        <v>ILICABOĞAZI10379</v>
      </c>
      <c r="H800" s="20" t="s">
        <v>138</v>
      </c>
      <c r="I800" s="41">
        <f>(I584+I585)/(D584+D585)*D800</f>
        <v>645305.72131147538</v>
      </c>
      <c r="J800" s="21">
        <v>318983.43</v>
      </c>
    </row>
    <row r="801" spans="1:10">
      <c r="A801" s="65" t="s">
        <v>14</v>
      </c>
      <c r="B801" s="19" t="s">
        <v>15</v>
      </c>
      <c r="C801" s="19" t="s">
        <v>63</v>
      </c>
      <c r="D801" s="19">
        <v>934</v>
      </c>
      <c r="E801" s="19">
        <v>0</v>
      </c>
      <c r="F801" s="17">
        <v>702</v>
      </c>
      <c r="G801" s="35" t="str">
        <f t="shared" si="15"/>
        <v>ILICABOĞAZI0702</v>
      </c>
      <c r="H801" s="19" t="s">
        <v>141</v>
      </c>
      <c r="I801" s="54">
        <v>1100000</v>
      </c>
      <c r="J801" s="7"/>
    </row>
    <row r="802" spans="1:10">
      <c r="A802" s="65" t="s">
        <v>14</v>
      </c>
      <c r="B802" s="19" t="s">
        <v>15</v>
      </c>
      <c r="C802" s="19" t="s">
        <v>63</v>
      </c>
      <c r="D802" s="19">
        <v>927</v>
      </c>
      <c r="E802" s="19">
        <v>0</v>
      </c>
      <c r="F802" s="17">
        <v>703</v>
      </c>
      <c r="G802" s="35" t="str">
        <f t="shared" si="15"/>
        <v>ILICABOĞAZI0703</v>
      </c>
      <c r="H802" s="19" t="s">
        <v>141</v>
      </c>
      <c r="I802" s="54">
        <v>1120000</v>
      </c>
      <c r="J802" s="7"/>
    </row>
    <row r="803" spans="1:10">
      <c r="A803" s="64" t="s">
        <v>14</v>
      </c>
      <c r="B803" s="35" t="s">
        <v>15</v>
      </c>
      <c r="C803" s="35" t="s">
        <v>63</v>
      </c>
      <c r="D803" s="35">
        <v>619.07000000000005</v>
      </c>
      <c r="E803" s="35">
        <v>0</v>
      </c>
      <c r="F803" s="2">
        <v>991</v>
      </c>
      <c r="G803" s="35" t="str">
        <f t="shared" si="15"/>
        <v>ILICABOĞAZI0991</v>
      </c>
      <c r="H803" s="35" t="s">
        <v>141</v>
      </c>
      <c r="I803" s="49">
        <v>738492.96</v>
      </c>
      <c r="J803" s="48"/>
    </row>
    <row r="804" spans="1:10">
      <c r="A804" s="79" t="s">
        <v>14</v>
      </c>
      <c r="B804" s="20" t="s">
        <v>15</v>
      </c>
      <c r="C804" s="20" t="s">
        <v>63</v>
      </c>
      <c r="D804" s="20">
        <v>622.82000000000005</v>
      </c>
      <c r="E804" s="20">
        <v>0</v>
      </c>
      <c r="F804" s="23">
        <v>992</v>
      </c>
      <c r="G804" s="35" t="str">
        <f t="shared" si="15"/>
        <v>ILICABOĞAZI0992</v>
      </c>
      <c r="H804" s="20" t="s">
        <v>141</v>
      </c>
      <c r="I804" s="41">
        <v>742966.36</v>
      </c>
      <c r="J804" s="21">
        <v>876000</v>
      </c>
    </row>
    <row r="805" spans="1:10">
      <c r="A805" s="79" t="s">
        <v>14</v>
      </c>
      <c r="B805" s="20" t="s">
        <v>15</v>
      </c>
      <c r="C805" s="20" t="s">
        <v>63</v>
      </c>
      <c r="D805" s="20">
        <v>619.11</v>
      </c>
      <c r="E805" s="20">
        <v>0</v>
      </c>
      <c r="F805" s="23">
        <v>993</v>
      </c>
      <c r="G805" s="35" t="str">
        <f t="shared" si="15"/>
        <v>ILICABOĞAZI0993</v>
      </c>
      <c r="H805" s="20" t="s">
        <v>141</v>
      </c>
      <c r="I805" s="41">
        <v>738540.68</v>
      </c>
      <c r="J805" s="21">
        <v>870000</v>
      </c>
    </row>
    <row r="806" spans="1:10">
      <c r="A806" s="64" t="s">
        <v>14</v>
      </c>
      <c r="B806" s="35" t="s">
        <v>33</v>
      </c>
      <c r="C806" s="35" t="s">
        <v>42</v>
      </c>
      <c r="D806" s="35">
        <v>406.86</v>
      </c>
      <c r="E806" s="35">
        <v>111</v>
      </c>
      <c r="F806" s="2">
        <v>17</v>
      </c>
      <c r="G806" s="35" t="str">
        <f t="shared" si="15"/>
        <v>İBİLLER11117</v>
      </c>
      <c r="H806" s="35" t="s">
        <v>137</v>
      </c>
      <c r="I806" s="49">
        <f>($J$181/$D$182)*D806</f>
        <v>366840.98360655736</v>
      </c>
      <c r="J806" s="48"/>
    </row>
    <row r="807" spans="1:10">
      <c r="A807" s="64" t="s">
        <v>14</v>
      </c>
      <c r="B807" s="35" t="s">
        <v>33</v>
      </c>
      <c r="C807" s="35" t="s">
        <v>42</v>
      </c>
      <c r="D807" s="35">
        <v>406.56</v>
      </c>
      <c r="E807" s="35">
        <v>111</v>
      </c>
      <c r="F807" s="2">
        <v>18</v>
      </c>
      <c r="G807" s="35" t="str">
        <f t="shared" si="15"/>
        <v>İBİLLER11118</v>
      </c>
      <c r="H807" s="35" t="s">
        <v>137</v>
      </c>
      <c r="I807" s="49">
        <f>($J$181/$D$182)*D807</f>
        <v>366570.49180327868</v>
      </c>
      <c r="J807" s="48"/>
    </row>
    <row r="808" spans="1:10">
      <c r="A808" s="64" t="s">
        <v>14</v>
      </c>
      <c r="B808" s="35" t="s">
        <v>33</v>
      </c>
      <c r="C808" s="35" t="s">
        <v>42</v>
      </c>
      <c r="D808" s="35">
        <v>406.58</v>
      </c>
      <c r="E808" s="35">
        <v>111</v>
      </c>
      <c r="F808" s="2">
        <v>19</v>
      </c>
      <c r="G808" s="35" t="str">
        <f t="shared" si="15"/>
        <v>İBİLLER11119</v>
      </c>
      <c r="H808" s="35" t="s">
        <v>137</v>
      </c>
      <c r="I808" s="49">
        <f>($J$181/$D$182)*D808</f>
        <v>366588.5245901639</v>
      </c>
      <c r="J808" s="48"/>
    </row>
    <row r="809" spans="1:10">
      <c r="A809" s="10" t="s">
        <v>14</v>
      </c>
      <c r="B809" s="10" t="s">
        <v>15</v>
      </c>
      <c r="C809" s="10" t="s">
        <v>16</v>
      </c>
      <c r="D809" s="10">
        <v>373.23</v>
      </c>
      <c r="E809" s="95">
        <v>168</v>
      </c>
      <c r="F809" s="10">
        <v>13</v>
      </c>
      <c r="G809" s="35" t="str">
        <f t="shared" si="15"/>
        <v>REŞADİYE16813</v>
      </c>
      <c r="H809" s="10" t="s">
        <v>137</v>
      </c>
      <c r="I809" s="14">
        <v>271000</v>
      </c>
      <c r="J809" s="14">
        <v>285000</v>
      </c>
    </row>
    <row r="810" spans="1:10">
      <c r="A810" s="10" t="s">
        <v>14</v>
      </c>
      <c r="B810" s="10" t="s">
        <v>15</v>
      </c>
      <c r="C810" s="10" t="s">
        <v>16</v>
      </c>
      <c r="D810" s="10">
        <v>373.86</v>
      </c>
      <c r="E810" s="95">
        <v>168</v>
      </c>
      <c r="F810" s="10">
        <v>14</v>
      </c>
      <c r="G810" s="35" t="str">
        <f t="shared" si="15"/>
        <v>REŞADİYE16814</v>
      </c>
      <c r="H810" s="10" t="s">
        <v>137</v>
      </c>
      <c r="I810" s="14">
        <v>271000</v>
      </c>
      <c r="J810" s="14">
        <v>285000</v>
      </c>
    </row>
  </sheetData>
  <autoFilter ref="A1:J1" xr:uid="{7BFC905F-6151-4BC9-ABC8-049D2696CEEA}"/>
  <hyperlinks>
    <hyperlink ref="C2" r:id="rId1" xr:uid="{66E7582E-95F9-4386-9285-57143FD25151}"/>
    <hyperlink ref="C39" r:id="rId2" xr:uid="{03676100-4AF2-4505-A19D-C2F28CED9FB6}"/>
    <hyperlink ref="C42" r:id="rId3" xr:uid="{F689F93E-0E8A-45D9-8758-56BF5500E62D}"/>
    <hyperlink ref="C66" r:id="rId4" xr:uid="{0A94A2B2-4923-4F1E-9549-859FED339299}"/>
    <hyperlink ref="F91" location="'Master Liste'!F275" display="'Master Liste'!F275" xr:uid="{06405F64-7FBD-47E5-A0CC-DB5E0D00E694}"/>
    <hyperlink ref="F92" location="'Master Liste'!F277" display="'Master Liste'!F277" xr:uid="{30D10AA0-F165-42C3-8200-851BE654DEF8}"/>
    <hyperlink ref="F93" location="'Master Liste'!F285" display="'Master Liste'!F285" xr:uid="{5A1F3AB8-D959-42A0-84BB-D7CA3EBB1DE9}"/>
    <hyperlink ref="F94" location="'Master Liste'!F286" display="'Master Liste'!F286" xr:uid="{AC23DB04-DA5E-4661-9D39-4F335287F0B6}"/>
    <hyperlink ref="F95" location="'Master Liste'!F289" display="'Master Liste'!F289" xr:uid="{8D0031D6-BE46-4085-BBAE-F02AED4F587B}"/>
    <hyperlink ref="F96" location="'Master Liste'!F290" display="'Master Liste'!F290" xr:uid="{13061DDA-80D6-4706-A822-1C49F7AF4CDB}"/>
    <hyperlink ref="F97" location="'Master Liste'!F109" display="'Master Liste'!F109" xr:uid="{944DF90F-F658-4292-BB4C-5ED0AD7515FB}"/>
    <hyperlink ref="F98" location="'Master Liste'!F109" display="'Master Liste'!F109" xr:uid="{BDE1587B-7EEE-459F-85A5-859128FFE966}"/>
    <hyperlink ref="F99" location="'Master Liste'!F115" display="'Master Liste'!F115" xr:uid="{3F02F567-447E-4D1C-A67E-CB4BAA4ECA62}"/>
    <hyperlink ref="F100" location="'Master Liste'!F115" display="'Master Liste'!F115" xr:uid="{A49F37BA-614C-452D-AC64-F283C9176E50}"/>
    <hyperlink ref="F101" location="'Master Liste'!F117" display="'Master Liste'!F117" xr:uid="{75111329-C78B-45FC-A638-BB11A39A1064}"/>
    <hyperlink ref="F102" location="'Master Liste'!F117" display="'Master Liste'!F117" xr:uid="{12B197BB-EF34-4536-AA2C-99A0B88662E7}"/>
    <hyperlink ref="F103" location="'Master Liste'!F118" display="'Master Liste'!F118" xr:uid="{3101AD38-D83A-4F18-B85B-06D0A4EA2048}"/>
    <hyperlink ref="F104" location="'Master Liste'!F118" display="'Master Liste'!F118" xr:uid="{4E3386AF-1D2C-4ACD-BB3E-0AB24F190C51}"/>
    <hyperlink ref="F655" location="'Master Liste'!F119" display="'Master Liste'!F119" xr:uid="{A2355432-9D99-4BE3-A52B-4F41550DE844}"/>
    <hyperlink ref="F106" location="'Master Liste'!F119" display="'Master Liste'!F119" xr:uid="{78C40908-94FA-4ED4-AB34-94E7293D230A}"/>
    <hyperlink ref="F107" location="'Master Liste'!F120" display="'Master Liste'!F120" xr:uid="{3B4DF2A9-5321-4414-B079-A1D6E836669B}"/>
    <hyperlink ref="F108" location="'Master Liste'!F120" display="'Master Liste'!F120" xr:uid="{419408F6-E29F-4A1A-87B5-3B49F9F88EFB}"/>
    <hyperlink ref="F111" location="'Master Liste'!F267" display="'Master Liste'!F267" xr:uid="{A2FBB7A3-4459-4B15-B48C-88CC2951865F}"/>
    <hyperlink ref="F112" location="'Master Liste'!F121" display="'Master Liste'!F121" xr:uid="{4E40EE4F-84AA-43B4-8DB6-7BEFD9813BD4}"/>
    <hyperlink ref="F113" location="'Master Liste'!F121" display="'Master Liste'!F121" xr:uid="{12302DEB-E65F-4132-88BE-C2A8AC8E679A}"/>
    <hyperlink ref="F110" location="'Master Liste'!F345" display="'Master Liste'!F345" xr:uid="{F1B21A0C-64D9-4ABC-85D4-323EED7DDFFA}"/>
    <hyperlink ref="F116" location="'Master Liste'!F110" display="'Master Liste'!F110" xr:uid="{EBE33C65-2C1C-413B-A71C-5ED08D7AF5FB}"/>
    <hyperlink ref="F114" location="'Master Liste'!F110" display="'Master Liste'!F110" xr:uid="{EDE0D0BA-6EE2-4C46-A53E-AE3B014D0914}"/>
    <hyperlink ref="F118" location="'Master Liste'!G122" display="'Master Liste'!G122" xr:uid="{599963BF-D7D6-4308-AC96-A71ED0B9AC30}"/>
    <hyperlink ref="F119" location="'Master Liste'!G122" display="'Master Liste'!G122" xr:uid="{65F69489-BA4E-4655-83C7-6BF2DC80A159}"/>
    <hyperlink ref="F126" location="'Master Liste'!F108" display="'Master Liste'!F108" xr:uid="{014FB5F4-DEBF-46F6-9A13-32BCDCEDF1CB}"/>
    <hyperlink ref="F127" location="'Master Liste'!F108" display="'Master Liste'!F108" xr:uid="{1F868B34-81D4-4DF6-82F7-C1BF236DC978}"/>
    <hyperlink ref="F128" location="'Master Liste'!G123" display="'Master Liste'!G123" xr:uid="{3C0FDBA0-5AAC-4645-A0A0-7954A82069A4}"/>
    <hyperlink ref="F129" location="'Master Liste'!G123" display="'Master Liste'!G123" xr:uid="{8DC8391D-847A-493D-BEF5-A1B3BA11324B}"/>
    <hyperlink ref="F123" location="'Master Liste'!G124" display="'Master Liste'!G124" xr:uid="{51E0AD18-BE7D-4EDA-B087-40334C993776}"/>
    <hyperlink ref="F124" location="'Master Liste'!G124" display="'Master Liste'!G124" xr:uid="{292414A9-322E-4724-9359-1B4F299BBD27}"/>
    <hyperlink ref="F125" location="'Master Liste'!G124" display="'Master Liste'!G124" xr:uid="{73194DF0-939A-4F17-88C2-D9D897E07097}"/>
    <hyperlink ref="F141" location="'Master Liste'!G129" display="'Master Liste'!G129" xr:uid="{1A371125-1DF4-4B8E-8485-DDA86BBC7A16}"/>
    <hyperlink ref="F142" location="'Master Liste'!G129" display="'Master Liste'!G129" xr:uid="{BB0834E8-199D-4F67-93FF-A96F287C8BA7}"/>
    <hyperlink ref="F140" location="'Master Liste'!G128" display="'Master Liste'!G128" xr:uid="{1C7BDF31-8C84-46E9-850F-A249E4DD893A}"/>
    <hyperlink ref="F139" location="'Master Liste'!G128" display="'Master Liste'!G128" xr:uid="{1914A420-74CD-4EB3-9F12-A7C039D247AD}"/>
    <hyperlink ref="F147" location="'Master Liste'!G130" display="'Master Liste'!G130" xr:uid="{CA7C3643-D38E-4D84-BA77-152FE1122D79}"/>
    <hyperlink ref="F148" location="'Master Liste'!G130" display="'Master Liste'!G130" xr:uid="{4C3A6655-7E65-44CC-84D4-9311B4FC68FD}"/>
    <hyperlink ref="F149" location="'Master Liste'!G131" display="'Master Liste'!G131" xr:uid="{75BE37F5-6F7D-4F8F-BFA0-2A248BB4CF75}"/>
    <hyperlink ref="F150" location="'Master Liste'!G131" display="'Master Liste'!G131" xr:uid="{FE2881ED-D53E-4574-B708-BD3DB87FC861}"/>
    <hyperlink ref="F143" location="'Master Liste'!G125" display="'Master Liste'!G125" xr:uid="{E0102E93-8D42-4473-8844-611DA1F6F097}"/>
    <hyperlink ref="F144" location="'Master Liste'!G125" display="'Master Liste'!G125" xr:uid="{B1A59C07-CC5F-475F-901A-DE03D0A801C2}"/>
    <hyperlink ref="F145" location="'Master Liste'!G132" display="'Master Liste'!G132" xr:uid="{EFFD3DFD-7151-4F70-A6EB-085A1D9EBD03}"/>
    <hyperlink ref="F146" location="'Master Liste'!G132" display="'Master Liste'!G132" xr:uid="{A6E8F8BF-D33C-4C90-B64D-4E0E9A9E4898}"/>
    <hyperlink ref="F275" location="'Master Liste'!G133" display="'Master Liste'!G133" xr:uid="{E636FF9F-DFB7-460C-9D00-D4FB5B138C33}"/>
    <hyperlink ref="F276" location="'Master Liste'!G133" display="'Master Liste'!G133" xr:uid="{B8C42C36-A553-4937-82FB-5FCF5DC9A7C5}"/>
    <hyperlink ref="F269" location="'Master Liste'!G134" display="'Master Liste'!G134" xr:uid="{D17B0E51-3B9B-467C-8602-7FB945483F64}"/>
    <hyperlink ref="F270" location="'Master Liste'!G134" display="'Master Liste'!G134" xr:uid="{5A2F862A-3D2D-4AA7-9227-E36C801A3206}"/>
    <hyperlink ref="F273" location="'Master Liste'!G135" display="'Master Liste'!G135" xr:uid="{B94B3953-99E8-4452-AB35-705E6F4BD955}"/>
    <hyperlink ref="F274" location="'Master Liste'!G135" display="'Master Liste'!G135" xr:uid="{F1862D17-36A4-4CF5-B7C4-E34A386D3D1E}"/>
    <hyperlink ref="F271" location="'Master Liste'!G137" display="'Master Liste'!G137" xr:uid="{0DA145C0-011C-4A2E-9D85-EB5B576259A3}"/>
    <hyperlink ref="F272" location="'Master Liste'!G137" display="'Master Liste'!G137" xr:uid="{59ED5B65-2929-4E6F-A205-ED2036924DC0}"/>
    <hyperlink ref="F322" location="'Master Liste'!G145" display="'Master Liste'!G145" xr:uid="{B7D7C8C5-A42C-4C21-AF9F-6C663047CEAC}"/>
    <hyperlink ref="F323" location="'Master Liste'!G145" display="'Master Liste'!G145" xr:uid="{DE88950A-5606-47E9-98C1-28639A6E15CE}"/>
    <hyperlink ref="F283" location="'Master Liste'!G112" display="'Master Liste'!G112" xr:uid="{F28F4CAD-C725-4672-AEF4-F0120E1E06DF}"/>
    <hyperlink ref="F284" location="'Master Liste'!G112" display="'Master Liste'!G112" xr:uid="{6E7F6C2D-4864-44C0-87AF-2E7180EBF5F8}"/>
    <hyperlink ref="F285" location="'Master Liste'!G89" display="'Master Liste'!G89" xr:uid="{C6F86BB8-4C9A-4C0D-A436-FDE3DBC5345B}"/>
    <hyperlink ref="F286" location="'Master Liste'!G89" display="'Master Liste'!G89" xr:uid="{0376E906-C8DB-439E-95D3-9FF147FE8EB8}"/>
    <hyperlink ref="F300" location="'Master Liste'!G138" display="'Master Liste'!G138" xr:uid="{696CB087-4011-4058-93D9-F44BE882BE46}"/>
    <hyperlink ref="F301" location="'Master Liste'!G138" display="'Master Liste'!G138" xr:uid="{1F968B33-517B-403A-AC0A-FA5C04E1667F}"/>
    <hyperlink ref="F287" location="'Master Liste'!G140" display="'Master Liste'!G140" xr:uid="{AF2E3F9C-07BD-4440-BE15-A71DA270BCE1}"/>
    <hyperlink ref="F288" location="'Master Liste'!G140" display="'Master Liste'!G140" xr:uid="{E4C0CAEF-F73B-4BF7-8F1E-06FC32D4F9AE}"/>
    <hyperlink ref="F289" location="'Master Liste'!G141" display="'Master Liste'!G141" xr:uid="{21149CCB-49AA-4854-9456-D01CB10EC7D5}"/>
    <hyperlink ref="F290" location="'Master Liste'!G141" display="'Master Liste'!G141" xr:uid="{BDDA022A-FC50-4269-8980-19A3AD3E4D0D}"/>
    <hyperlink ref="F314" location="'Master Liste'!F87" display="'Master Liste'!F87" xr:uid="{F27C0785-2AE9-4F88-BD90-CD17ADAA11EA}"/>
    <hyperlink ref="F315" location="'Master Liste'!F87" display="'Master Liste'!F87" xr:uid="{240FC67B-D0A6-4792-B1C2-9ED25562708D}"/>
    <hyperlink ref="F308" location="'Master Liste'!G142" display="'Master Liste'!G142" xr:uid="{218D432D-C51D-4004-BE17-04A533870403}"/>
    <hyperlink ref="F309" location="'Master Liste'!G142" display="'Master Liste'!G142" xr:uid="{022E1684-4494-4B09-9E5A-3FA97512A0B4}"/>
    <hyperlink ref="F310" location="'Master Liste'!G143" display="'Master Liste'!G143" xr:uid="{A442305B-2322-4C8C-9935-9F909290627A}"/>
    <hyperlink ref="F311" location="'Master Liste'!G143" display="'Master Liste'!G143" xr:uid="{263B866B-4FE4-4B5B-B883-254080EBEF45}"/>
    <hyperlink ref="F313" location="'Master Liste'!G144" display="'Master Liste'!G144" xr:uid="{CC3A688F-3653-4A35-8700-8D6D463AA3CB}"/>
    <hyperlink ref="F312" location="'Master Liste'!G144" display="'Master Liste'!G144" xr:uid="{C862F8B2-016C-4720-9141-70A9C2BE3545}"/>
    <hyperlink ref="F324" location="'Master Liste'!G150" display="'Master Liste'!G150" xr:uid="{31A6063F-7D69-4355-9EC3-80F96EBFE71C}"/>
    <hyperlink ref="F325" location="'Master Liste'!G150" display="'Master Liste'!G150" xr:uid="{B7C45616-2B51-4030-82F3-58A1AAC5C2D1}"/>
    <hyperlink ref="F329" location="'Master Liste'!G113" display="'Master Liste'!G113" xr:uid="{77A04192-C3C1-4C9D-85C9-DC066AFBE01A}"/>
    <hyperlink ref="F330" location="'Master Liste'!G113" display="'Master Liste'!G113" xr:uid="{76CB4174-8F8A-4DB5-AD86-5AA806DE4823}"/>
    <hyperlink ref="F339" location="'Master Liste'!G91" display="'Master Liste'!G91" xr:uid="{959C2D16-33FC-4063-BB53-18DCC1ABCD3E}"/>
    <hyperlink ref="F338" location="'Master Liste'!G91" display="'Master Liste'!G91" xr:uid="{354B319E-3C41-4B51-BC2C-4202972F9F56}"/>
    <hyperlink ref="F336" location="'Master Liste'!G114" display="'Master Liste'!G114" xr:uid="{77D5C6C7-8F41-4A65-9D55-FE0F4B4213EC}"/>
    <hyperlink ref="F337" location="'Master Liste'!G114" display="'Master Liste'!G114" xr:uid="{DD5A4423-2C83-476A-8092-145CD66CD367}"/>
    <hyperlink ref="F501" location="'Master Liste'!G152" display="'Master Liste'!G152" xr:uid="{7F33534F-8D4D-4592-B4BA-65405B683675}"/>
    <hyperlink ref="F503" location="'Master Liste'!G152" display="'Master Liste'!G152" xr:uid="{F7F6E256-1EB6-4D80-9DBC-6071A931CCF2}"/>
    <hyperlink ref="F357" location="'Master Liste'!G153" display="'Master Liste'!G153" xr:uid="{10ED86D3-0512-4074-9B73-8B59533260F5}"/>
    <hyperlink ref="F443" location="'Master Liste'!G153" display="'Master Liste'!G153" xr:uid="{F49B441F-15CB-4C4C-B4FD-4BEBF426AFBB}"/>
    <hyperlink ref="F355" location="'Master Liste'!G154" display="'Master Liste'!G154" xr:uid="{839B5C3B-D592-4005-8391-69F9D7E43731}"/>
    <hyperlink ref="F356" location="'Master Liste'!G154" display="'Master Liste'!G154" xr:uid="{1D3BB180-EB1E-4ECA-B81B-0852F0E72384}"/>
    <hyperlink ref="F134" location="'Master Liste'!G310" display="'Master Liste'!G310" xr:uid="{2C5751E8-E4D3-46F5-B1EF-75D520265771}"/>
    <hyperlink ref="F306" location="'Master Liste'!F339" display="'Master Liste'!F339" xr:uid="{BD90C275-8759-4F6B-BCA4-920792B5E59E}"/>
    <hyperlink ref="F122" location="'Master Liste'!F307" display="'Master Liste'!F307" xr:uid="{7DA1372A-33D4-415A-914A-2EBEB0D6AFE5}"/>
    <hyperlink ref="F120" location="'Master Liste'!F302" display="'Master Liste'!F302" xr:uid="{832C049C-0120-4758-977A-FA7D3E7F50E4}"/>
    <hyperlink ref="F121" location="'Master Liste'!F304" display="'Master Liste'!F304" xr:uid="{A24E0D17-E74F-448C-9691-66955717FE56}"/>
    <hyperlink ref="F131" location="'Master Liste'!F313" display="'Master Liste'!F313" xr:uid="{38EBD8B5-ADC5-469C-BC06-3953BB74D09C}"/>
    <hyperlink ref="F135" location="'Master Liste'!F311" display="'Master Liste'!F311" xr:uid="{AEAB0A98-FDB6-4BAF-9570-36AD4BC225E0}"/>
    <hyperlink ref="F136" location="'Master Liste'!F319" display="'Master Liste'!F319" xr:uid="{8B248F6B-1D3C-48B1-A099-357091EB1E46}"/>
    <hyperlink ref="F137" location="'Master Liste'!F321" display="'Master Liste'!F321" xr:uid="{EAD0E2CF-2A31-4C74-9333-3008DC156BDC}"/>
    <hyperlink ref="F138" location="'Master Liste'!F315" display="'Master Liste'!F315" xr:uid="{4894B8EF-CDD2-48BF-A23C-2893F13F93E9}"/>
    <hyperlink ref="F264" location="'Master Liste'!F331" display="'Master Liste'!F331" xr:uid="{A855BD57-F046-4205-93F5-099010E7708E}"/>
    <hyperlink ref="F266" location="'Master Liste'!F329" display="'Master Liste'!F329" xr:uid="{608989DA-1AEA-4151-82E7-8AE43320AD41}"/>
    <hyperlink ref="F280" location="'Master Liste'!F327" display="'Master Liste'!F327" xr:uid="{B2A93226-A1BF-46D2-9675-4C74C52909C9}"/>
    <hyperlink ref="F278" location="'Master Liste'!F317" display="'Master Liste'!F317" xr:uid="{96A582D6-C335-48A9-9E06-5DFF8D7AB5EC}"/>
    <hyperlink ref="F302" location="'Master Liste'!F139" display="'Master Liste'!F139" xr:uid="{E52DD4E8-A7D1-4D06-9B60-13BF46A4350B}"/>
    <hyperlink ref="F303" location="'Master Liste'!F139" display="'Master Liste'!F139" xr:uid="{84A25A80-0C82-4BC5-94DF-1EBF94732BB7}"/>
    <hyperlink ref="F279" location="'Master Liste'!F352" display="'Master Liste'!F352" xr:uid="{EB6E155F-A3C5-4CF5-A5A8-A0323CCE1078}"/>
    <hyperlink ref="F281" location="'Master Liste'!F341" display="'Master Liste'!F341" xr:uid="{CEDDFCE3-7D75-444F-8BD3-A90B5D4547C5}"/>
    <hyperlink ref="F282" location="'Master Liste'!F343" display="'Master Liste'!F343" xr:uid="{1424BD0E-FBA2-4E2F-9D62-AD0B2776C64A}"/>
    <hyperlink ref="F277" location="'Master Liste'!F271" display="'Master Liste'!F271" xr:uid="{D1F1325D-00EC-4C62-B9FA-53F51290479F}"/>
    <hyperlink ref="F304" location="'Master Liste'!F347" display="'Master Liste'!F347" xr:uid="{32BDAD3F-C712-454F-8457-0CF99FCEED82}"/>
    <hyperlink ref="F305" location="'Master Liste'!F265" display="'Master Liste'!F265" xr:uid="{20BE05FE-405C-4F36-B0A1-D31287901336}"/>
    <hyperlink ref="F307" location="'Master Liste'!F273" display="'Master Liste'!F273" xr:uid="{0A399D8B-3AB4-4E77-8F33-8F3B1C5AC603}"/>
    <hyperlink ref="F316" location="'Master Liste'!F325" display="'Master Liste'!F325" xr:uid="{CCF9B9FD-A4D0-4CE4-8701-A98E118DF7D8}"/>
    <hyperlink ref="F321" location="'Master Liste'!F337" display="'Master Liste'!F337" xr:uid="{9E3956F2-1911-47FD-B32F-26CFA4AEE983}"/>
    <hyperlink ref="F327" location="'Master Liste'!F300" display="'Master Liste'!F300" xr:uid="{617E093E-EF29-4929-8FAE-57157F613121}"/>
    <hyperlink ref="F333" location="'Master Liste'!F323" display="'Master Liste'!F323" xr:uid="{BD58FCDB-60A0-4998-8B51-EC03EB305245}"/>
    <hyperlink ref="F335" location="'Master Liste'!F263" display="'Master Liste'!F263" xr:uid="{1C93F92B-632C-4F16-9740-E26A700EEBF5}"/>
    <hyperlink ref="F351" location="'Master Liste'!F335" display="'Master Liste'!F335" xr:uid="{2888C996-64BD-4CD6-B613-058C9FD62353}"/>
    <hyperlink ref="F352" location="'Master Liste'!F333" display="'Master Liste'!F333" xr:uid="{F0205C7E-0277-4854-8537-968FB6E4BAB8}"/>
    <hyperlink ref="F353" location="'Master Liste'!F279" display="'Master Liste'!F279" xr:uid="{F595E6F3-9EA7-42DD-BB2E-063284D328AE}"/>
    <hyperlink ref="F4" location="'Master Liste'!F354" display="'Master Liste'!F354" xr:uid="{98C55A8C-3DA4-48E1-91AA-826A80A224C2}"/>
    <hyperlink ref="F343" location="'Master Liste'!F357" display="'Master Liste'!F357" xr:uid="{5566A6AB-CF96-401A-8581-DB022ADF9AB5}"/>
    <hyperlink ref="F344" location="'Master Liste'!F351" display="'Master Liste'!F351" xr:uid="{4F4DCDE6-D5A0-40E5-891F-625132992F93}"/>
    <hyperlink ref="F660" location="'Master Liste'!F351" display="'Master Liste'!F351" xr:uid="{882B96F8-921C-4015-B978-54C597121129}"/>
    <hyperlink ref="F608" location="'Master Liste'!F239" display="'Master Liste'!F239" xr:uid="{83DB9BE8-C320-465B-AFAC-815F963E48DB}"/>
    <hyperlink ref="F523" location="'Master Liste'!F360" display="'Master Liste'!F360" xr:uid="{07D39EE9-E9C2-4550-9368-910BD2DADCC5}"/>
    <hyperlink ref="F609" location="'Master Liste'!F239" display="'Master Liste'!F239" xr:uid="{7A0D030C-C1DC-41BA-8040-0F3C8D21222A}"/>
    <hyperlink ref="F610" location="'Master Liste'!F240" display="'Master Liste'!F240" xr:uid="{C940DFC1-3626-4173-8188-7405585B4406}"/>
    <hyperlink ref="F413" location="'Master Liste'!F240" display="'Master Liste'!F240" xr:uid="{9164634E-77C8-41F1-B7B5-07DAECE8AB0F}"/>
    <hyperlink ref="F611" location="'Master Liste'!F240" display="'Master Liste'!F240" xr:uid="{DB31A46B-25EB-40AA-946A-8B69605D1886}"/>
    <hyperlink ref="F524" location="'Master Liste'!F362" display="'Master Liste'!F362" xr:uid="{88B375DA-C982-49EC-AA6B-32B877CEF4D1}"/>
    <hyperlink ref="F525" location="'Master Liste'!F363" display="'Master Liste'!F363" xr:uid="{21A79CBF-16E6-472D-9F64-67A0C91C3F6F}"/>
    <hyperlink ref="F612" location="'Master Liste'!F242" display="'Master Liste'!F242" xr:uid="{1A22CFB9-A746-45EB-95B4-DDB59EFCBD9D}"/>
    <hyperlink ref="F613" location="'Master Liste'!F242" display="'Master Liste'!F242" xr:uid="{126D019C-D6F9-4AE7-A455-48698BBBC482}"/>
    <hyperlink ref="F526" location="'Master Liste'!F365" display="'Master Liste'!F365" xr:uid="{B38C9829-C276-49E8-B825-4015D4AECB94}"/>
    <hyperlink ref="F331" location="'Master Liste'!G151" display="9" xr:uid="{A6A4CA31-1045-4802-89A2-4BAD6B766538}"/>
    <hyperlink ref="F332" location="'Master Liste'!G151" display="10" xr:uid="{4CB46F24-CDF8-402D-AA27-F4F80E14BEA2}"/>
    <hyperlink ref="F328" location="'Master Liste'!G507" display="4" xr:uid="{348FFA6A-573C-460F-8A6A-48A8A2BD187D}"/>
    <hyperlink ref="F602" location="'Master Liste'!F456" display="6" xr:uid="{8E2EF2B0-1AF3-46B3-87D5-326E60BE1146}"/>
    <hyperlink ref="F603" location="'Master Liste'!F456" display="7" xr:uid="{6CFBD77B-F062-46F0-A61C-8FD9187DE218}"/>
    <hyperlink ref="F604" location="'Master Liste'!F457" display="9" xr:uid="{D54B0035-90F9-43C9-8C80-6F7C9A3CA0F9}"/>
    <hyperlink ref="F605" r:id="rId5" display="10" xr:uid="{96C48867-A34B-467D-AD76-8B245AF7F7A7}"/>
    <hyperlink ref="F615" location="'Master Liste'!F583" display="1" xr:uid="{86C90183-BF5C-4F0F-8C30-D96BECD93F13}"/>
    <hyperlink ref="F616" location="'Master Liste'!F583" display="2" xr:uid="{E8C8DEF3-11D3-4D79-BF3E-F21FE2524779}"/>
    <hyperlink ref="F617" location="'Master Liste'!F583" display="3" xr:uid="{471D21BB-C1F1-4A47-AB36-04393EB8BE66}"/>
    <hyperlink ref="F618" location="'Master Liste'!F583" display="4" xr:uid="{6F2EC3B4-10D8-4F9A-B7F4-6E3DFF9B7F37}"/>
    <hyperlink ref="F414" location="'Master Liste'!F245" display="16" xr:uid="{A06C2486-6710-4AA3-A5C7-8C4B23F071D9}"/>
    <hyperlink ref="F415" location="'Master Liste'!F245" display="17" xr:uid="{9196F0C5-FF25-4D80-AA6B-6739865F84AE}"/>
    <hyperlink ref="F416" location="'Master Liste'!F245" display="18" xr:uid="{093EA73A-86E9-4F05-9FFF-23A6988215D8}"/>
    <hyperlink ref="F417" location="'Master Liste'!F245" display="19" xr:uid="{A37346BF-A471-45AF-BEE9-CCFCE271FBE3}"/>
    <hyperlink ref="F418" location="'Master Liste'!F245" display="20" xr:uid="{E5A2DD81-DC4B-4ABA-B68B-3C982C3DF02A}"/>
    <hyperlink ref="F419" location="'Master Liste'!F245" display="21" xr:uid="{782CE5EB-7FDE-436F-8180-BA98F11ED2C8}"/>
    <hyperlink ref="F619" location="'Master Liste'!F589" display="5" xr:uid="{CBD66B17-E108-44E7-896D-0E1D0261B40C}"/>
    <hyperlink ref="F620" location="'Master Liste'!F589" display="6" xr:uid="{1C7D90A7-26C8-4127-AA4D-C6EE71D9CA58}"/>
    <hyperlink ref="F420" location="'Master Liste'!F249" display="23" xr:uid="{483155B7-205E-4E4C-85FF-3F3DC73F461F}"/>
    <hyperlink ref="F646" location="'Master Liste'!F249" display="24" xr:uid="{AD5C577B-92DF-4EA7-B5EB-41DDBA73D8E9}"/>
    <hyperlink ref="F647" location="'Master Liste'!F249" display="25" xr:uid="{2A70C91B-6643-4189-872A-55905796BDC9}"/>
    <hyperlink ref="F621" location="'Master Liste'!F592" display="7" xr:uid="{58A45686-6AFA-4641-9E8C-856C8D52CC24}"/>
    <hyperlink ref="F622" location="'Master Liste'!F592" display="8" xr:uid="{47C112FF-C5BE-4EE5-BCB2-CABF437B4497}"/>
    <hyperlink ref="F628" location="'Master Liste'!F595" display="9" xr:uid="{A6EB14EF-56EA-43A0-AE46-28AB71C295B6}"/>
    <hyperlink ref="F629" location="'Master Liste'!F603" display="10" xr:uid="{37ADD4AB-D0D6-4AA9-BFEF-187869A9A2BE}"/>
    <hyperlink ref="F630" location="'Master Liste'!F603" display="11" xr:uid="{1D032FAD-38ED-4C36-B350-4E9A5A90A20A}"/>
    <hyperlink ref="F631" location="'Master Liste'!F603" display="12" xr:uid="{0D2EB5FA-A232-402E-B81D-F46F63C368D3}"/>
    <hyperlink ref="F632" location="'Master Liste'!F603" display="13" xr:uid="{11ED4DDE-9E2D-4B3A-B19B-B03944966F9C}"/>
    <hyperlink ref="F633" location="'Master Liste'!F604" display="14" xr:uid="{7CF94DD7-0702-43CD-A5A8-9E28FD228876}"/>
    <hyperlink ref="F175" location="'Master Liste'!F189" display="7" xr:uid="{BA7B8BB4-2716-4060-9771-7E0CB830AC65}"/>
    <hyperlink ref="F202" location="'Master Liste'!F211" display="5" xr:uid="{C99CC79E-6AC9-4079-BDE4-311EAB9B0ADC}"/>
    <hyperlink ref="F203" location="'Master Liste'!F211" display="6" xr:uid="{D9F3C50E-FC8C-42BB-BE1B-7A7A474181F7}"/>
    <hyperlink ref="F204" location="'Master Liste'!F211" display="7" xr:uid="{4B06D493-5A06-4E48-8596-E69F1C0D428D}"/>
    <hyperlink ref="F205" location="'Master Liste'!F215" display="8" xr:uid="{1B7D23AC-EFF8-4E0F-A614-4B03C1AB1961}"/>
    <hyperlink ref="E47" r:id="rId6" location="ara/idari/149540/169/6/1681761240386" display="https://parselsorgu.tkgm.gov.tr/ - ara/idari/149540/169/6/1681761240386" xr:uid="{B21F3E13-C80B-431E-A8F5-1B27C4E809B5}"/>
    <hyperlink ref="E240" r:id="rId7" location="ara/idari/167764/117/17/1695926736852" display="https://parselsorgu.tkgm.gov.tr/ - ara/idari/167764/117/17/1695926736852" xr:uid="{41E430A5-7591-4C93-A7BA-C9D53918890F}"/>
    <hyperlink ref="E239" r:id="rId8" location="ara/idari/167764/117/16/1695926728420" display="https://parselsorgu.tkgm.gov.tr/ - ara/idari/167764/117/16/1695926728420" xr:uid="{D926F9F9-B027-48CE-B730-E4C9FB6A7E59}"/>
    <hyperlink ref="E238" r:id="rId9" location="ara/idari/167764/117/15/1695926720913" display="https://parselsorgu.tkgm.gov.tr/ - ara/idari/167764/117/15/1695926720913" xr:uid="{E16664AF-36E5-49C0-9646-52D776621AF5}"/>
    <hyperlink ref="E237" r:id="rId10" location="ara/idari/167764/117/14/1695926713129" display="https://parselsorgu.tkgm.gov.tr/ - ara/idari/167764/117/14/1695926713129" xr:uid="{CDB6B71C-075F-49A4-9BC6-7B011DAFEA52}"/>
    <hyperlink ref="E236" r:id="rId11" location="ara/idari/167764/117/13/1695926704843" display="https://parselsorgu.tkgm.gov.tr/ - ara/idari/167764/117/13/1695926704843" xr:uid="{BF770087-C0B0-4B25-8453-40631EF242C3}"/>
    <hyperlink ref="E235" r:id="rId12" location="ara/idari/167764/117/12/1695926683255" display="https://parselsorgu.tkgm.gov.tr/ - ara/idari/167764/117/12/1695926683255" xr:uid="{9390FF27-2E1D-45F1-8FE6-2B91335D2B5A}"/>
    <hyperlink ref="E234" r:id="rId13" location="ara/idari/167764/117/11/1695926674902" display="https://parselsorgu.tkgm.gov.tr/ - ara/idari/167764/117/11/1695926674902" xr:uid="{D0E5E36A-B897-4E0B-9968-4B4E68587067}"/>
    <hyperlink ref="E233" r:id="rId14" location="ara/idari/167764/117/10/1695926667788" display="https://parselsorgu.tkgm.gov.tr/ - ara/idari/167764/117/10/1695926667788" xr:uid="{605F4BCF-FB73-4031-BA4C-3B86ED8DD13A}"/>
    <hyperlink ref="E232" r:id="rId15" location="ara/idari/167764/117/9/1695926661027" display="https://parselsorgu.tkgm.gov.tr/ - ara/idari/167764/117/9/1695926661027" xr:uid="{7B42F06B-9DCF-4294-B36D-596FE69C9F69}"/>
    <hyperlink ref="E231" r:id="rId16" location="ara/idari/167764/117/7/1695926653140" display="https://parselsorgu.tkgm.gov.tr/ - ara/idari/167764/117/7/1695926653140" xr:uid="{BAFE7FD8-5856-40E3-BA68-B9F1B7C89CA1}"/>
    <hyperlink ref="E230" r:id="rId17" location="ara/idari/167764/117/6/1695926639853" display="https://parselsorgu.tkgm.gov.tr/ - ara/idari/167764/117/6/1695926639853" xr:uid="{42B69773-6605-4715-AF2A-2534A7DD9FCA}"/>
    <hyperlink ref="E229" r:id="rId18" location="ara/idari/167764/117/5/1695926631183" display="https://parselsorgu.tkgm.gov.tr/ - ara/idari/167764/117/5/1695926631183" xr:uid="{4EB0EE58-9C67-4CDE-83DA-8B19FF3B0B3C}"/>
    <hyperlink ref="E228" r:id="rId19" location="ara/idari/167764/117/4/1695926623740" display="https://parselsorgu.tkgm.gov.tr/ - ara/idari/167764/117/4/1695926623740" xr:uid="{A2828AB8-5668-461B-B33C-56EAD8770D32}"/>
    <hyperlink ref="E227" r:id="rId20" location="ara/idari/167764/117/3/1695926614856" display="https://parselsorgu.tkgm.gov.tr/ - ara/idari/167764/117/3/1695926614856" xr:uid="{443F0FB5-9B35-4C6E-A134-09C107128B38}"/>
    <hyperlink ref="E224" r:id="rId21" location="ara/idari/167764/117/2/1695926607071" display="https://parselsorgu.tkgm.gov.tr/ - ara/idari/167764/117/2/1695926607071" xr:uid="{F54C8372-23DD-47F9-B228-449D7AC6FB52}"/>
    <hyperlink ref="E223" r:id="rId22" location="ara/idari/167764/117/1/1695926594587" display="https://parselsorgu.tkgm.gov.tr/ - ara/idari/167764/117/1/1695926594587" xr:uid="{4B35E9E9-F098-4A6F-9C31-F6A1D685C7B6}"/>
    <hyperlink ref="E210" r:id="rId23" location="ara/idari/167764/116/13/1695926584525" display="https://parselsorgu.tkgm.gov.tr/ - ara/idari/167764/116/13/1695926584525" xr:uid="{5C983876-2AA3-4035-BF6A-6BE306D13BE3}"/>
    <hyperlink ref="E209" r:id="rId24" location="ara/idari/167764/116/12/1695926576766" display="https://parselsorgu.tkgm.gov.tr/ - ara/idari/167764/116/12/1695926576766" xr:uid="{3A3D7DF0-13BD-45D8-9ED0-74AFF632DBA3}"/>
    <hyperlink ref="E208" r:id="rId25" location="ara/idari/167764/116/11/1695926563643" display="https://parselsorgu.tkgm.gov.tr/ - ara/idari/167764/116/11/1695926563643" xr:uid="{01B506EA-85CD-4888-932A-7535025D28C6}"/>
    <hyperlink ref="E207" r:id="rId26" location="ara/idari/167764/116/10/1695926554445" display="https://parselsorgu.tkgm.gov.tr/ - ara/idari/167764/116/10/1695926554445" xr:uid="{BAA0A1DD-ACD9-4F6B-86C7-A01662370AF0}"/>
    <hyperlink ref="E206" r:id="rId27" location="ara/idari/167764/116/9/1695926546132" display="https://parselsorgu.tkgm.gov.tr/ - ara/idari/167764/116/9/1695926546132" xr:uid="{2D1F34BE-54B4-428D-9106-176EFB190AD0}"/>
    <hyperlink ref="E205" r:id="rId28" location="ara/idari/167764/116/8/1695926538404" display="https://parselsorgu.tkgm.gov.tr/ - ara/idari/167764/116/8/1695926538404" xr:uid="{1D43512A-F605-4E99-B14B-A7D1D9A6F0A0}"/>
    <hyperlink ref="E204" r:id="rId29" location="ara/idari/167764/116/7/1695926528191" display="https://parselsorgu.tkgm.gov.tr/ - ara/idari/167764/116/7/1695926528191" xr:uid="{9239D53A-8056-4408-9B8B-F654D038EE91}"/>
    <hyperlink ref="E203" r:id="rId30" location="ara/idari/167764/116/6/1695926521365" display="https://parselsorgu.tkgm.gov.tr/ - ara/idari/167764/116/6/1695926521365" xr:uid="{1C767F5B-B0A8-4A01-A984-A53EFBEE3621}"/>
    <hyperlink ref="E202" r:id="rId31" location="ara/idari/167764/116/5/1695926513578" display="https://parselsorgu.tkgm.gov.tr/ - ara/idari/167764/116/5/1695926513578" xr:uid="{1AAE790F-2CB3-4A24-9A1D-167CF3EAEE5E}"/>
    <hyperlink ref="E201" r:id="rId32" location="ara/idari/167764/116/4/1695926504115" display="https://parselsorgu.tkgm.gov.tr/ - ara/idari/167764/116/4/1695926504115" xr:uid="{4460E6B1-4970-44C3-8E49-90A15822F720}"/>
    <hyperlink ref="E200" r:id="rId33" location="ara/idari/167764/116/3/1695926495081" display="https://parselsorgu.tkgm.gov.tr/ - ara/idari/167764/116/3/1695926495081" xr:uid="{17FF1800-9D1E-4ADA-BA30-6BE463E63E69}"/>
    <hyperlink ref="E199" r:id="rId34" location="ara/idari/167764/116/2/1695926486291" display="https://parselsorgu.tkgm.gov.tr/ - ara/idari/167764/116/2/1695926486291" xr:uid="{A8DB3849-94FF-4046-A35F-B123BF40EBEE}"/>
    <hyperlink ref="E198" r:id="rId35" location="ara/idari/167764/116/1/1695926478610" display="https://parselsorgu.tkgm.gov.tr/ - ara/idari/167764/116/1/1695926478610" xr:uid="{957D63C8-87D2-4BEF-B864-3AEB4F92A195}"/>
    <hyperlink ref="E588" r:id="rId36" location="ara/idari/205866/14236/21/1695926445357" display="https://parselsorgu.tkgm.gov.tr/ - ara/idari/205866/14236/21/1695926445357" xr:uid="{B7F37347-A83F-4C3D-B75D-4735C69EFE6C}"/>
    <hyperlink ref="E587" r:id="rId37" location="ara/idari/205866/14236/20/1695926437651" display="https://parselsorgu.tkgm.gov.tr/ - ara/idari/205866/14236/20/1695926437651" xr:uid="{506ADBD1-C228-413E-8CEA-8B6C85D9B232}"/>
    <hyperlink ref="E586" r:id="rId38" location="ara/idari/205866/14236/16/1695926424763" display="https://parselsorgu.tkgm.gov.tr/ - ara/idari/205866/14236/16/1695926424763" xr:uid="{6F649FC2-79EC-4937-B6FF-65472C7CF003}"/>
    <hyperlink ref="E584" r:id="rId39" location="ara/idari/205866/14236/8/1695926415482" display="https://parselsorgu.tkgm.gov.tr/ - ara/idari/205866/14236/8/1695926415482" xr:uid="{386A4D6F-1268-486E-A7F4-F7CA7C7CA5FD}"/>
    <hyperlink ref="E174" r:id="rId40" location="ara/idari/167764/110/5/1695926396620" display="https://parselsorgu.tkgm.gov.tr/ - ara/idari/167764/110/5/1695926396620" xr:uid="{FB2ED819-FC26-4661-8312-F3F8D8A58E87}"/>
    <hyperlink ref="E173" r:id="rId41" location="ara/idari/167764/110/1/1695926388267" display="https://parselsorgu.tkgm.gov.tr/ - ara/idari/167764/110/1/1695926388267" xr:uid="{BC11A192-8942-4DA7-9D4D-A8CF817D4679}"/>
    <hyperlink ref="E183" r:id="rId42" location="ara/idari/167764/111/4/1695926379756" display="https://parselsorgu.tkgm.gov.tr/ - ara/idari/167764/111/4/1695926379756" xr:uid="{179939F3-78AD-42A0-AC63-295CF6281AE6}"/>
    <hyperlink ref="E182" r:id="rId43" location="ara/idari/167764/111/3/1695926370117" display="https://parselsorgu.tkgm.gov.tr/ - ara/idari/167764/111/3/1695926370117" xr:uid="{D5062BD9-8E3F-429F-9B2D-46876188A8F5}"/>
    <hyperlink ref="E181" r:id="rId44" location="ara/idari/167764/111/2/1695926300451" display="https://parselsorgu.tkgm.gov.tr/ - ara/idari/167764/111/2/1695926300451" xr:uid="{94077913-235A-4104-AF73-18664C376D5C}"/>
    <hyperlink ref="E180" r:id="rId45" location="ara/idari/167764/111/11/1695926290677" display="https://parselsorgu.tkgm.gov.tr/ - ara/idari/167764/111/11/1695926290677" xr:uid="{209B0BA3-0813-49F8-A269-56BBD96FB671}"/>
    <hyperlink ref="E179" r:id="rId46" location="ara/idari/167764/111/10/1695926281862" display="https://parselsorgu.tkgm.gov.tr/ - ara/idari/167764/111/10/1695926281862" xr:uid="{A88E36EB-4F13-408E-ACE5-7BA2E95BC1DD}"/>
    <hyperlink ref="E178" r:id="rId47" location="ara/idari/167764/111/1/1695926272220" display="https://parselsorgu.tkgm.gov.tr/ - ara/idari/167764/111/1/1695926272220" xr:uid="{6319C2BE-0E97-4B77-B9E9-D07F37A32591}"/>
    <hyperlink ref="E177" r:id="rId48" location="ara/idari/167764/111/8/1695926262928" display="https://parselsorgu.tkgm.gov.tr/ - ara/idari/167764/111/8/1695926262928" xr:uid="{EDE31DD4-2B18-4EF9-8923-FF5C3921E2DE}"/>
    <hyperlink ref="E176" r:id="rId49" location="ara/idari/167764/111/9/1695926254180" display="https://parselsorgu.tkgm.gov.tr/ - ara/idari/167764/111/9/1695926254180" xr:uid="{9786D89C-C28C-4CEA-875B-91F25554BB57}"/>
    <hyperlink ref="E175" r:id="rId50" location="ara/idari/167764/111/7/1695926244097" display="https://parselsorgu.tkgm.gov.tr/ - ara/idari/167764/111/7/1695926244097" xr:uid="{65A3BDFA-A25B-4424-908E-C01972BFEB84}"/>
    <hyperlink ref="E172" r:id="rId51" location="ara/idari/171368/132/2/1695926212029" display="https://parselsorgu.tkgm.gov.tr/ - ara/idari/171368/132/2/1695926212029" xr:uid="{6DEBD2B0-54B1-4AAC-A12A-A3C5E42118EB}"/>
    <hyperlink ref="E171" r:id="rId52" location="ara/idari/171373/319/12/1695926193997" display="https://parselsorgu.tkgm.gov.tr/ - ara/idari/171373/319/12/1695926193997" xr:uid="{CE11345A-DE3C-4727-8DA5-6E5F129CA7CD}"/>
    <hyperlink ref="E170" r:id="rId53" location="ara/idari/171373/319/10/1695926185672" display="https://parselsorgu.tkgm.gov.tr/ - ara/idari/171373/319/10/1695926185672" xr:uid="{978B551B-A869-448B-A221-AEF4AA48305B}"/>
    <hyperlink ref="E169" r:id="rId54" location="ara/idari/171373/315/31/1695926175078" display="https://parselsorgu.tkgm.gov.tr/ - ara/idari/171373/315/31/1695926175078" xr:uid="{4888F6F5-9B1C-491A-86C6-90BE5E03B655}"/>
    <hyperlink ref="E168" r:id="rId55" location="ara/idari/171369/240/14/1695926156265" display="https://parselsorgu.tkgm.gov.tr/ - ara/idari/171369/240/14/1695926156265" xr:uid="{493D6DC6-24F9-470E-8591-DC8FE9BF6D7B}"/>
    <hyperlink ref="E649" r:id="rId56" location="ara/idari/171369/236/6/1695926143050" display="https://parselsorgu.tkgm.gov.tr/ - ara/idari/171369/236/6/1695926143050" xr:uid="{33CC8996-C633-4A4A-8900-CD12D40E892D}"/>
    <hyperlink ref="E166" r:id="rId57" location="ara/idari/171369/236/5/1695926133149" display="https://parselsorgu.tkgm.gov.tr/ - ara/idari/171369/236/5/1695926133149" xr:uid="{57EB1E9E-8AB4-43EA-9964-3299A1E0A2F5}"/>
    <hyperlink ref="E165" r:id="rId58" location="ara/idari/171369/214/11/1695926121853" display="https://parselsorgu.tkgm.gov.tr/ - ara/idari/171369/214/11/1695926121853" xr:uid="{A8057348-DBC6-4EC5-B79E-418AB069824C}"/>
    <hyperlink ref="E164" r:id="rId59" location="ara/idari/171369/214/10/1695926112857" display="https://parselsorgu.tkgm.gov.tr/ - ara/idari/171369/214/10/1695926112857" xr:uid="{55D6384B-13CC-4C25-9272-6EF423E265D0}"/>
    <hyperlink ref="E163" r:id="rId60" location="ara/idari/171369/205/9/1695926102049" display="https://parselsorgu.tkgm.gov.tr/ - ara/idari/171369/205/9/1695926102049" xr:uid="{B93A6D0B-2F62-4A94-8049-4FF3D2419C5D}"/>
    <hyperlink ref="E162" r:id="rId61" location="ara/idari/171369/205/8/1695926091780" display="https://parselsorgu.tkgm.gov.tr/ - ara/idari/171369/205/8/1695926091780" xr:uid="{8F9F3C9B-C593-4DCE-BA89-116EC10E61D4}"/>
    <hyperlink ref="E161" r:id="rId62" location="ara/idari/171369/105/16/1695926074591" display="https://parselsorgu.tkgm.gov.tr/ - ara/idari/171369/105/16/1695926074591" xr:uid="{19AA71F2-65DB-46D9-B6BE-78A0E3D55D35}"/>
    <hyperlink ref="E160" r:id="rId63" location="ara/idari/171368/132/4/1695925977880" display="https://parselsorgu.tkgm.gov.tr/ - ara/idari/171368/132/4/1695925977880" xr:uid="{78ACBF60-717C-4D86-B57B-EF4E74B6951B}"/>
    <hyperlink ref="E159" r:id="rId64" location="ara/idari/171368/132/1/1695925967492" display="https://parselsorgu.tkgm.gov.tr/ - ara/idari/171368/132/1/1695925967492" xr:uid="{A7C01429-F1B5-45E6-919D-E7C9AFCAD9FF}"/>
    <hyperlink ref="E158" r:id="rId65" location="ara/idari/171368/105/19/1695925954793" display="https://parselsorgu.tkgm.gov.tr/ - ara/idari/171368/105/19/1695925954793" xr:uid="{87938042-4991-4D46-9DBD-56920694C23F}"/>
    <hyperlink ref="E157" r:id="rId66" location="ara/idari/171368/102/3/1695925942365" display="https://parselsorgu.tkgm.gov.tr/ - ara/idari/171368/102/3/1695925942365" xr:uid="{5FCDDFBE-D4F7-4B9C-9BEE-9798E5E9A1E3}"/>
    <hyperlink ref="E156" r:id="rId67" location="ara/idari/171368/102/2/1695925933582" display="https://parselsorgu.tkgm.gov.tr/ - ara/idari/171368/102/2/1695925933582" xr:uid="{D0ED0D72-11A7-4284-B489-7A63B8C4F5A8}"/>
    <hyperlink ref="E155" r:id="rId68" location="ara/idari/171368/102/1/1695925922672" display="https://parselsorgu.tkgm.gov.tr/ - ara/idari/171368/102/1/1695925922672" xr:uid="{D032B225-5772-4DDC-A0E9-635C58DC2026}"/>
    <hyperlink ref="E353" r:id="rId69" location="ara/idari/167833/178/8/1695925899618" display="https://parselsorgu.tkgm.gov.tr/ - ara/idari/167833/178/8/1695925899618" xr:uid="{1CBAC010-31D0-4083-B2CF-E7462B42E6D8}"/>
    <hyperlink ref="E352" r:id="rId70" location="ara/idari/167833/178/7/1695925888440" display="https://parselsorgu.tkgm.gov.tr/ - ara/idari/167833/178/7/1695925888440" xr:uid="{54D3308A-2BEA-4826-9D07-A36A0F304AB2}"/>
    <hyperlink ref="E351" r:id="rId71" location="ara/idari/167833/178/6/1695925874698" display="https://parselsorgu.tkgm.gov.tr/ - ara/idari/167833/178/6/1695925874698" xr:uid="{20AF0243-0B94-4391-BA8F-6959FFAD4BD0}"/>
    <hyperlink ref="E328" r:id="rId72" location="ara/idari/167833/169/4/1695925864022" display="https://parselsorgu.tkgm.gov.tr/ - ara/idari/167833/169/4/1695925864022" xr:uid="{182855E2-AE55-4EA1-B0F4-9BCC2F63D02F}"/>
    <hyperlink ref="E321" r:id="rId73" location="ara/idari/167833/168/8/1695925853949" display="https://parselsorgu.tkgm.gov.tr/ - ara/idari/167833/168/8/1695925853949" xr:uid="{E1A928CA-9BB7-4B72-BF5D-1251A4F2FD74}"/>
    <hyperlink ref="E320" r:id="rId74" location="ara/idari/167833/168/7/1695925842181" display="https://parselsorgu.tkgm.gov.tr/ - ara/idari/167833/168/7/1695925842181" xr:uid="{F55A6AB3-6D60-4706-9463-13976B98D787}"/>
    <hyperlink ref="E319" r:id="rId75" location="ara/idari/167833/168/4/1695925833114" display="https://parselsorgu.tkgm.gov.tr/ - ara/idari/167833/168/4/1695925833114" xr:uid="{436F8E2C-2CB0-4FF3-BBF5-75C92EE26BE8}"/>
    <hyperlink ref="E318" r:id="rId76" location="ara/idari/167833/168/3/1695925824358" display="https://parselsorgu.tkgm.gov.tr/ - ara/idari/167833/168/3/1695925824358" xr:uid="{36973436-7317-4133-BFB4-D17C89D34E3B}"/>
    <hyperlink ref="E317" r:id="rId77" location="ara/idari/167833/168/2/1695925811098" display="https://parselsorgu.tkgm.gov.tr/ - ara/idari/167833/168/2/1695925811098" xr:uid="{67251A42-DD9E-452B-B342-3F9890EA2EE9}"/>
    <hyperlink ref="E316" r:id="rId78" location="ara/idari/167833/168/1/1695754158638" display="https://parselsorgu.tkgm.gov.tr/ - ara/idari/167833/168/1/1695754158638" xr:uid="{E8AD5B93-0FEB-4A1E-B3D8-D0748D295106}"/>
    <hyperlink ref="E307" r:id="rId79" location="ara/idari/167833/167/6/1695754083851" display="https://parselsorgu.tkgm.gov.tr/ - ara/idari/167833/167/6/1695754083851" xr:uid="{E2356215-3C3F-4EF0-BF63-6F6D6E0BCD8A}"/>
    <hyperlink ref="E305" r:id="rId80" location="ara/idari/167833/167/3/1695754071898" display="https://parselsorgu.tkgm.gov.tr/ - ara/idari/167833/167/3/1695754071898" xr:uid="{CB6BF200-B993-49CD-901A-529837B32226}"/>
    <hyperlink ref="E304" r:id="rId81" location="ara/idari/167833/167/1/1695754062475" display="https://parselsorgu.tkgm.gov.tr/ - ara/idari/167833/167/1/1695754062475" xr:uid="{940806DA-9FC2-4335-B9DA-0762E6FF2765}"/>
    <hyperlink ref="E282" r:id="rId82" location="ara/idari/167833/166/8/1695754051181" display="https://parselsorgu.tkgm.gov.tr/ - ara/idari/167833/166/8/1695754051181" xr:uid="{3675A073-1FA5-44C3-BB4F-5434D23E4F88}"/>
    <hyperlink ref="E281" r:id="rId83" location="ara/idari/167833/166/7/1695754039105" display="https://parselsorgu.tkgm.gov.tr/ - ara/idari/167833/166/7/1695754039105" xr:uid="{89B81542-953B-4CEC-9622-76EC5B1AAF09}"/>
    <hyperlink ref="E279" r:id="rId84" location="ara/idari/167833/166/5/1695754029093" display="https://parselsorgu.tkgm.gov.tr/ - ara/idari/167833/166/5/1695754029093" xr:uid="{AF0303C0-49BB-4A7F-8D96-FA867A633A47}"/>
    <hyperlink ref="E278" r:id="rId85" location="ara/idari/167833/166/4/1695754015397" display="https://parselsorgu.tkgm.gov.tr/ - ara/idari/167833/166/4/1695754015397" xr:uid="{F1A9458E-03A0-4815-957F-A54129CC0A28}"/>
    <hyperlink ref="E268" r:id="rId86" location="ara/idari/167833/165/8/1695754004389" display="https://parselsorgu.tkgm.gov.tr/ - ara/idari/167833/165/8/1695754004389" xr:uid="{19DECEBE-2A07-4844-A184-4DDD4D65A720}"/>
    <hyperlink ref="E267" r:id="rId87" location="ara/idari/167833/165/7/1695753993530" display="https://parselsorgu.tkgm.gov.tr/ - ara/idari/167833/165/7/1695753993530" xr:uid="{C78824C7-AFB5-4850-B515-A5DC9F59BD45}"/>
    <hyperlink ref="E266" r:id="rId88" location="ara/idari/167833/165/6/1695753983131" display="https://parselsorgu.tkgm.gov.tr/ - ara/idari/167833/165/6/1695753983131" xr:uid="{CCA9C0B5-B4B7-44AF-92A2-CB4F906FF994}"/>
    <hyperlink ref="E265" r:id="rId89" location="ara/idari/167833/165/4/1695753972332" display="https://parselsorgu.tkgm.gov.tr/ - ara/idari/167833/165/4/1695753972332" xr:uid="{A28FD8C9-A92B-4A2F-86A8-44E34D40CD55}"/>
    <hyperlink ref="E264" r:id="rId90" location="ara/idari/167833/165/3/1695753962792" display="https://parselsorgu.tkgm.gov.tr/ - ara/idari/167833/165/3/1695753962792" xr:uid="{715E846C-6C85-4A87-A6B2-F8527A3E4D20}"/>
    <hyperlink ref="E138" r:id="rId91" location="ara/idari/167833/162/9/1695753948681" display="https://parselsorgu.tkgm.gov.tr/ - ara/idari/167833/162/9/1695753948681" xr:uid="{BD01E915-E10D-4FA7-A2E2-D27901A97859}"/>
    <hyperlink ref="E137" r:id="rId92" location="ara/idari/167833/162/8/1695753938843" display="https://parselsorgu.tkgm.gov.tr/ - ara/idari/167833/162/8/1695753938843" xr:uid="{43EC7DD6-3847-43E1-B56E-72B1737731C8}"/>
    <hyperlink ref="E136" r:id="rId93" location="ara/idari/167833/162/7/1695753929180" display="https://parselsorgu.tkgm.gov.tr/ - ara/idari/167833/162/7/1695753929180" xr:uid="{1608E603-7411-447B-89F8-4D46AB853EEE}"/>
    <hyperlink ref="E135" r:id="rId94" location="ara/idari/167833/162/6/1695753915280" display="https://parselsorgu.tkgm.gov.tr/ - ara/idari/167833/162/6/1695753915280" xr:uid="{76C0FA3B-D55C-4C60-9A1D-BBF4CA9145E0}"/>
    <hyperlink ref="E134" r:id="rId95" location="ara/idari/167833/162/5/1695753906073" display="https://parselsorgu.tkgm.gov.tr/ - ara/idari/167833/162/5/1695753906073" xr:uid="{0F56C073-8087-4ABB-B757-B5488A10D2CA}"/>
    <hyperlink ref="E133" r:id="rId96" location="ara/idari/167833/162/4/1695753896627" display="https://parselsorgu.tkgm.gov.tr/ - ara/idari/167833/162/4/1695753896627" xr:uid="{977F3B91-CF71-4308-AD34-5942C3ABFC52}"/>
    <hyperlink ref="E132" r:id="rId97" location="ara/idari/167833/162/11/1695753886096" display="https://parselsorgu.tkgm.gov.tr/ - ara/idari/167833/162/11/1695753886096" xr:uid="{3E8FD780-BD31-416C-ABE5-8AD38E400A3C}"/>
    <hyperlink ref="E131" r:id="rId98" location="ara/idari/167833/162/10/1695753873971" display="https://parselsorgu.tkgm.gov.tr/ - ara/idari/167833/162/10/1695753873971" xr:uid="{242F9C39-F44A-4ACE-9E56-31857ACBB3E6}"/>
    <hyperlink ref="E121" r:id="rId99" location="ara/idari/167833/161/2/1695753860868" display="https://parselsorgu.tkgm.gov.tr/ - ara/idari/167833/161/2/1695753860868" xr:uid="{1BB3BED2-D722-463B-8859-9018A6890BE9}"/>
    <hyperlink ref="E120" r:id="rId100" location="ara/idari/167833/161/1/1695753849859" display="https://parselsorgu.tkgm.gov.tr/ - ara/idari/167833/161/1/1695753849859" xr:uid="{713406E6-6A39-4F54-912C-9439F4D7EA2E}"/>
    <hyperlink ref="E117" r:id="rId101" location="ara/idari/167833/160/2/1695753836160" display="https://parselsorgu.tkgm.gov.tr/ - ara/idari/167833/160/2/1695753836160" xr:uid="{ABBEF2DA-41D1-4B03-B434-5B7FBEBCD666}"/>
    <hyperlink ref="E111" r:id="rId102" location="ara/idari/167833/159/3/1695753823090" display="https://parselsorgu.tkgm.gov.tr/ - ara/idari/167833/159/3/1695753823090" xr:uid="{23F90BD9-29BB-468C-AF3A-1AEE38D778B3}"/>
    <hyperlink ref="E96" r:id="rId103" location="ara/idari/167833/158/6/1695753676073" display="https://parselsorgu.tkgm.gov.tr/ - ara/idari/167833/158/6/1695753676073" xr:uid="{8E0CB9BE-7C45-4794-9012-B97B19A78105}"/>
    <hyperlink ref="E95" r:id="rId104" location="ara/idari/167833/158/5/1695753807400" display="https://parselsorgu.tkgm.gov.tr/ - ara/idari/167833/158/5/1695753807400" xr:uid="{82603D10-E1D5-4BFD-AF04-1F8F3E492773}"/>
    <hyperlink ref="E94" r:id="rId105" location="ara/idari/167833/158/4/1695753797669" display="https://parselsorgu.tkgm.gov.tr/ - ara/idari/167833/158/4/1695753797669" xr:uid="{F9E949F3-A529-49E0-84FB-0CA1CDA5D2E8}"/>
    <hyperlink ref="E93" r:id="rId106" location="ara/idari/167833/158/3/1695753786413" display="https://parselsorgu.tkgm.gov.tr/ - ara/idari/167833/158/3/1695753786413" xr:uid="{D8469F84-3323-4F78-AE7E-5A1BC6CD9472}"/>
    <hyperlink ref="E88" r:id="rId107" location="ara/idari/167833/157/4/1695753761668" display="https://parselsorgu.tkgm.gov.tr/ - ara/idari/167833/157/4/1695753761668" xr:uid="{2B5C9A5D-F1CB-431A-95E0-DED24B5BAD49}"/>
    <hyperlink ref="E92" r:id="rId108" location="ara/idari/167833/158/2/1695753775885" display="https://parselsorgu.tkgm.gov.tr/ - ara/idari/167833/158/2/1695753775885" xr:uid="{1E61D339-599A-4E09-8A03-DD4A050E5007}"/>
    <hyperlink ref="E335" r:id="rId109" location="ara/idari/167833/170/3/1695753737488" display="https://parselsorgu.tkgm.gov.tr/ - ara/idari/167833/170/3/1695753737488" xr:uid="{64860D28-8792-46F2-A0B8-1DB881EEED82}"/>
    <hyperlink ref="E327" r:id="rId110" location="ara/idari/167833/169/3/1695753724020" display="https://parselsorgu.tkgm.gov.tr/ - ara/idari/167833/169/3/1695753724020" xr:uid="{99ECE3C0-AD36-40D4-ABE0-E3FEF2672583}"/>
    <hyperlink ref="E277" r:id="rId111" location="ara/idari/167833/166/1/1695753710687" display="https://parselsorgu.tkgm.gov.tr/ - ara/idari/167833/166/1/1695753710687" xr:uid="{D3E8B46B-F38B-4330-BC89-EB2B863E9762}"/>
    <hyperlink ref="E130" r:id="rId112" location="ara/idari/167833/162/2/1695753699296" display="https://parselsorgu.tkgm.gov.tr/ - ara/idari/167833/162/2/1695753699296" xr:uid="{A6104B76-FCAA-4369-A30C-80A917376324}"/>
    <hyperlink ref="E110" r:id="rId113" location="ara/idari/167833/159/4/1695753688049" display="https://parselsorgu.tkgm.gov.tr/ - ara/idari/167833/159/4/1695753688049" xr:uid="{838EA23C-78F2-48A6-BC75-A73ED8E3A180}"/>
    <hyperlink ref="E91" r:id="rId114" location="ara/idari/167833/158/1/1695753748400" display="https://parselsorgu.tkgm.gov.tr/ - ara/idari/167833/158/1/1695753748400" xr:uid="{1780C678-1799-42F5-8FCE-1CBBE8150A10}"/>
    <hyperlink ref="E122" r:id="rId115" location="ara/idari/167833/161/3/1695753662411" display="https://parselsorgu.tkgm.gov.tr/ - ara/idari/167833/161/3/1695753662411" xr:uid="{7325DE4A-5067-4AE7-B362-82EBAC89D2C1}"/>
    <hyperlink ref="E109" r:id="rId116" location="ara/idari/167833/159/2/1695753646837" display="https://parselsorgu.tkgm.gov.tr/ - ara/idari/167833/159/2/1695753646837" xr:uid="{51AC8A85-6BA9-48D9-BB5B-B830099C396B}"/>
    <hyperlink ref="E596" r:id="rId117" location="ara/idari/167833/181/14/1695753634682" display="https://parselsorgu.tkgm.gov.tr/ - ara/idari/167833/181/14/1695753634682" xr:uid="{AC52C0EE-7F38-4B96-80D8-8A2D795D8ACE}"/>
    <hyperlink ref="E595" r:id="rId118" location="ara/idari/167833/181/11/1695753614872" display="https://parselsorgu.tkgm.gov.tr/ - ara/idari/167833/181/11/1695753614872" xr:uid="{C82AD76B-837E-4A83-8379-C0E9E4B4575A}"/>
    <hyperlink ref="E594" r:id="rId119" location="ara/idari/167833/181/7/1695753597401" display="https://parselsorgu.tkgm.gov.tr/ - ara/idari/167833/181/7/1695753597401" xr:uid="{39A1254E-1FCF-4F3B-96F0-B59870075D8D}"/>
    <hyperlink ref="E593" r:id="rId120" location="ara/idari/167833/181/3/1695753585140" display="https://parselsorgu.tkgm.gov.tr/ - ara/idari/167833/181/3/1695753585140" xr:uid="{71733D66-6CAC-44E1-8DB6-406DA7F171AE}"/>
    <hyperlink ref="E591" r:id="rId121" location="ara/idari/167833/180/2/1695753574246" display="https://parselsorgu.tkgm.gov.tr/ - ara/idari/167833/180/2/1695753574246" xr:uid="{B12E61BB-AF22-4FF0-BF27-B6DAE22BFADB}"/>
    <hyperlink ref="E508" r:id="rId122" location="ara/idari/167833/179/2/1695753562303" display="https://parselsorgu.tkgm.gov.tr/ - ara/idari/167833/179/2/1695753562303" xr:uid="{1B7E5BC0-A353-4092-B244-894634410650}"/>
    <hyperlink ref="E334" r:id="rId123" location="ara/idari/167833/170/7/1695753550428" display="https://parselsorgu.tkgm.gov.tr/ - ara/idari/167833/170/7/1695753550428" xr:uid="{1FDA6861-834D-4BC3-9FC1-17BA85B8A354}"/>
    <hyperlink ref="E261" r:id="rId124" location="ara/idari/167833/163/10/1695753532910" display="https://parselsorgu.tkgm.gov.tr/ - ara/idari/167833/163/10/1695753532910" xr:uid="{7A343D37-8699-453C-8C27-E2D52BF513AC}"/>
    <hyperlink ref="E154" r:id="rId125" location="ara/idari/167833/163/8/1695753517734" display="https://parselsorgu.tkgm.gov.tr/ - ara/idari/167833/163/8/1695753517734" xr:uid="{DD01882B-3A01-4CF4-BB08-2656880E91A5}"/>
    <hyperlink ref="E153" r:id="rId126" location="ara/idari/167833/163/4/1695753503520" display="https://parselsorgu.tkgm.gov.tr/ - ara/idari/167833/163/4/1695753503520" xr:uid="{307C2B03-3AB6-477F-B179-268F98974A36}"/>
    <hyperlink ref="E152" r:id="rId127" location="ara/idari/167833/163/3/1695753491191" display="https://parselsorgu.tkgm.gov.tr/ - ara/idari/167833/163/3/1695753491191" xr:uid="{2EF238F6-7404-4274-9655-BA8034BC8D56}"/>
    <hyperlink ref="E87" r:id="rId128" location="ara/idari/167833/157/6/1695660031277" display="https://parselsorgu.tkgm.gov.tr/ - ara/idari/167833/157/6/1695660031277" xr:uid="{EE469351-243C-49B6-BC09-37F68B6F4EDA}"/>
    <hyperlink ref="E86" r:id="rId129" location="ara/idari/167833/157/5/1695660016670" display="https://parselsorgu.tkgm.gov.tr/ - ara/idari/167833/157/5/1695660016670" xr:uid="{2317282F-BE8D-46F2-8B3E-FDC5C8E57044}"/>
    <hyperlink ref="E52" r:id="rId130" location="ara/idari/167833/157/1/1695659905990" display="https://parselsorgu.tkgm.gov.tr/ - ara/idari/167833/157/1/1695659905990" xr:uid="{AD924C06-31FE-4C9E-9FB7-249E0CEF79E3}"/>
    <hyperlink ref="E592" r:id="rId131" location="ara/idari/167833/181/13/1695659890645" display="https://parselsorgu.tkgm.gov.tr/ - ara/idari/167833/181/13/1695659890645" xr:uid="{A6038656-6E99-49B4-B768-A1CEC313C341}"/>
    <hyperlink ref="E333" r:id="rId132" location="ara/idari/167833/170/6/1690228308923" display="https://parselsorgu.tkgm.gov.tr/ - ara/idari/167833/170/6/1690228308923" xr:uid="{0E558CE3-1353-4915-9DD4-B258165ABF90}"/>
    <hyperlink ref="E637" r:id="rId133" location="ara/idari/26998/103/2/1690228281246" display="https://parselsorgu.tkgm.gov.tr/ - ara/idari/26998/103/2/1690228281246" xr:uid="{4CCDE448-4AE8-4F48-A43C-5D988B88EF98}"/>
    <hyperlink ref="E280" r:id="rId134" location="ara/idari/167833/166/6/1690228245310" display="https://parselsorgu.tkgm.gov.tr/ - ara/idari/167833/166/6/1690228245310" xr:uid="{070FA498-1CB7-4C9C-B486-07F95F7A6C52}"/>
    <hyperlink ref="E326" r:id="rId135" location="ara/idari/167833/169/2/1690228232405" display="https://parselsorgu.tkgm.gov.tr/ - ara/idari/167833/169/2/1690228232405" xr:uid="{8FBE7693-C90D-4906-9897-EEE0E0EF84E0}"/>
    <hyperlink ref="E306" r:id="rId136" location="ara/idari/167833/167/5/1690228211203" display="https://parselsorgu.tkgm.gov.tr/ - ara/idari/167833/167/5/1690228211203" xr:uid="{4D47BFC7-19A6-4AE9-96E8-C400D5997AE6}"/>
    <hyperlink ref="E507" r:id="rId137" location="ara/idari/167833/179/3/1688756859822" display="https://parselsorgu.tkgm.gov.tr/ - ara/idari/167833/179/3/1688756859822" xr:uid="{36521034-D1C6-496A-9E66-CA1951F50F85}"/>
    <hyperlink ref="E85" r:id="rId138" location="ara/idari/150139/155/5/1686596131513" display="https://parselsorgu.tkgm.gov.tr/ - ara/idari/150139/155/5/1686596131513" xr:uid="{9E14477F-A537-43AA-A3EA-5591C682D6CF}"/>
    <hyperlink ref="E84" r:id="rId139" location="ara/idari/150139/155/4/1686596111390" display="https://parselsorgu.tkgm.gov.tr/ - ara/idari/150139/155/4/1686596111390" xr:uid="{E4C66B25-0CD5-4CB3-9FFC-D6E51FDF9736}"/>
    <hyperlink ref="E83" r:id="rId140" location="ara/idari/150139/155/3/1686596091994" display="https://parselsorgu.tkgm.gov.tr/ - ara/idari/150139/155/3/1686596091994" xr:uid="{72118439-5CEE-487A-A108-8951CD184CA6}"/>
    <hyperlink ref="E82" r:id="rId141" location="ara/idari/150139/155/8/1686596072619" display="https://parselsorgu.tkgm.gov.tr/ - ara/idari/150139/155/8/1686596072619" xr:uid="{86B25419-2100-4A7E-B9A0-BE46F94F0215}"/>
    <hyperlink ref="E81" r:id="rId142" location="ara/idari/150139/150/10/1686596048606" display="https://parselsorgu.tkgm.gov.tr/ - ara/idari/150139/150/10/1686596048606" xr:uid="{D9D6B2C6-FC5F-40EE-9106-38B80032559B}"/>
    <hyperlink ref="E80" r:id="rId143" location="ara/idari/26998/103/7/1684352590414" display="https://parselsorgu.tkgm.gov.tr/ - ara/idari/26998/103/7/1684352590414" xr:uid="{942894D8-BBF0-40E9-95F9-BB3272EBD951}"/>
    <hyperlink ref="E373" r:id="rId144" location="ara/idari/205866/12477/30/1683961591821" display="https://parselsorgu.tkgm.gov.tr/ - ara/idari/205866/12477/30/1683961591821" xr:uid="{F71FA49F-8678-4FD9-939D-C1FE4CCE06D7}"/>
    <hyperlink ref="E188" r:id="rId145" location="ara/idari/205866/12477/54/1683658855472" display="https://parselsorgu.tkgm.gov.tr/ - ara/idari/205866/12477/54/1683658855472" xr:uid="{AF75C6DA-D97D-4E62-9FE9-DC2B8673906B}"/>
    <hyperlink ref="E405" r:id="rId146" location="ara/idari/205866/12626/8/1683658834705" display="https://parselsorgu.tkgm.gov.tr/ - ara/idari/205866/12626/8/1683658834705" xr:uid="{EC39FDD1-6292-459F-83AD-F85214106844}"/>
    <hyperlink ref="E66" r:id="rId147" location="ara/idari/205866/12450/8/1681760775308" display="https://parselsorgu.tkgm.gov.tr/ - ara/idari/205866/12450/8/1681760775308" xr:uid="{B32C06E7-4FF5-400E-A17E-7F33E11DE397}"/>
    <hyperlink ref="E42" r:id="rId148" location="ara/idari/205866/12450/9/1681760763338" display="https://parselsorgu.tkgm.gov.tr/ - ara/idari/205866/12450/9/1681760763338" xr:uid="{42600949-AAAB-494B-923A-2AAA5D74E7BD}"/>
    <hyperlink ref="E39" r:id="rId149" location="ara/idari/205866/12450/11/1681760750618" display="https://parselsorgu.tkgm.gov.tr/ - ara/idari/205866/12450/11/1681760750618" xr:uid="{D597CA64-7011-4DE0-9E5B-85C50D237235}"/>
    <hyperlink ref="E73" r:id="rId150" location="ara/idari/166925/180/14/1681761543266" display="https://parselsorgu.tkgm.gov.tr/ - ara/idari/166925/180/14/1681761543266" xr:uid="{B9800391-F581-426E-BFB5-ECFFDE258E89}"/>
    <hyperlink ref="E72" r:id="rId151" location="ara/idari/166925/180/13/1681761532340" display="https://parselsorgu.tkgm.gov.tr/ - ara/idari/166925/180/13/1681761532340" xr:uid="{DD5DD287-9513-4327-AE51-2471AF8A8F54}"/>
    <hyperlink ref="E71" r:id="rId152" location="ara/idari/166896/135/4/1681761503418" display="https://parselsorgu.tkgm.gov.tr/ - ara/idari/166896/135/4/1681761503418" xr:uid="{639AB258-EF10-48B5-A4D3-8BA66508CA80}"/>
    <hyperlink ref="E70" r:id="rId153" location="ara/idari/20789/103/6/1681760706234" display="https://parselsorgu.tkgm.gov.tr/ - ara/idari/20789/103/6/1681760706234" xr:uid="{C5A12893-3223-478F-BF90-CFE14D728781}"/>
    <hyperlink ref="E539" r:id="rId154" location="ara/idari/166917/101/6/1681761463823" display="https://parselsorgu.tkgm.gov.tr/ - ara/idari/166917/101/6/1681761463823" xr:uid="{6A1486F9-86A3-4AAB-A2D6-3DDF85182F71}"/>
    <hyperlink ref="E68" r:id="rId155" location="ara/idari/166896/125/5/1681934918941" display="https://parselsorgu.tkgm.gov.tr/ - ara/idari/166896/125/5/1681934918941" xr:uid="{44C45E9F-52F7-4866-BC8A-5ABB2E234B33}"/>
    <hyperlink ref="E67" r:id="rId156" location="ara/idari/166896/125/4/1681934906474" display="https://parselsorgu.tkgm.gov.tr/ - ara/idari/166896/125/4/1681934906474" xr:uid="{D52D02B6-4010-49AB-BECB-22437D96B406}"/>
    <hyperlink ref="E409" r:id="rId157" location="ara/idari/205866/12655/4/1681760676005" display="https://parselsorgu.tkgm.gov.tr/ - ara/idari/205866/12655/4/1681760676005" xr:uid="{26BF48C0-5D50-479C-81FE-68C167266779}"/>
    <hyperlink ref="E65" r:id="rId158" location="ara/idari/171369/241/5/1681934881248" display="https://parselsorgu.tkgm.gov.tr/ - ara/idari/171369/241/5/1681934881248" xr:uid="{B2A6DA31-72DA-4A2A-9BAB-F303872AB3D4}"/>
    <hyperlink ref="E64" r:id="rId159" location="ara/idari/171369/241/7/1681934868187" display="https://parselsorgu.tkgm.gov.tr/ - ara/idari/171369/241/7/1681934868187" xr:uid="{2B3F816E-B38E-4BC9-8AB1-1332513E00A8}"/>
    <hyperlink ref="E63" r:id="rId160" location="ara/idari/171369/241/6/1681934854908" display="https://parselsorgu.tkgm.gov.tr/ - ara/idari/171369/241/6/1681934854908" xr:uid="{4EADEA3B-201D-4850-90F0-99FA03F45E6D}"/>
    <hyperlink ref="E62" r:id="rId161" location="ara/idari/171373/313/9/1681934828246" display="https://parselsorgu.tkgm.gov.tr/ - ara/idari/171373/313/9/1681934828246" xr:uid="{BDCBE230-8D53-4400-8832-4C5E6B41843F}"/>
    <hyperlink ref="E61" r:id="rId162" location="ara/idari/171369/241/15/1681934797245" display="https://parselsorgu.tkgm.gov.tr/ - ara/idari/171369/241/15/1681934797245" xr:uid="{183DC549-EDF0-43FD-BDD8-2F48B041F570}"/>
    <hyperlink ref="E60" r:id="rId163" location="ara/idari/171373/313/8/1681934773645" display="https://parselsorgu.tkgm.gov.tr/ - ara/idari/171373/313/8/1681934773645" xr:uid="{3447CB22-174A-4896-AD17-245F19B11AEE}"/>
    <hyperlink ref="E59" r:id="rId164" location="ara/idari/150139/149/9/1681934500175" display="https://parselsorgu.tkgm.gov.tr/ - ara/idari/150139/149/9/1681934500175" xr:uid="{6DC59137-905A-4704-9923-55D12F3289E6}"/>
    <hyperlink ref="E58" r:id="rId165" location="ara/idari/150139/149/3/1681761435147" display="https://parselsorgu.tkgm.gov.tr/ - ara/idari/150139/149/3/1681761435147" xr:uid="{C9EB7EAF-5EED-4BFC-8B7F-755D3331EE36}"/>
    <hyperlink ref="E57" r:id="rId166" location="ara/idari/150139/149/10/1681760646668" display="https://parselsorgu.tkgm.gov.tr/ - ara/idari/150139/149/10/1681760646668" xr:uid="{B4FC4F27-E69D-4D16-90C6-94A7583E188B}"/>
    <hyperlink ref="E56" r:id="rId167" location="ara/idari/150139/149/5/1681761423109" display="https://parselsorgu.tkgm.gov.tr/ - ara/idari/150139/149/5/1681761423109" xr:uid="{C03B9D33-BDFE-4661-9115-8BB137ECB24D}"/>
    <hyperlink ref="E55" r:id="rId168" location="ara/idari/166963/141/3/1681934238702" display="https://parselsorgu.tkgm.gov.tr/ - ara/idari/166963/141/3/1681934238702" xr:uid="{58B44BD0-C01B-4A6C-8C7D-9D3C656AD0A1}"/>
    <hyperlink ref="E54" r:id="rId169" location="ara/idari/26998/103/1/1681934210635" display="https://parselsorgu.tkgm.gov.tr/ - ara/idari/26998/103/1/1681934210635" xr:uid="{5927BE22-2695-4847-930D-0577A80772AC}"/>
    <hyperlink ref="E53" r:id="rId170" location="ara/idari/166957/141/6/1681934172748" display="https://parselsorgu.tkgm.gov.tr/ - ara/idari/166957/141/6/1681934172748" xr:uid="{7C61BB97-3E98-49D7-96C8-1E97EB95B3D1}"/>
    <hyperlink ref="E342" r:id="rId171" location="ara/idari/167833/171/8/1681934143006" display="https://parselsorgu.tkgm.gov.tr/ - ara/idari/167833/171/8/1681934143006" xr:uid="{36286B64-DFC9-4021-A106-2B070AA30C4F}"/>
    <hyperlink ref="E51" r:id="rId172" location="ara/idari/149985/103/557/1681761354741" display="https://parselsorgu.tkgm.gov.tr/ - ara/idari/149985/103/557/1681761354741" xr:uid="{D581C368-9835-44C4-9D8D-9E25DDA8E8C4}"/>
    <hyperlink ref="E50" r:id="rId173" location="ara/idari/149985/103/588/1681761312528" display="https://parselsorgu.tkgm.gov.tr/ - ara/idari/149985/103/588/1681761312528" xr:uid="{0A20E666-D112-4F60-A04D-43A3EDB265E9}"/>
    <hyperlink ref="E49" r:id="rId174" location="ara/idari/149101/128/2/1681761287349" display="https://parselsorgu.tkgm.gov.tr/ - ara/idari/149101/128/2/1681761287349" xr:uid="{BB915B31-D460-4523-8330-81DB9216CDE5}"/>
    <hyperlink ref="E48" r:id="rId175" location="ara/idari/152430/215/20/1681761263722" display="https://parselsorgu.tkgm.gov.tr/ - ara/idari/152430/215/20/1681761263722" xr:uid="{6A4B2A87-2646-4CA0-BDF1-95143FB1D78E}"/>
    <hyperlink ref="E46" r:id="rId176" location="ara/idari/166896/133/5/1681934114917" display="https://parselsorgu.tkgm.gov.tr/ - ara/idari/166896/133/5/1681934114917" xr:uid="{9945D411-35EA-4481-905D-2FEA88396F3E}"/>
    <hyperlink ref="E45" r:id="rId177" location="ara/idari/166896/123/2/1681934072902" display="https://parselsorgu.tkgm.gov.tr/ - ara/idari/166896/123/2/1681934072902" xr:uid="{F638D37A-73CD-4700-978A-8A3585DF82A0}"/>
    <hyperlink ref="E44" r:id="rId178" location="ara/idari/166896/123/6/1681934057592" display="https://parselsorgu.tkgm.gov.tr/ - ara/idari/166896/123/6/1681934057592" xr:uid="{3EA0E367-1163-4621-8434-955970629FE2}"/>
    <hyperlink ref="E43" r:id="rId179" location="ara/idari/169572/122/8/1681760608862" display="https://parselsorgu.tkgm.gov.tr/ - ara/idari/169572/122/8/1681760608862" xr:uid="{6304304B-B4CB-4B60-A35A-944075ACDE98}"/>
    <hyperlink ref="E392" r:id="rId180" location="ara/idari/205866/12481/11/1681760575901" display="https://parselsorgu.tkgm.gov.tr/ - ara/idari/205866/12481/11/1681760575901" xr:uid="{11D57488-0098-4036-89E5-0DA2E1766F71}"/>
    <hyperlink ref="E395" r:id="rId181" location="ara/idari/205866/12481/8/1681760561597" display="https://parselsorgu.tkgm.gov.tr/ - ara/idari/205866/12481/8/1681760561597" xr:uid="{9BA3F16B-E8B3-4F64-B50D-18853708A099}"/>
    <hyperlink ref="E651" r:id="rId182" location="ara/idari/205866/12481/9/1681935569405" display="https://parselsorgu.tkgm.gov.tr/ - ara/idari/205866/12481/9/1681935569405" xr:uid="{EC287B58-755E-4D14-8D2E-265E0F8FC4A4}"/>
    <hyperlink ref="E379" r:id="rId183" location="ara/idari/205866/12481/7/1681760548301" display="https://parselsorgu.tkgm.gov.tr/ - ara/idari/205866/12481/7/1681760548301" xr:uid="{DBAD34F6-9ADF-42A7-8312-72A84A7142C5}"/>
    <hyperlink ref="E645" r:id="rId184" location="ara/idari/202565/6404/19/1681760505636" display="https://parselsorgu.tkgm.gov.tr/ - ara/idari/202565/6404/19/1681760505636" xr:uid="{98B47D43-3B22-448E-946D-45A0F63C10E0}"/>
    <hyperlink ref="E37" r:id="rId185" location="ara/idari/149568/102/4/1681935629313" display="https://parselsorgu.tkgm.gov.tr/ - ara/idari/149568/102/4/1681935629313" xr:uid="{DC06CB3B-EF40-405E-AFC6-8D8A465D5977}"/>
    <hyperlink ref="E36" r:id="rId186" location="ara/idari/149568/101/10/1681935644491" display="https://parselsorgu.tkgm.gov.tr/ - ara/idari/149568/101/10/1681935644491" xr:uid="{C39E3CFE-128B-4FBE-82BE-F853FB77774B}"/>
    <hyperlink ref="E35" r:id="rId187" location="ara/idari/149568/106/3/1681761212808" display="https://parselsorgu.tkgm.gov.tr/ - ara/idari/149568/106/3/1681761212808" xr:uid="{F07A92F3-0A80-4BE9-B502-AD54497C2209}"/>
    <hyperlink ref="E34" r:id="rId188" location="ara/idari/149568/102/8/1681935664282" display="https://parselsorgu.tkgm.gov.tr/ - ara/idari/149568/102/8/1681935664282" xr:uid="{DBFCF66E-2360-4D90-8EAC-A6E5A4FF302D}"/>
    <hyperlink ref="E33" r:id="rId189" location="ara/idari/169576/128/3/1681935699101" display="https://parselsorgu.tkgm.gov.tr/ - ara/idari/169576/128/3/1681935699101" xr:uid="{6264678E-73C9-49F6-8CDA-9EC793023625}"/>
    <hyperlink ref="E32" r:id="rId190" location="ara/idari/169576/140/2/1681935686319" display="https://parselsorgu.tkgm.gov.tr/ - ara/idari/169576/140/2/1681935686319" xr:uid="{5FA56E14-B1D8-451F-84C2-75BB6C7C4DA8}"/>
    <hyperlink ref="E28" r:id="rId191" location="ara/idari/167815/0/976/1681760315190" display="https://parselsorgu.tkgm.gov.tr/ - ara/idari/167815/0/976/1681760315190" xr:uid="{7B20CFB6-E8F7-447C-BE16-4319B11C2C60}"/>
    <hyperlink ref="E27" r:id="rId192" location="ara/idari/37964/0/1710/1681761150197" display="https://parselsorgu.tkgm.gov.tr/ - ara/idari/37964/0/1710/1681761150197" xr:uid="{546E3E1C-C16C-494B-BFBA-BE7105810783}"/>
    <hyperlink ref="E26" r:id="rId193" location="ara/idari/166938/156/2/1681935844762" display="https://parselsorgu.tkgm.gov.tr/ - ara/idari/166938/156/2/1681935844762" xr:uid="{EB4B9DA3-50A9-407B-A070-AB8D690F03EC}"/>
    <hyperlink ref="E25" r:id="rId194" location="ara/idari/166938/156/1/1681935834473" display="https://parselsorgu.tkgm.gov.tr/ - ara/idari/166938/156/1/1681935834473" xr:uid="{2BC2312E-7A61-40AA-96AB-EFB9F93F3FB7}"/>
    <hyperlink ref="E24" r:id="rId195" location="ara/idari/167773/315/13/1681935809498" display="https://parselsorgu.tkgm.gov.tr/ - ara/idari/167773/315/13/1681935809498" xr:uid="{41171FD0-3673-4284-85F2-5B44EF58AE22}"/>
    <hyperlink ref="E23" r:id="rId196" location="ara/idari/147569/108/7/1681761105177" display="https://parselsorgu.tkgm.gov.tr/ - ara/idari/147569/108/7/1681761105177" xr:uid="{3F67C3AC-662F-4BAA-8EE0-9CB174278914}"/>
    <hyperlink ref="E22" r:id="rId197" location="ara/idari/147569/108/6/1681932067923" display="https://parselsorgu.tkgm.gov.tr/ - ara/idari/147569/108/6/1681932067923" xr:uid="{60A7D981-868F-4BC1-9B01-525EB7BB2D6D}"/>
    <hyperlink ref="E652" r:id="rId198" location="ara/idari/205867/11633/11/1681760282630" display="https://parselsorgu.tkgm.gov.tr/ - ara/idari/205867/11633/11/1681760282630" xr:uid="{87C7042F-20D5-49F6-A6A3-93AF43022CFF}"/>
    <hyperlink ref="E19" r:id="rId199" location="ara/idari/153183/229/15/1681931959009" display="https://parselsorgu.tkgm.gov.tr/ - ara/idari/153183/229/15/1681931959009" xr:uid="{3F392792-810A-46D7-8EAD-EF530ECC9007}"/>
    <hyperlink ref="E18" r:id="rId200" location="ara/idari/166950/178/18/1681931891617" display="https://parselsorgu.tkgm.gov.tr/ - ara/idari/166950/178/18/1681931891617" xr:uid="{C454503A-BA13-4DFF-BC30-73799C084173}"/>
    <hyperlink ref="E17" r:id="rId201" location="ara/idari/167593/193/485/1681761036314" display="https://parselsorgu.tkgm.gov.tr/ - ara/idari/167593/193/485/1681761036314" xr:uid="{1D936897-785F-473F-937E-45F6F377122D}"/>
    <hyperlink ref="E16" r:id="rId202" location="ara/idari/167515/165/59/1681760985410" display="https://parselsorgu.tkgm.gov.tr/ - ara/idari/167515/165/59/1681760985410" xr:uid="{A56D44F0-7723-4E65-8C9C-51698E17D44E}"/>
    <hyperlink ref="E15" r:id="rId203" location="ara/idari/167515/165/58/1681931931421" display="https://parselsorgu.tkgm.gov.tr/ - ara/idari/167515/165/58/1681931931421" xr:uid="{D50E2C6B-6F97-409B-9FD3-A1FFD4560098}"/>
    <hyperlink ref="E14" r:id="rId204" location="ara/idari/167590/173/282/1681760861581" display="https://parselsorgu.tkgm.gov.tr/ - ara/idari/167590/173/282/1681760861581" xr:uid="{C078E077-27C6-4783-8F14-D2050619ACB5}"/>
    <hyperlink ref="E13" r:id="rId205" location="ara/idari/167515/165/60/1681931859175" display="https://parselsorgu.tkgm.gov.tr/ - ara/idari/167515/165/60/1681931859175" xr:uid="{D3270503-8D61-4F46-9188-CAC379EE4487}"/>
    <hyperlink ref="E12" r:id="rId206" location="ara/idari/153201/588/4/1681931807788" display="https://parselsorgu.tkgm.gov.tr/ - ara/idari/153201/588/4/1681931807788" xr:uid="{19943FEA-4E55-4D88-84F2-B892A65D63EB}"/>
    <hyperlink ref="E11" r:id="rId207" location="ara/idari/167753/205/5/1681931778566" display="https://parselsorgu.tkgm.gov.tr/ - ara/idari/167753/205/5/1681931778566" xr:uid="{B3306659-BFDE-489D-87A5-F32D8F12D6AC}"/>
    <hyperlink ref="E10" r:id="rId208" location="ara/idari/166896/134/7/1681931752162" display="https://parselsorgu.tkgm.gov.tr/ - ara/idari/166896/134/7/1681931752162" xr:uid="{0A999C30-7068-482D-9344-E45E16586B58}"/>
    <hyperlink ref="E9" r:id="rId209" location="ara/idari/166896/134/8/1681931737740" display="https://parselsorgu.tkgm.gov.tr/ - ara/idari/166896/134/8/1681931737740" xr:uid="{E82E96C8-EFAA-44D3-80E4-3DA2330878A1}"/>
    <hyperlink ref="E8" r:id="rId210" location="ara/idari/166896/134/6/1681931721498" display="https://parselsorgu.tkgm.gov.tr/ - ara/idari/166896/134/6/1681931721498" xr:uid="{14956385-3C59-4A8F-B668-25F9CEAE6FDD}"/>
    <hyperlink ref="E639" r:id="rId211" location="ara/idari/181647/446/11/1681760235374" display="https://parselsorgu.tkgm.gov.tr/ - ara/idari/181647/446/11/1681760235374" xr:uid="{6E74CC63-8731-40A2-A243-6237B7B251F0}"/>
    <hyperlink ref="E6" r:id="rId212" location="ara/idari/169576/128/2/1681931831056" display="https://parselsorgu.tkgm.gov.tr/ - ara/idari/169576/128/2/1681931831056" xr:uid="{142B356F-32A2-4E3E-9249-338003CBF2C5}"/>
    <hyperlink ref="E5" r:id="rId213" location="ara/idari/169549/121/5/1681761597009" display="https://parselsorgu.tkgm.gov.tr/ - ara/idari/169549/121/5/1681761597009" xr:uid="{8A1FC6EC-7A79-4118-814A-5E27D96205B2}"/>
    <hyperlink ref="E2" r:id="rId214" location="ara/idari/166963/138/4/1681671516588" display="https://parselsorgu.tkgm.gov.tr/ - ara/idari/166963/138/4/1681671516588" xr:uid="{DB3435A2-B995-4AD2-B7CB-4819F9DA0DB6}"/>
    <hyperlink ref="F251" location="'Master Liste'!F620" display="1" xr:uid="{47ADEF49-AFE3-4BF5-BD21-F6BFD33A55D6}"/>
    <hyperlink ref="F471" location="'Master Liste'!F628" display="6" xr:uid="{A5E5AD48-FB27-4378-A92E-A31CC165CAA4}"/>
    <hyperlink ref="F472" location="'Master Liste'!F628" display="7" xr:uid="{3C068F08-C39F-4BE8-A747-DFE488FB8C21}"/>
    <hyperlink ref="F473" location="'Master Liste'!F628" display="8" xr:uid="{544DC029-30B1-451A-A68A-C632539851EE}"/>
    <hyperlink ref="F505" location="'Master Liste'!F632" display="1" xr:uid="{DAA340FE-28E2-49B3-AA79-5C90F6115F6E}"/>
    <hyperlink ref="F511" location="'Master Liste'!F632" display="4" xr:uid="{9B4EE96B-17FC-4C2F-B45D-9E0BBA68C41F}"/>
    <hyperlink ref="F506" location="'Master Liste'!F636" display="2" xr:uid="{7AB1D970-81DD-47FB-A7AA-283EC279FB6B}"/>
    <hyperlink ref="F510" location="'Master Liste'!F636" display="3" xr:uid="{A9B0FFC8-8CCC-4594-8EA8-F219A8F13F24}"/>
    <hyperlink ref="F253" location="'Master Liste'!F624" display="3" xr:uid="{CB9CF2A1-BB00-49B6-A655-AA2F45930959}"/>
    <hyperlink ref="F254" location="'Master Liste'!F624" display="4" xr:uid="{4B03F0FD-9ABC-4667-8672-3C3A20B773CE}"/>
    <hyperlink ref="F255" location="'Master Liste'!F624" display="5" xr:uid="{E36D9E41-E618-4E4A-BC46-78E99D3534B5}"/>
    <hyperlink ref="F256" location="'Master Liste'!F624" display="6" xr:uid="{14CE5104-9670-42B8-A2E1-B2F7BAF0D3D7}"/>
    <hyperlink ref="E585" r:id="rId215" location="ara/idari/205866/14236/22/1695926453039" display="https://parselsorgu.tkgm.gov.tr/ - ara/idari/205866/14236/22/1695926453039" xr:uid="{70D6AC7E-7EE7-437B-9691-840ED454014E}"/>
    <hyperlink ref="F540" location="'Master Liste'!F731" display="1" xr:uid="{838EBF39-5D4E-4E2A-9896-64859B15B4AC}"/>
    <hyperlink ref="F541:F543" location="'Master Liste'!F733" display="2" xr:uid="{83607038-0F6F-4E86-9C96-5EC843F08910}"/>
    <hyperlink ref="F544:F546" location="'Master Liste'!F738" display="5" xr:uid="{8A89EBB8-11D6-44AE-8F32-0A1B3B650635}"/>
    <hyperlink ref="F547:F549" location="'Master Liste'!F743" display="8" xr:uid="{7D9AD1D9-B90D-495E-9044-66B069F3981E}"/>
    <hyperlink ref="F550:F552" location="'Master Liste'!F748" display="11" xr:uid="{3FE07152-675C-4162-B3D6-AEF8711CCCB3}"/>
    <hyperlink ref="F590" location="'Master Liste'!F753" display="14" xr:uid="{A4A621F4-5462-4FDF-A628-DAED573178F8}"/>
    <hyperlink ref="F556:F560" location="'Master Liste'!F755" display="16" xr:uid="{90EC8105-2EFF-4B0D-8381-895C27DC7D4C}"/>
    <hyperlink ref="F576:F578" location="'Master Liste'!F765" display="22" xr:uid="{465A7FD4-C105-4D67-81FF-46FC469EEE32}"/>
    <hyperlink ref="F553" location="'Master Liste'!F770" display="4" xr:uid="{A1B21A26-0A08-49B2-B841-A6079C3CE4DE}"/>
    <hyperlink ref="F561:F562" location="'Master Liste'!F760" display="19" xr:uid="{0B8157CD-CB81-4D9B-81DA-2A94067AA559}"/>
    <hyperlink ref="F736" location="'Master Liste'!F760" display="21" xr:uid="{1ECED86A-943A-4588-9CB9-E89FC3B0F56A}"/>
    <hyperlink ref="F542" location="'Master Liste'!F773" display="1" xr:uid="{EDA6E5C7-EF22-4021-9770-57FEBDE397A4}"/>
    <hyperlink ref="F570:F572" location="'Master Liste'!F774" display="6" xr:uid="{20BB56BE-4A25-4323-927F-5329363CF1FB}"/>
    <hyperlink ref="F543" location="'Master Liste'!F779" display="1" xr:uid="{109A4F95-89C2-442B-975D-840A30F41219}"/>
    <hyperlink ref="F550" location="'Master Liste'!F782" display="3" xr:uid="{E922CFAD-E758-4F7B-9BE8-99E6B35AC3DA}"/>
    <hyperlink ref="F635:F636" location="'Master Liste'!F784" display="702" xr:uid="{631FC9C9-5FF5-4DBD-825A-6A7142E75D4C}"/>
    <hyperlink ref="F207:F210" location="'Master Liste'!F2117" display="10" xr:uid="{8D1C5AB4-7D5E-4E31-A235-E303851B3E67}"/>
    <hyperlink ref="F229:F231" location="'Master Liste'!F241" display="5" xr:uid="{FBED2323-04EC-42F9-A056-FBF68E6D53FE}"/>
    <hyperlink ref="E809" r:id="rId216" location="ara/idari/167833/168/7/1695925842181" display="https://parselsorgu.tkgm.gov.tr/ - ara/idari/167833/168/7/1695925842181" xr:uid="{74BB3A56-A857-41FC-9C0F-4A16180FA6A1}"/>
    <hyperlink ref="E810" r:id="rId217" location="ara/idari/167833/168/7/1695925842181" display="https://parselsorgu.tkgm.gov.tr/ - ara/idari/167833/168/7/1695925842181" xr:uid="{C887B73C-C81B-45E6-92B1-709FF20328A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5CCC-281A-4A0D-AC54-17650BE2574A}">
  <sheetPr>
    <pageSetUpPr fitToPage="1"/>
  </sheetPr>
  <dimension ref="A1:AN910"/>
  <sheetViews>
    <sheetView showGridLines="0" tabSelected="1" workbookViewId="0">
      <pane ySplit="1" topLeftCell="A2" activePane="bottomLeft" state="frozen"/>
      <selection pane="bottomLeft" activeCell="J10" sqref="J10"/>
    </sheetView>
  </sheetViews>
  <sheetFormatPr defaultColWidth="9.109375" defaultRowHeight="15" customHeight="1"/>
  <cols>
    <col min="1" max="1" width="23.33203125" customWidth="1"/>
    <col min="2" max="2" width="23" customWidth="1"/>
    <col min="3" max="6" width="18" customWidth="1"/>
    <col min="7" max="7" width="12.6640625" style="12" customWidth="1"/>
    <col min="8" max="8" width="7.44140625" style="12" bestFit="1" customWidth="1"/>
    <col min="9" max="9" width="8.44140625" bestFit="1" customWidth="1"/>
    <col min="10" max="10" width="17.6640625" customWidth="1"/>
    <col min="11" max="11" width="13.6640625" customWidth="1"/>
    <col min="12" max="12" width="14.33203125" customWidth="1"/>
    <col min="13" max="13" width="17.44140625" customWidth="1"/>
    <col min="14" max="14" width="16.109375" customWidth="1"/>
    <col min="15" max="15" width="20.33203125" customWidth="1"/>
    <col min="16" max="16" width="17.5546875" customWidth="1"/>
    <col min="17" max="20" width="15.88671875" customWidth="1"/>
    <col min="21" max="21" width="12.6640625" customWidth="1"/>
    <col min="22" max="22" width="18.44140625" customWidth="1"/>
    <col min="23" max="23" width="11.44140625" customWidth="1"/>
    <col min="24" max="24" width="16.33203125" customWidth="1"/>
    <col min="25" max="25" width="12.109375" customWidth="1"/>
    <col min="26" max="26" width="9" customWidth="1"/>
    <col min="27" max="27" width="11.44140625" style="196" customWidth="1"/>
    <col min="28" max="28" width="18.109375" customWidth="1"/>
    <col min="29" max="29" width="50.88671875" style="196" customWidth="1"/>
    <col min="30" max="30" width="12.6640625" style="197" customWidth="1"/>
    <col min="31" max="31" width="41.109375" customWidth="1"/>
    <col min="32" max="32" width="8" customWidth="1"/>
    <col min="33" max="33" width="15" style="25" customWidth="1"/>
    <col min="34" max="34" width="24.6640625" customWidth="1"/>
    <col min="35" max="35" width="8" customWidth="1"/>
    <col min="36" max="36" width="15" style="25" customWidth="1"/>
    <col min="37" max="37" width="26" customWidth="1"/>
    <col min="38" max="38" width="8" customWidth="1"/>
    <col min="39" max="39" width="18" style="25" customWidth="1"/>
    <col min="40" max="40" width="25" style="25" customWidth="1"/>
  </cols>
  <sheetData>
    <row r="1" spans="1:40" s="198" customFormat="1" ht="39.75" customHeight="1">
      <c r="A1" s="199"/>
      <c r="B1" s="246" t="s">
        <v>151</v>
      </c>
      <c r="C1" s="250" t="s">
        <v>152</v>
      </c>
      <c r="D1" s="199" t="s">
        <v>0</v>
      </c>
      <c r="E1" s="199" t="s">
        <v>1</v>
      </c>
      <c r="F1" s="199" t="s">
        <v>2</v>
      </c>
      <c r="G1" s="200" t="s">
        <v>3</v>
      </c>
      <c r="H1" s="339" t="s">
        <v>4</v>
      </c>
      <c r="I1" s="339" t="s">
        <v>5</v>
      </c>
      <c r="J1" s="199" t="s">
        <v>153</v>
      </c>
      <c r="K1" s="199" t="s">
        <v>154</v>
      </c>
      <c r="L1" s="200" t="s">
        <v>155</v>
      </c>
      <c r="M1" s="199" t="s">
        <v>156</v>
      </c>
      <c r="N1" s="201" t="s">
        <v>118</v>
      </c>
      <c r="O1" s="201" t="s">
        <v>157</v>
      </c>
      <c r="P1" s="202" t="s">
        <v>158</v>
      </c>
      <c r="Q1" s="200" t="s">
        <v>159</v>
      </c>
      <c r="R1" s="200" t="s">
        <v>160</v>
      </c>
      <c r="S1" s="200" t="s">
        <v>161</v>
      </c>
      <c r="T1" s="200" t="s">
        <v>162</v>
      </c>
      <c r="U1" s="203" t="s">
        <v>163</v>
      </c>
      <c r="V1" s="203" t="s">
        <v>164</v>
      </c>
      <c r="W1" s="203" t="s">
        <v>165</v>
      </c>
      <c r="X1" s="199" t="s">
        <v>166</v>
      </c>
      <c r="Y1" s="199" t="s">
        <v>167</v>
      </c>
      <c r="Z1" s="199" t="s">
        <v>168</v>
      </c>
      <c r="AA1" s="200" t="s">
        <v>169</v>
      </c>
      <c r="AB1" s="199" t="s">
        <v>170</v>
      </c>
      <c r="AC1" s="199" t="s">
        <v>171</v>
      </c>
      <c r="AD1" s="199" t="s">
        <v>172</v>
      </c>
      <c r="AE1" s="199" t="s">
        <v>173</v>
      </c>
      <c r="AF1" s="199" t="s">
        <v>10</v>
      </c>
      <c r="AG1" s="204" t="s">
        <v>174</v>
      </c>
      <c r="AH1" s="199" t="s">
        <v>175</v>
      </c>
      <c r="AI1" s="199" t="s">
        <v>10</v>
      </c>
      <c r="AJ1" s="204" t="s">
        <v>174</v>
      </c>
      <c r="AK1" s="199" t="s">
        <v>176</v>
      </c>
      <c r="AL1" s="199" t="s">
        <v>10</v>
      </c>
      <c r="AM1" s="199" t="s">
        <v>177</v>
      </c>
      <c r="AN1" s="205" t="s">
        <v>178</v>
      </c>
    </row>
    <row r="2" spans="1:40" ht="18" customHeight="1">
      <c r="A2" s="159" t="str">
        <f>F2&amp;H2&amp;I2</f>
        <v>BARDAKÇI1086</v>
      </c>
      <c r="B2" s="247" t="s">
        <v>150</v>
      </c>
      <c r="C2" s="251"/>
      <c r="D2" s="206" t="s">
        <v>17</v>
      </c>
      <c r="E2" s="206" t="s">
        <v>18</v>
      </c>
      <c r="F2" s="206" t="s">
        <v>140</v>
      </c>
      <c r="G2" s="206">
        <v>344.75</v>
      </c>
      <c r="H2" s="342">
        <v>108</v>
      </c>
      <c r="I2" s="206">
        <v>6</v>
      </c>
      <c r="J2" s="206" t="s">
        <v>130</v>
      </c>
      <c r="K2" s="206" t="s">
        <v>137</v>
      </c>
      <c r="L2" s="206" t="s">
        <v>179</v>
      </c>
      <c r="M2" s="215" t="s">
        <v>179</v>
      </c>
      <c r="N2" s="345">
        <v>2250</v>
      </c>
      <c r="O2" s="346">
        <f>ROUND(N2*G2,-4)</f>
        <v>780000</v>
      </c>
      <c r="P2" s="347">
        <f>O2*0.9</f>
        <v>702000</v>
      </c>
      <c r="Q2" s="345" t="s">
        <v>180</v>
      </c>
      <c r="R2" s="345" t="s">
        <v>180</v>
      </c>
      <c r="S2" s="345" t="s">
        <v>180</v>
      </c>
      <c r="T2" s="345" t="s">
        <v>180</v>
      </c>
      <c r="U2" s="214">
        <v>0.25</v>
      </c>
      <c r="V2" s="214">
        <v>0.5</v>
      </c>
      <c r="W2" s="206"/>
      <c r="X2" s="206"/>
      <c r="Y2" s="206"/>
      <c r="Z2" s="206"/>
      <c r="AA2" s="224"/>
      <c r="AB2" s="210" t="s">
        <v>181</v>
      </c>
      <c r="AC2" s="207">
        <v>1232319721</v>
      </c>
      <c r="AD2" s="210" t="s">
        <v>182</v>
      </c>
      <c r="AE2" s="206" t="s">
        <v>183</v>
      </c>
      <c r="AF2" s="206"/>
      <c r="AG2" s="211"/>
      <c r="AH2" s="206" t="s">
        <v>184</v>
      </c>
      <c r="AI2" s="206"/>
      <c r="AJ2" s="211"/>
      <c r="AK2" s="206" t="s">
        <v>185</v>
      </c>
      <c r="AL2" s="206"/>
      <c r="AM2" s="211"/>
      <c r="AN2" s="212"/>
    </row>
    <row r="3" spans="1:40" ht="18" customHeight="1">
      <c r="A3" s="159" t="str">
        <f>F3&amp;H3&amp;I3</f>
        <v>İNKÖY48681</v>
      </c>
      <c r="B3" s="247" t="s">
        <v>145</v>
      </c>
      <c r="C3" s="251"/>
      <c r="D3" s="226" t="s">
        <v>186</v>
      </c>
      <c r="E3" s="226" t="s">
        <v>187</v>
      </c>
      <c r="F3" s="226" t="s">
        <v>188</v>
      </c>
      <c r="G3" s="226">
        <v>3240</v>
      </c>
      <c r="H3" s="226">
        <v>4868</v>
      </c>
      <c r="I3" s="226">
        <v>1</v>
      </c>
      <c r="J3" s="226" t="s">
        <v>130</v>
      </c>
      <c r="K3" s="206" t="s">
        <v>138</v>
      </c>
      <c r="L3" s="226" t="s">
        <v>189</v>
      </c>
      <c r="M3" s="226" t="s">
        <v>190</v>
      </c>
      <c r="N3" s="348">
        <v>18000</v>
      </c>
      <c r="O3" s="346">
        <f>ROUND(N3*G3,-4)</f>
        <v>58320000</v>
      </c>
      <c r="P3" s="347">
        <f>O3*0.9</f>
        <v>52488000</v>
      </c>
      <c r="Q3" s="346"/>
      <c r="R3" s="347"/>
      <c r="S3" s="346"/>
      <c r="T3" s="347"/>
      <c r="U3" s="227"/>
      <c r="V3" s="227"/>
      <c r="W3" s="206"/>
      <c r="X3" s="226"/>
      <c r="Y3" s="226"/>
      <c r="Z3" s="226"/>
      <c r="AA3" s="226"/>
      <c r="AB3" s="226"/>
      <c r="AC3" s="207"/>
      <c r="AD3" s="210"/>
      <c r="AE3" s="226"/>
      <c r="AF3" s="226"/>
      <c r="AG3" s="228"/>
      <c r="AH3" s="226"/>
      <c r="AI3" s="226"/>
      <c r="AJ3" s="228"/>
      <c r="AK3" s="226"/>
      <c r="AL3" s="226"/>
      <c r="AM3" s="228"/>
      <c r="AN3" s="212"/>
    </row>
    <row r="4" spans="1:40" ht="18" customHeight="1">
      <c r="A4" s="159" t="str">
        <f>F4&amp;H4&amp;I4</f>
        <v>BAKACAK1215</v>
      </c>
      <c r="B4" s="247" t="s">
        <v>150</v>
      </c>
      <c r="C4" s="251"/>
      <c r="D4" s="206" t="s">
        <v>14</v>
      </c>
      <c r="E4" s="206" t="s">
        <v>23</v>
      </c>
      <c r="F4" s="206" t="s">
        <v>92</v>
      </c>
      <c r="G4" s="240">
        <v>499.86</v>
      </c>
      <c r="H4" s="342">
        <v>121</v>
      </c>
      <c r="I4" s="206">
        <v>5</v>
      </c>
      <c r="J4" s="206" t="s">
        <v>130</v>
      </c>
      <c r="K4" s="206" t="s">
        <v>137</v>
      </c>
      <c r="L4" s="206" t="s">
        <v>179</v>
      </c>
      <c r="M4" s="242" t="s">
        <v>179</v>
      </c>
      <c r="N4" s="345"/>
      <c r="O4" s="345"/>
      <c r="P4" s="345"/>
      <c r="Q4" s="345"/>
      <c r="R4" s="345"/>
      <c r="S4" s="345"/>
      <c r="T4" s="345"/>
      <c r="U4" s="214"/>
      <c r="V4" s="214"/>
      <c r="W4" s="206">
        <v>109806451</v>
      </c>
      <c r="X4" s="206"/>
      <c r="Y4" s="206"/>
      <c r="Z4" s="206"/>
      <c r="AA4" s="206"/>
      <c r="AB4" s="213"/>
      <c r="AC4" s="207"/>
      <c r="AD4" s="210"/>
      <c r="AE4" s="206" t="s">
        <v>191</v>
      </c>
      <c r="AF4" s="206"/>
      <c r="AG4" s="211"/>
      <c r="AH4" s="206"/>
      <c r="AI4" s="206"/>
      <c r="AJ4" s="211"/>
      <c r="AK4" s="206"/>
      <c r="AL4" s="206"/>
      <c r="AM4" s="211"/>
      <c r="AN4" s="212"/>
    </row>
    <row r="5" spans="1:40" ht="18" customHeight="1">
      <c r="A5" s="159" t="str">
        <f>F5&amp;H5&amp;I5</f>
        <v>BALIKLIDERE14934</v>
      </c>
      <c r="B5" s="247" t="s">
        <v>150</v>
      </c>
      <c r="C5" s="251"/>
      <c r="D5" s="226" t="s">
        <v>14</v>
      </c>
      <c r="E5" s="226" t="s">
        <v>15</v>
      </c>
      <c r="F5" s="226" t="s">
        <v>192</v>
      </c>
      <c r="G5" s="226">
        <v>638</v>
      </c>
      <c r="H5" s="226">
        <v>149</v>
      </c>
      <c r="I5" s="226">
        <v>34</v>
      </c>
      <c r="J5" s="226" t="s">
        <v>130</v>
      </c>
      <c r="K5" s="206" t="s">
        <v>138</v>
      </c>
      <c r="L5" s="226" t="s">
        <v>179</v>
      </c>
      <c r="M5" s="226" t="s">
        <v>179</v>
      </c>
      <c r="N5" s="349">
        <v>4000</v>
      </c>
      <c r="O5" s="346">
        <f>ROUND(N5*G5,-4)</f>
        <v>2550000</v>
      </c>
      <c r="P5" s="347">
        <f>O5*0.9</f>
        <v>2295000</v>
      </c>
      <c r="Q5" s="349"/>
      <c r="R5" s="349"/>
      <c r="S5" s="349"/>
      <c r="T5" s="349"/>
      <c r="U5" s="227">
        <v>0.4</v>
      </c>
      <c r="V5" s="227">
        <v>0.8</v>
      </c>
      <c r="W5" s="206"/>
      <c r="X5" s="226"/>
      <c r="Y5" s="226"/>
      <c r="Z5" s="226"/>
      <c r="AA5" s="226"/>
      <c r="AB5" s="226"/>
      <c r="AC5" s="207">
        <v>1246780393</v>
      </c>
      <c r="AD5" s="210"/>
      <c r="AE5" s="226" t="s">
        <v>193</v>
      </c>
      <c r="AF5" s="226"/>
      <c r="AG5" s="228"/>
      <c r="AH5" s="226"/>
      <c r="AI5" s="226"/>
      <c r="AJ5" s="228"/>
      <c r="AK5" s="226"/>
      <c r="AL5" s="226"/>
      <c r="AM5" s="228"/>
      <c r="AN5" s="212"/>
    </row>
    <row r="6" spans="1:40" ht="18" customHeight="1">
      <c r="A6" s="159" t="str">
        <f>F6&amp;H6&amp;I6</f>
        <v>DEMİRKAPI1121</v>
      </c>
      <c r="B6" s="247" t="s">
        <v>150</v>
      </c>
      <c r="C6" s="251"/>
      <c r="D6" s="206" t="s">
        <v>14</v>
      </c>
      <c r="E6" s="206" t="s">
        <v>15</v>
      </c>
      <c r="F6" s="206" t="s">
        <v>94</v>
      </c>
      <c r="G6" s="206">
        <v>754.23</v>
      </c>
      <c r="H6" s="206">
        <v>112</v>
      </c>
      <c r="I6" s="341">
        <v>1</v>
      </c>
      <c r="J6" s="206" t="s">
        <v>130</v>
      </c>
      <c r="K6" s="206" t="s">
        <v>198</v>
      </c>
      <c r="L6" s="206" t="s">
        <v>179</v>
      </c>
      <c r="M6" s="242" t="s">
        <v>179</v>
      </c>
      <c r="N6" s="345"/>
      <c r="O6" s="345"/>
      <c r="P6" s="345"/>
      <c r="Q6" s="345"/>
      <c r="R6" s="345"/>
      <c r="S6" s="345"/>
      <c r="T6" s="345"/>
      <c r="U6" s="214"/>
      <c r="V6" s="214"/>
      <c r="W6" s="206"/>
      <c r="X6" s="206"/>
      <c r="Y6" s="206"/>
      <c r="Z6" s="206"/>
      <c r="AA6" s="206"/>
      <c r="AB6" s="213"/>
      <c r="AC6" s="207"/>
      <c r="AD6" s="210"/>
      <c r="AE6" s="206" t="s">
        <v>199</v>
      </c>
      <c r="AF6" s="206"/>
      <c r="AG6" s="211"/>
      <c r="AH6" s="206"/>
      <c r="AI6" s="206"/>
      <c r="AJ6" s="211"/>
      <c r="AK6" s="206"/>
      <c r="AL6" s="206"/>
      <c r="AM6" s="211"/>
      <c r="AN6" s="212"/>
    </row>
    <row r="7" spans="1:40" ht="18" customHeight="1">
      <c r="A7" s="159" t="str">
        <f>F7&amp;H7&amp;I7</f>
        <v>ARMUTLU1021</v>
      </c>
      <c r="B7" s="247" t="s">
        <v>148</v>
      </c>
      <c r="C7" s="251" t="s">
        <v>197</v>
      </c>
      <c r="D7" s="206" t="s">
        <v>14</v>
      </c>
      <c r="E7" s="206" t="s">
        <v>33</v>
      </c>
      <c r="F7" s="206" t="s">
        <v>34</v>
      </c>
      <c r="G7" s="206">
        <v>793.35</v>
      </c>
      <c r="H7" s="206">
        <v>102</v>
      </c>
      <c r="I7" s="341">
        <v>1</v>
      </c>
      <c r="J7" s="206" t="s">
        <v>130</v>
      </c>
      <c r="K7" s="206" t="s">
        <v>138</v>
      </c>
      <c r="L7" s="206" t="s">
        <v>201</v>
      </c>
      <c r="M7" s="242" t="s">
        <v>202</v>
      </c>
      <c r="N7" s="348">
        <v>2250</v>
      </c>
      <c r="O7" s="346">
        <f>ROUND(N7*G7,-4)</f>
        <v>1790000</v>
      </c>
      <c r="P7" s="347">
        <f>O7*0.9</f>
        <v>1611000</v>
      </c>
      <c r="Q7" s="346">
        <f>N7*1.1</f>
        <v>2475</v>
      </c>
      <c r="R7" s="346">
        <f>ROUND(Q7*G7,-4)</f>
        <v>1960000</v>
      </c>
      <c r="S7" s="346">
        <f>Q7*1.1</f>
        <v>2722.5</v>
      </c>
      <c r="T7" s="346">
        <f>ROUND(S7*G7,-4)</f>
        <v>2160000</v>
      </c>
      <c r="U7" s="214">
        <v>0.25</v>
      </c>
      <c r="V7" s="214">
        <v>0.5</v>
      </c>
      <c r="W7" s="206">
        <v>64213520</v>
      </c>
      <c r="X7" s="206"/>
      <c r="Y7" s="206"/>
      <c r="Z7" s="206"/>
      <c r="AA7" s="224"/>
      <c r="AB7" s="210" t="s">
        <v>203</v>
      </c>
      <c r="AC7" s="207"/>
      <c r="AD7" s="210" t="s">
        <v>204</v>
      </c>
      <c r="AE7" s="206"/>
      <c r="AF7" s="206"/>
      <c r="AG7" s="211"/>
      <c r="AH7" s="206"/>
      <c r="AI7" s="206"/>
      <c r="AJ7" s="211"/>
      <c r="AK7" s="206"/>
      <c r="AL7" s="206"/>
      <c r="AM7" s="211"/>
      <c r="AN7" s="212" t="s">
        <v>196</v>
      </c>
    </row>
    <row r="8" spans="1:40" ht="18" customHeight="1">
      <c r="A8" s="159" t="str">
        <f>F8&amp;H8&amp;I8</f>
        <v>ILICABOĞAZI10328</v>
      </c>
      <c r="B8" s="247" t="s">
        <v>150</v>
      </c>
      <c r="C8" s="251"/>
      <c r="D8" s="206" t="s">
        <v>14</v>
      </c>
      <c r="E8" s="206" t="s">
        <v>15</v>
      </c>
      <c r="F8" s="206" t="s">
        <v>63</v>
      </c>
      <c r="G8" s="234">
        <v>511.2</v>
      </c>
      <c r="H8" s="215">
        <v>103</v>
      </c>
      <c r="I8" s="341">
        <v>28</v>
      </c>
      <c r="J8" s="206" t="s">
        <v>130</v>
      </c>
      <c r="K8" s="206" t="s">
        <v>138</v>
      </c>
      <c r="L8" s="206" t="s">
        <v>205</v>
      </c>
      <c r="M8" s="242" t="s">
        <v>179</v>
      </c>
      <c r="N8" s="348">
        <v>4000</v>
      </c>
      <c r="O8" s="346">
        <f>ROUND(N8*G8,-4)</f>
        <v>2040000</v>
      </c>
      <c r="P8" s="347">
        <f>O8*0.9</f>
        <v>1836000</v>
      </c>
      <c r="Q8" s="348"/>
      <c r="R8" s="348"/>
      <c r="S8" s="348"/>
      <c r="T8" s="348"/>
      <c r="U8" s="209">
        <v>0.4</v>
      </c>
      <c r="V8" s="209">
        <v>0.8</v>
      </c>
      <c r="W8" s="206">
        <v>134707943</v>
      </c>
      <c r="X8" s="206"/>
      <c r="Y8" s="206"/>
      <c r="Z8" s="206"/>
      <c r="AA8" s="206"/>
      <c r="AB8" s="210" t="s">
        <v>206</v>
      </c>
      <c r="AC8" s="207"/>
      <c r="AD8" s="210"/>
      <c r="AE8" s="206" t="s">
        <v>207</v>
      </c>
      <c r="AF8" s="206"/>
      <c r="AG8" s="211"/>
      <c r="AH8" s="206"/>
      <c r="AI8" s="206"/>
      <c r="AJ8" s="211"/>
      <c r="AK8" s="206"/>
      <c r="AL8" s="206"/>
      <c r="AM8" s="211"/>
      <c r="AN8" s="212" t="s">
        <v>196</v>
      </c>
    </row>
    <row r="9" spans="1:40" ht="18" customHeight="1">
      <c r="A9" s="159" t="str">
        <f>F9&amp;H9&amp;I9</f>
        <v>ALHAN1043</v>
      </c>
      <c r="B9" s="247" t="s">
        <v>150</v>
      </c>
      <c r="C9" s="251"/>
      <c r="D9" s="237" t="s">
        <v>30</v>
      </c>
      <c r="E9" s="237" t="s">
        <v>208</v>
      </c>
      <c r="F9" s="237" t="s">
        <v>209</v>
      </c>
      <c r="G9" s="237">
        <v>407.09</v>
      </c>
      <c r="H9" s="237">
        <v>104</v>
      </c>
      <c r="I9" s="237">
        <v>3</v>
      </c>
      <c r="J9" s="237" t="s">
        <v>130</v>
      </c>
      <c r="K9" s="206" t="s">
        <v>138</v>
      </c>
      <c r="L9" s="237" t="s">
        <v>179</v>
      </c>
      <c r="M9" s="237" t="s">
        <v>200</v>
      </c>
      <c r="N9" s="346">
        <v>3000</v>
      </c>
      <c r="O9" s="346">
        <f>ROUND(N9*G9,-4)</f>
        <v>1220000</v>
      </c>
      <c r="P9" s="347">
        <f>O9*0.9</f>
        <v>1098000</v>
      </c>
      <c r="Q9" s="347" t="s">
        <v>210</v>
      </c>
      <c r="R9" s="347"/>
      <c r="S9" s="347"/>
      <c r="T9" s="347"/>
      <c r="U9" s="238">
        <v>0.2</v>
      </c>
      <c r="V9" s="238">
        <v>0.4</v>
      </c>
      <c r="W9" s="216">
        <v>126358686</v>
      </c>
      <c r="X9" s="237" t="s">
        <v>211</v>
      </c>
      <c r="Y9" s="237"/>
      <c r="Z9" s="237"/>
      <c r="AA9" s="237"/>
      <c r="AB9" s="217" t="s">
        <v>170</v>
      </c>
      <c r="AC9" s="217">
        <v>1254034358</v>
      </c>
      <c r="AD9" s="221"/>
      <c r="AE9" s="237" t="s">
        <v>212</v>
      </c>
      <c r="AF9" s="237"/>
      <c r="AG9" s="239"/>
      <c r="AH9" s="237"/>
      <c r="AI9" s="237"/>
      <c r="AJ9" s="239"/>
      <c r="AK9" s="237"/>
      <c r="AL9" s="237"/>
      <c r="AM9" s="239"/>
      <c r="AN9" s="223" t="s">
        <v>196</v>
      </c>
    </row>
    <row r="10" spans="1:40" ht="18" customHeight="1">
      <c r="A10" s="159" t="str">
        <f>F10&amp;H10&amp;I10</f>
        <v>GÜNEYCE91120</v>
      </c>
      <c r="B10" s="247" t="s">
        <v>150</v>
      </c>
      <c r="C10" s="251"/>
      <c r="D10" s="231" t="s">
        <v>36</v>
      </c>
      <c r="E10" s="231" t="s">
        <v>37</v>
      </c>
      <c r="F10" s="231" t="s">
        <v>38</v>
      </c>
      <c r="G10" s="231">
        <v>400</v>
      </c>
      <c r="H10" s="231">
        <v>911</v>
      </c>
      <c r="I10" s="343">
        <v>20</v>
      </c>
      <c r="J10" s="231" t="s">
        <v>130</v>
      </c>
      <c r="K10" s="206" t="s">
        <v>137</v>
      </c>
      <c r="L10" s="231" t="s">
        <v>205</v>
      </c>
      <c r="M10" s="244" t="s">
        <v>179</v>
      </c>
      <c r="N10" s="345">
        <v>2000</v>
      </c>
      <c r="O10" s="346">
        <f>ROUND(N10*G10,-4)</f>
        <v>800000</v>
      </c>
      <c r="P10" s="347">
        <f>O10*0.9</f>
        <v>720000</v>
      </c>
      <c r="Q10" s="350"/>
      <c r="R10" s="350"/>
      <c r="S10" s="350"/>
      <c r="T10" s="350"/>
      <c r="U10" s="230">
        <v>0.11</v>
      </c>
      <c r="V10" s="230">
        <v>0.35</v>
      </c>
      <c r="W10" s="216"/>
      <c r="X10" s="231" t="s">
        <v>211</v>
      </c>
      <c r="Y10" s="231"/>
      <c r="Z10" s="231" t="s">
        <v>195</v>
      </c>
      <c r="AA10" s="217"/>
      <c r="AB10" s="218"/>
      <c r="AC10" s="217">
        <v>1250555803</v>
      </c>
      <c r="AD10" s="221" t="s">
        <v>214</v>
      </c>
      <c r="AE10" s="231" t="s">
        <v>215</v>
      </c>
      <c r="AF10" s="231"/>
      <c r="AG10" s="222"/>
      <c r="AH10" s="231" t="s">
        <v>216</v>
      </c>
      <c r="AI10" s="231"/>
      <c r="AJ10" s="222"/>
      <c r="AK10" s="231"/>
      <c r="AL10" s="231"/>
      <c r="AM10" s="222"/>
      <c r="AN10" s="223"/>
    </row>
    <row r="11" spans="1:40" ht="18" customHeight="1">
      <c r="A11" s="159" t="str">
        <f>F11&amp;H11&amp;I11</f>
        <v>KAYAELİ173282</v>
      </c>
      <c r="B11" s="247" t="s">
        <v>149</v>
      </c>
      <c r="C11" s="251"/>
      <c r="D11" s="216" t="s">
        <v>14</v>
      </c>
      <c r="E11" s="216" t="s">
        <v>43</v>
      </c>
      <c r="F11" s="206" t="s">
        <v>44</v>
      </c>
      <c r="G11" s="206">
        <v>4454.4799999999996</v>
      </c>
      <c r="H11" s="342">
        <v>173</v>
      </c>
      <c r="I11" s="206">
        <v>282</v>
      </c>
      <c r="J11" s="206" t="s">
        <v>217</v>
      </c>
      <c r="K11" s="206" t="s">
        <v>137</v>
      </c>
      <c r="L11" s="206" t="s">
        <v>189</v>
      </c>
      <c r="M11" s="215" t="s">
        <v>200</v>
      </c>
      <c r="N11" s="345">
        <v>112</v>
      </c>
      <c r="O11" s="346">
        <f>ROUND(N11*G11,-4)</f>
        <v>500000</v>
      </c>
      <c r="P11" s="347">
        <f>O11*0.9</f>
        <v>450000</v>
      </c>
      <c r="Q11" s="345"/>
      <c r="R11" s="346"/>
      <c r="S11" s="345"/>
      <c r="T11" s="346"/>
      <c r="U11" s="214">
        <v>0</v>
      </c>
      <c r="V11" s="214">
        <v>0</v>
      </c>
      <c r="W11" s="206">
        <v>109371272</v>
      </c>
      <c r="X11" s="206"/>
      <c r="Y11" s="206"/>
      <c r="Z11" s="206"/>
      <c r="AA11" s="224"/>
      <c r="AB11" s="210" t="s">
        <v>181</v>
      </c>
      <c r="AC11" s="207" t="s">
        <v>218</v>
      </c>
      <c r="AD11" s="210" t="s">
        <v>219</v>
      </c>
      <c r="AE11" s="206" t="s">
        <v>220</v>
      </c>
      <c r="AF11" s="206"/>
      <c r="AG11" s="211" t="s">
        <v>221</v>
      </c>
      <c r="AH11" s="206"/>
      <c r="AI11" s="206"/>
      <c r="AJ11" s="211"/>
      <c r="AK11" s="206"/>
      <c r="AL11" s="206"/>
      <c r="AM11" s="211"/>
      <c r="AN11" s="212"/>
    </row>
    <row r="12" spans="1:40" ht="18" customHeight="1">
      <c r="A12" s="159" t="str">
        <f>F12&amp;H12&amp;I12</f>
        <v>CAMİKEBİR31624</v>
      </c>
      <c r="B12" s="247" t="s">
        <v>148</v>
      </c>
      <c r="C12" s="251" t="s">
        <v>197</v>
      </c>
      <c r="D12" s="206" t="s">
        <v>30</v>
      </c>
      <c r="E12" s="206" t="s">
        <v>31</v>
      </c>
      <c r="F12" s="206" t="s">
        <v>32</v>
      </c>
      <c r="G12" s="206">
        <v>271.36</v>
      </c>
      <c r="H12" s="206">
        <v>316</v>
      </c>
      <c r="I12" s="341">
        <v>24</v>
      </c>
      <c r="J12" s="206" t="s">
        <v>130</v>
      </c>
      <c r="K12" s="206" t="s">
        <v>138</v>
      </c>
      <c r="L12" s="206" t="s">
        <v>179</v>
      </c>
      <c r="M12" s="242" t="s">
        <v>202</v>
      </c>
      <c r="N12" s="345">
        <v>4500</v>
      </c>
      <c r="O12" s="346">
        <f>ROUND(N12*G12,-4)</f>
        <v>1220000</v>
      </c>
      <c r="P12" s="347">
        <f>O12*0.9</f>
        <v>1098000</v>
      </c>
      <c r="Q12" s="348" t="s">
        <v>180</v>
      </c>
      <c r="R12" s="348" t="s">
        <v>180</v>
      </c>
      <c r="S12" s="348" t="s">
        <v>180</v>
      </c>
      <c r="T12" s="348" t="s">
        <v>180</v>
      </c>
      <c r="U12" s="209">
        <v>0.4</v>
      </c>
      <c r="V12" s="209">
        <v>0.8</v>
      </c>
      <c r="W12" s="206">
        <v>68327765</v>
      </c>
      <c r="X12" s="206"/>
      <c r="Y12" s="206"/>
      <c r="Z12" s="206"/>
      <c r="AA12" s="224"/>
      <c r="AB12" s="213"/>
      <c r="AC12" s="207"/>
      <c r="AD12" s="210" t="s">
        <v>223</v>
      </c>
      <c r="AE12" s="206" t="s">
        <v>224</v>
      </c>
      <c r="AF12" s="206"/>
      <c r="AG12" s="211"/>
      <c r="AH12" s="206"/>
      <c r="AI12" s="206"/>
      <c r="AJ12" s="211"/>
      <c r="AK12" s="206"/>
      <c r="AL12" s="206"/>
      <c r="AM12" s="211"/>
      <c r="AN12" s="212" t="s">
        <v>196</v>
      </c>
    </row>
    <row r="13" spans="1:40" ht="18" customHeight="1">
      <c r="A13" s="159" t="str">
        <f>F13&amp;H13&amp;I13</f>
        <v>AŞAĞIMUSALAR1704</v>
      </c>
      <c r="B13" s="247" t="s">
        <v>150</v>
      </c>
      <c r="C13" s="251"/>
      <c r="D13" s="206" t="s">
        <v>14</v>
      </c>
      <c r="E13" s="206" t="s">
        <v>28</v>
      </c>
      <c r="F13" s="206" t="s">
        <v>29</v>
      </c>
      <c r="G13" s="206">
        <v>301.66000000000003</v>
      </c>
      <c r="H13" s="206">
        <v>170</v>
      </c>
      <c r="I13" s="341">
        <v>4</v>
      </c>
      <c r="J13" s="206" t="s">
        <v>130</v>
      </c>
      <c r="K13" s="206" t="s">
        <v>137</v>
      </c>
      <c r="L13" s="206" t="s">
        <v>201</v>
      </c>
      <c r="M13" s="215" t="s">
        <v>179</v>
      </c>
      <c r="N13" s="346">
        <v>2250</v>
      </c>
      <c r="O13" s="346">
        <f>ROUND(N13*G13,-4)</f>
        <v>680000</v>
      </c>
      <c r="P13" s="347">
        <f>O13*0.9</f>
        <v>612000</v>
      </c>
      <c r="Q13" s="345"/>
      <c r="R13" s="345"/>
      <c r="S13" s="345"/>
      <c r="T13" s="345"/>
      <c r="U13" s="214">
        <v>0.4</v>
      </c>
      <c r="V13" s="214">
        <v>0.8</v>
      </c>
      <c r="W13" s="206">
        <v>133925473</v>
      </c>
      <c r="X13" s="206" t="s">
        <v>194</v>
      </c>
      <c r="Y13" s="206" t="s">
        <v>195</v>
      </c>
      <c r="Z13" s="206" t="s">
        <v>195</v>
      </c>
      <c r="AA13" s="224"/>
      <c r="AB13" s="213" t="s">
        <v>222</v>
      </c>
      <c r="AC13" s="207">
        <v>1232329009</v>
      </c>
      <c r="AD13" s="210" t="s">
        <v>225</v>
      </c>
      <c r="AE13" s="206" t="s">
        <v>226</v>
      </c>
      <c r="AF13" s="206"/>
      <c r="AG13" s="211" t="s">
        <v>221</v>
      </c>
      <c r="AH13" s="206"/>
      <c r="AI13" s="206"/>
      <c r="AJ13" s="211"/>
      <c r="AK13" s="206"/>
      <c r="AL13" s="206"/>
      <c r="AM13" s="211"/>
      <c r="AN13" s="212"/>
    </row>
    <row r="14" spans="1:40" ht="18" customHeight="1">
      <c r="A14" s="159" t="str">
        <f>F14&amp;H14&amp;I14</f>
        <v>ÇELİKLER11669</v>
      </c>
      <c r="B14" s="247" t="s">
        <v>149</v>
      </c>
      <c r="C14" s="251" t="s">
        <v>197</v>
      </c>
      <c r="D14" s="206" t="s">
        <v>14</v>
      </c>
      <c r="E14" s="233" t="s">
        <v>28</v>
      </c>
      <c r="F14" s="206" t="s">
        <v>65</v>
      </c>
      <c r="G14" s="206">
        <v>870.75</v>
      </c>
      <c r="H14" s="206">
        <v>116</v>
      </c>
      <c r="I14" s="341">
        <v>69</v>
      </c>
      <c r="J14" s="206" t="s">
        <v>130</v>
      </c>
      <c r="K14" s="206" t="s">
        <v>137</v>
      </c>
      <c r="L14" s="206" t="s">
        <v>201</v>
      </c>
      <c r="M14" s="215" t="s">
        <v>200</v>
      </c>
      <c r="N14" s="345">
        <v>1280</v>
      </c>
      <c r="O14" s="346">
        <f>ROUND(N14*G14,-4)</f>
        <v>1110000</v>
      </c>
      <c r="P14" s="347">
        <f>O14*0.9</f>
        <v>999000</v>
      </c>
      <c r="Q14" s="345" t="s">
        <v>180</v>
      </c>
      <c r="R14" s="345" t="s">
        <v>180</v>
      </c>
      <c r="S14" s="345" t="s">
        <v>180</v>
      </c>
      <c r="T14" s="345" t="s">
        <v>180</v>
      </c>
      <c r="U14" s="214">
        <v>0.4</v>
      </c>
      <c r="V14" s="214">
        <v>0.8</v>
      </c>
      <c r="W14" s="206">
        <v>116740568</v>
      </c>
      <c r="X14" s="206" t="s">
        <v>194</v>
      </c>
      <c r="Y14" s="206" t="s">
        <v>195</v>
      </c>
      <c r="Z14" s="206" t="s">
        <v>195</v>
      </c>
      <c r="AA14" s="224"/>
      <c r="AB14" s="224">
        <v>241</v>
      </c>
      <c r="AC14" s="207">
        <v>1226877731</v>
      </c>
      <c r="AD14" s="210" t="s">
        <v>228</v>
      </c>
      <c r="AE14" s="206" t="s">
        <v>229</v>
      </c>
      <c r="AF14" s="206"/>
      <c r="AG14" s="211">
        <v>46387</v>
      </c>
      <c r="AH14" s="206"/>
      <c r="AI14" s="206"/>
      <c r="AJ14" s="211"/>
      <c r="AK14" s="206"/>
      <c r="AL14" s="206"/>
      <c r="AM14" s="211"/>
      <c r="AN14" s="212"/>
    </row>
    <row r="15" spans="1:40" ht="18" customHeight="1">
      <c r="A15" s="159" t="str">
        <f>F15&amp;H15&amp;I15</f>
        <v>DELİCE25121</v>
      </c>
      <c r="B15" s="247" t="s">
        <v>149</v>
      </c>
      <c r="C15" s="251"/>
      <c r="D15" s="216" t="s">
        <v>14</v>
      </c>
      <c r="E15" s="216" t="s">
        <v>28</v>
      </c>
      <c r="F15" s="216" t="s">
        <v>45</v>
      </c>
      <c r="G15" s="216">
        <v>302.61</v>
      </c>
      <c r="H15" s="216">
        <v>251</v>
      </c>
      <c r="I15" s="343">
        <v>21</v>
      </c>
      <c r="J15" s="216" t="s">
        <v>130</v>
      </c>
      <c r="K15" s="206" t="s">
        <v>138</v>
      </c>
      <c r="L15" s="216" t="s">
        <v>201</v>
      </c>
      <c r="M15" s="231" t="s">
        <v>200</v>
      </c>
      <c r="N15" s="348">
        <v>2500</v>
      </c>
      <c r="O15" s="346">
        <f>ROUND(N15*G15,-4)</f>
        <v>760000</v>
      </c>
      <c r="P15" s="347">
        <f>O15*0.9</f>
        <v>684000</v>
      </c>
      <c r="Q15" s="346" t="s">
        <v>180</v>
      </c>
      <c r="R15" s="346" t="s">
        <v>180</v>
      </c>
      <c r="S15" s="346" t="s">
        <v>180</v>
      </c>
      <c r="T15" s="346" t="s">
        <v>180</v>
      </c>
      <c r="U15" s="220">
        <v>0.4</v>
      </c>
      <c r="V15" s="220">
        <v>0.8</v>
      </c>
      <c r="W15" s="216"/>
      <c r="X15" s="216" t="s">
        <v>211</v>
      </c>
      <c r="Y15" s="216"/>
      <c r="Z15" s="216" t="s">
        <v>195</v>
      </c>
      <c r="AA15" s="225"/>
      <c r="AB15" s="219" t="s">
        <v>222</v>
      </c>
      <c r="AC15" s="217">
        <v>250536976</v>
      </c>
      <c r="AD15" s="221" t="s">
        <v>230</v>
      </c>
      <c r="AE15" s="216" t="s">
        <v>231</v>
      </c>
      <c r="AF15" s="216"/>
      <c r="AG15" s="222"/>
      <c r="AH15" s="216"/>
      <c r="AI15" s="216"/>
      <c r="AJ15" s="222"/>
      <c r="AK15" s="216"/>
      <c r="AL15" s="216"/>
      <c r="AM15" s="222"/>
      <c r="AN15" s="223"/>
    </row>
    <row r="16" spans="1:40" ht="18" customHeight="1">
      <c r="A16" s="159" t="str">
        <f>F16&amp;H16&amp;I16</f>
        <v>ATBURGAZI1103</v>
      </c>
      <c r="B16" s="247" t="s">
        <v>145</v>
      </c>
      <c r="C16" s="251"/>
      <c r="D16" s="226" t="s">
        <v>30</v>
      </c>
      <c r="E16" s="226" t="s">
        <v>234</v>
      </c>
      <c r="F16" s="226" t="s">
        <v>235</v>
      </c>
      <c r="G16" s="232">
        <v>300.07</v>
      </c>
      <c r="H16" s="226">
        <v>110</v>
      </c>
      <c r="I16" s="226">
        <v>3</v>
      </c>
      <c r="J16" s="206" t="s">
        <v>130</v>
      </c>
      <c r="K16" s="206" t="s">
        <v>198</v>
      </c>
      <c r="L16" s="226" t="s">
        <v>236</v>
      </c>
      <c r="M16" s="226" t="s">
        <v>236</v>
      </c>
      <c r="N16" s="345">
        <v>6000</v>
      </c>
      <c r="O16" s="346">
        <f>ROUND(N16*G16,-4)</f>
        <v>1800000</v>
      </c>
      <c r="P16" s="347">
        <f>O16*0.9</f>
        <v>1620000</v>
      </c>
      <c r="Q16" s="346">
        <f>N16*1.1</f>
        <v>6600.0000000000009</v>
      </c>
      <c r="R16" s="346">
        <f>ROUND(Q16*G16,-4)</f>
        <v>1980000</v>
      </c>
      <c r="S16" s="346"/>
      <c r="T16" s="346"/>
      <c r="U16" s="227">
        <v>0.4</v>
      </c>
      <c r="V16" s="227">
        <v>0.8</v>
      </c>
      <c r="W16" s="159"/>
      <c r="X16" s="159" t="s">
        <v>211</v>
      </c>
      <c r="Y16" s="159"/>
      <c r="Z16" s="159"/>
      <c r="AA16" s="226"/>
      <c r="AB16" s="159"/>
      <c r="AC16" s="224">
        <v>1289507920</v>
      </c>
      <c r="AD16" s="352">
        <v>45778404</v>
      </c>
      <c r="AE16" s="159"/>
      <c r="AF16" s="159"/>
      <c r="AG16" s="235"/>
      <c r="AH16" s="159"/>
      <c r="AI16" s="159"/>
      <c r="AJ16" s="235"/>
      <c r="AK16" s="159"/>
      <c r="AL16" s="159"/>
      <c r="AM16" s="235"/>
      <c r="AN16" s="235"/>
    </row>
    <row r="17" spans="1:40" ht="18" customHeight="1">
      <c r="A17" s="159" t="str">
        <f>F17&amp;H17&amp;I17</f>
        <v>İSLAMLAR1012</v>
      </c>
      <c r="B17" s="247" t="s">
        <v>148</v>
      </c>
      <c r="C17" s="251"/>
      <c r="D17" s="206" t="s">
        <v>46</v>
      </c>
      <c r="E17" s="206" t="s">
        <v>47</v>
      </c>
      <c r="F17" s="206" t="s">
        <v>48</v>
      </c>
      <c r="G17" s="206">
        <v>438.12</v>
      </c>
      <c r="H17" s="206">
        <v>101</v>
      </c>
      <c r="I17" s="341">
        <v>2</v>
      </c>
      <c r="J17" s="206" t="s">
        <v>130</v>
      </c>
      <c r="K17" s="206" t="s">
        <v>138</v>
      </c>
      <c r="L17" s="206" t="s">
        <v>201</v>
      </c>
      <c r="M17" s="242" t="s">
        <v>202</v>
      </c>
      <c r="N17" s="345">
        <v>16000</v>
      </c>
      <c r="O17" s="346">
        <f>ROUND(N17*G17,-4)</f>
        <v>7010000</v>
      </c>
      <c r="P17" s="347">
        <f>O17*0.9</f>
        <v>6309000</v>
      </c>
      <c r="Q17" s="345"/>
      <c r="R17" s="345"/>
      <c r="S17" s="345" t="s">
        <v>180</v>
      </c>
      <c r="T17" s="345" t="s">
        <v>180</v>
      </c>
      <c r="U17" s="214">
        <v>0.2</v>
      </c>
      <c r="V17" s="214">
        <v>0.4</v>
      </c>
      <c r="W17" s="206">
        <v>27288744</v>
      </c>
      <c r="X17" s="206" t="s">
        <v>137</v>
      </c>
      <c r="Y17" s="206"/>
      <c r="Z17" s="206"/>
      <c r="AA17" s="224"/>
      <c r="AB17" s="210" t="s">
        <v>206</v>
      </c>
      <c r="AC17" s="207">
        <v>1220786730</v>
      </c>
      <c r="AD17" s="210" t="s">
        <v>239</v>
      </c>
      <c r="AE17" s="206"/>
      <c r="AF17" s="206"/>
      <c r="AG17" s="211"/>
      <c r="AH17" s="206"/>
      <c r="AI17" s="206"/>
      <c r="AJ17" s="211"/>
      <c r="AK17" s="206"/>
      <c r="AL17" s="206"/>
      <c r="AM17" s="211"/>
      <c r="AN17" s="212" t="s">
        <v>196</v>
      </c>
    </row>
    <row r="18" spans="1:40" ht="18" customHeight="1">
      <c r="A18" s="159" t="str">
        <f>F18&amp;H18&amp;I18</f>
        <v>MİLİNGE0969</v>
      </c>
      <c r="B18" s="247" t="s">
        <v>149</v>
      </c>
      <c r="C18" s="251" t="s">
        <v>197</v>
      </c>
      <c r="D18" s="206" t="s">
        <v>17</v>
      </c>
      <c r="E18" s="206" t="s">
        <v>57</v>
      </c>
      <c r="F18" s="206" t="s">
        <v>58</v>
      </c>
      <c r="G18" s="206">
        <v>578</v>
      </c>
      <c r="H18" s="206">
        <v>0</v>
      </c>
      <c r="I18" s="341">
        <v>969</v>
      </c>
      <c r="J18" s="206" t="s">
        <v>130</v>
      </c>
      <c r="K18" s="206" t="s">
        <v>137</v>
      </c>
      <c r="L18" s="206" t="s">
        <v>189</v>
      </c>
      <c r="M18" s="215" t="s">
        <v>200</v>
      </c>
      <c r="N18" s="345">
        <v>2500</v>
      </c>
      <c r="O18" s="346">
        <f>ROUND(N18*G18,-4)</f>
        <v>1450000</v>
      </c>
      <c r="P18" s="347">
        <f>O18*0.9</f>
        <v>1305000</v>
      </c>
      <c r="Q18" s="345" t="s">
        <v>180</v>
      </c>
      <c r="R18" s="345" t="s">
        <v>180</v>
      </c>
      <c r="S18" s="345"/>
      <c r="T18" s="345"/>
      <c r="U18" s="214">
        <v>0.4</v>
      </c>
      <c r="V18" s="214">
        <v>0.5</v>
      </c>
      <c r="W18" s="206"/>
      <c r="X18" s="206" t="s">
        <v>227</v>
      </c>
      <c r="Y18" s="206"/>
      <c r="Z18" s="206" t="s">
        <v>195</v>
      </c>
      <c r="AA18" s="206"/>
      <c r="AB18" s="213"/>
      <c r="AC18" s="207"/>
      <c r="AD18" s="210" t="s">
        <v>240</v>
      </c>
      <c r="AE18" s="206" t="s">
        <v>241</v>
      </c>
      <c r="AF18" s="206"/>
      <c r="AG18" s="211"/>
      <c r="AH18" s="206"/>
      <c r="AI18" s="206"/>
      <c r="AJ18" s="211"/>
      <c r="AK18" s="206"/>
      <c r="AL18" s="206"/>
      <c r="AM18" s="211"/>
      <c r="AN18" s="212"/>
    </row>
    <row r="19" spans="1:40" ht="18" customHeight="1">
      <c r="A19" s="159" t="str">
        <f>F19&amp;H19&amp;I19</f>
        <v>ERDEL2669</v>
      </c>
      <c r="B19" s="247" t="s">
        <v>149</v>
      </c>
      <c r="C19" s="251"/>
      <c r="D19" s="206" t="s">
        <v>14</v>
      </c>
      <c r="E19" s="206" t="s">
        <v>66</v>
      </c>
      <c r="F19" s="206" t="s">
        <v>67</v>
      </c>
      <c r="G19" s="206">
        <v>461.58</v>
      </c>
      <c r="H19" s="206">
        <v>266</v>
      </c>
      <c r="I19" s="206">
        <v>9</v>
      </c>
      <c r="J19" s="206" t="s">
        <v>130</v>
      </c>
      <c r="K19" s="206" t="s">
        <v>137</v>
      </c>
      <c r="L19" s="206" t="s">
        <v>189</v>
      </c>
      <c r="M19" s="215" t="s">
        <v>200</v>
      </c>
      <c r="N19" s="345">
        <v>2000</v>
      </c>
      <c r="O19" s="346">
        <f>ROUND(N19*G19,-4)</f>
        <v>920000</v>
      </c>
      <c r="P19" s="347">
        <f>O19*0.9</f>
        <v>828000</v>
      </c>
      <c r="Q19" s="345" t="s">
        <v>180</v>
      </c>
      <c r="R19" s="345" t="s">
        <v>180</v>
      </c>
      <c r="S19" s="345" t="s">
        <v>180</v>
      </c>
      <c r="T19" s="345" t="s">
        <v>180</v>
      </c>
      <c r="U19" s="214">
        <v>0.4</v>
      </c>
      <c r="V19" s="214">
        <v>0.8</v>
      </c>
      <c r="W19" s="206">
        <v>127961575</v>
      </c>
      <c r="X19" s="206"/>
      <c r="Y19" s="206"/>
      <c r="Z19" s="206"/>
      <c r="AA19" s="224"/>
      <c r="AB19" s="210" t="s">
        <v>181</v>
      </c>
      <c r="AC19" s="207">
        <v>1232427636</v>
      </c>
      <c r="AD19" s="210" t="s">
        <v>242</v>
      </c>
      <c r="AE19" s="236" t="s">
        <v>243</v>
      </c>
      <c r="AF19" s="236"/>
      <c r="AG19" s="211">
        <v>46022</v>
      </c>
      <c r="AH19" s="206"/>
      <c r="AI19" s="206"/>
      <c r="AJ19" s="211"/>
      <c r="AK19" s="206"/>
      <c r="AL19" s="206"/>
      <c r="AM19" s="211"/>
      <c r="AN19" s="212"/>
    </row>
    <row r="20" spans="1:40" ht="18" customHeight="1">
      <c r="A20" s="159" t="str">
        <f>F20&amp;H20&amp;I20</f>
        <v>AKPINAR61431</v>
      </c>
      <c r="B20" s="247" t="s">
        <v>146</v>
      </c>
      <c r="C20" s="251"/>
      <c r="D20" s="226" t="s">
        <v>81</v>
      </c>
      <c r="E20" s="226" t="s">
        <v>244</v>
      </c>
      <c r="F20" s="226" t="s">
        <v>245</v>
      </c>
      <c r="G20" s="232">
        <v>117</v>
      </c>
      <c r="H20" s="226">
        <v>6143</v>
      </c>
      <c r="I20" s="226">
        <v>1</v>
      </c>
      <c r="J20" s="226" t="s">
        <v>246</v>
      </c>
      <c r="K20" s="206" t="s">
        <v>138</v>
      </c>
      <c r="L20" s="226" t="s">
        <v>189</v>
      </c>
      <c r="M20" s="226" t="s">
        <v>190</v>
      </c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226"/>
      <c r="AB20" s="159"/>
      <c r="AC20" s="226"/>
      <c r="AD20" s="337"/>
      <c r="AE20" s="159" t="s">
        <v>247</v>
      </c>
      <c r="AF20" s="159"/>
      <c r="AG20" s="235"/>
      <c r="AH20" s="159"/>
      <c r="AI20" s="159"/>
      <c r="AJ20" s="235"/>
      <c r="AK20" s="159"/>
      <c r="AL20" s="159"/>
      <c r="AM20" s="235"/>
      <c r="AN20" s="235"/>
    </row>
    <row r="21" spans="1:40" ht="18" customHeight="1">
      <c r="A21" s="159" t="str">
        <f>F21&amp;H21&amp;I21</f>
        <v>ÇALI597114</v>
      </c>
      <c r="B21" s="247" t="s">
        <v>148</v>
      </c>
      <c r="C21" s="251"/>
      <c r="D21" s="226" t="s">
        <v>81</v>
      </c>
      <c r="E21" s="226" t="s">
        <v>102</v>
      </c>
      <c r="F21" s="226" t="s">
        <v>249</v>
      </c>
      <c r="G21" s="226">
        <v>100</v>
      </c>
      <c r="H21" s="226">
        <v>5971</v>
      </c>
      <c r="I21" s="226">
        <v>14</v>
      </c>
      <c r="J21" s="226" t="s">
        <v>246</v>
      </c>
      <c r="K21" s="206" t="s">
        <v>138</v>
      </c>
      <c r="L21" s="226" t="s">
        <v>189</v>
      </c>
      <c r="M21" s="226" t="s">
        <v>202</v>
      </c>
      <c r="N21" s="349"/>
      <c r="O21" s="349"/>
      <c r="P21" s="349"/>
      <c r="Q21" s="349"/>
      <c r="R21" s="349"/>
      <c r="S21" s="349"/>
      <c r="T21" s="349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8"/>
      <c r="AH21" s="226"/>
      <c r="AI21" s="226"/>
      <c r="AJ21" s="228"/>
      <c r="AK21" s="226"/>
      <c r="AL21" s="226"/>
      <c r="AM21" s="228"/>
      <c r="AN21" s="228"/>
    </row>
    <row r="22" spans="1:40" ht="18" customHeight="1">
      <c r="A22" s="159" t="str">
        <f>F22&amp;H22&amp;I22</f>
        <v>BÜYÜKPINAR1401</v>
      </c>
      <c r="B22" s="247" t="s">
        <v>149</v>
      </c>
      <c r="C22" s="251"/>
      <c r="D22" s="206" t="s">
        <v>14</v>
      </c>
      <c r="E22" s="206" t="s">
        <v>23</v>
      </c>
      <c r="F22" s="206" t="s">
        <v>41</v>
      </c>
      <c r="G22" s="206">
        <v>489.34</v>
      </c>
      <c r="H22" s="206">
        <v>140</v>
      </c>
      <c r="I22" s="206">
        <v>1</v>
      </c>
      <c r="J22" s="206" t="s">
        <v>130</v>
      </c>
      <c r="K22" s="206" t="s">
        <v>138</v>
      </c>
      <c r="L22" s="206" t="s">
        <v>189</v>
      </c>
      <c r="M22" s="206" t="s">
        <v>200</v>
      </c>
      <c r="N22" s="345">
        <v>2500</v>
      </c>
      <c r="O22" s="346">
        <f>ROUND(N22*G22,-4)</f>
        <v>1220000</v>
      </c>
      <c r="P22" s="347">
        <f>O22*0.9</f>
        <v>1098000</v>
      </c>
      <c r="Q22" s="345" t="s">
        <v>180</v>
      </c>
      <c r="R22" s="345" t="s">
        <v>180</v>
      </c>
      <c r="S22" s="345" t="s">
        <v>180</v>
      </c>
      <c r="T22" s="345" t="s">
        <v>180</v>
      </c>
      <c r="U22" s="214">
        <v>0.2</v>
      </c>
      <c r="V22" s="214">
        <v>0.4</v>
      </c>
      <c r="W22" s="206"/>
      <c r="X22" s="206" t="s">
        <v>194</v>
      </c>
      <c r="Y22" s="206"/>
      <c r="Z22" s="206"/>
      <c r="AA22" s="206"/>
      <c r="AB22" s="210" t="s">
        <v>181</v>
      </c>
      <c r="AC22" s="207">
        <v>1237631783</v>
      </c>
      <c r="AD22" s="210" t="s">
        <v>250</v>
      </c>
      <c r="AE22" s="206" t="s">
        <v>251</v>
      </c>
      <c r="AF22" s="206"/>
      <c r="AG22" s="211">
        <v>46752</v>
      </c>
      <c r="AH22" s="206"/>
      <c r="AI22" s="206"/>
      <c r="AJ22" s="211"/>
      <c r="AK22" s="206"/>
      <c r="AL22" s="206"/>
      <c r="AM22" s="211"/>
      <c r="AN22" s="212"/>
    </row>
    <row r="23" spans="1:40" ht="18" customHeight="1">
      <c r="A23" s="159" t="str">
        <f>F23&amp;H23&amp;I23</f>
        <v>İBİLLER12237</v>
      </c>
      <c r="B23" s="247" t="s">
        <v>145</v>
      </c>
      <c r="C23" s="251" t="s">
        <v>197</v>
      </c>
      <c r="D23" s="206" t="s">
        <v>14</v>
      </c>
      <c r="E23" s="206" t="s">
        <v>33</v>
      </c>
      <c r="F23" s="206" t="s">
        <v>42</v>
      </c>
      <c r="G23" s="206">
        <v>390.18</v>
      </c>
      <c r="H23" s="206">
        <v>122</v>
      </c>
      <c r="I23" s="341">
        <v>37</v>
      </c>
      <c r="J23" s="206" t="s">
        <v>130</v>
      </c>
      <c r="K23" s="206" t="s">
        <v>137</v>
      </c>
      <c r="L23" s="206" t="s">
        <v>201</v>
      </c>
      <c r="M23" s="242" t="s">
        <v>190</v>
      </c>
      <c r="N23" s="345">
        <v>2500</v>
      </c>
      <c r="O23" s="346">
        <f>ROUND(N23*G23,-4)</f>
        <v>980000</v>
      </c>
      <c r="P23" s="347">
        <f>O23*0.9</f>
        <v>882000</v>
      </c>
      <c r="Q23" s="346">
        <f>N23*1.1</f>
        <v>2750</v>
      </c>
      <c r="R23" s="346">
        <f>ROUND(Q23*G23,-4)</f>
        <v>1070000</v>
      </c>
      <c r="S23" s="346">
        <f>Q23*1.1</f>
        <v>3025.0000000000005</v>
      </c>
      <c r="T23" s="346">
        <f>ROUND(S23*G23,-4)</f>
        <v>1180000</v>
      </c>
      <c r="U23" s="214">
        <v>0.25</v>
      </c>
      <c r="V23" s="214">
        <v>0.5</v>
      </c>
      <c r="W23" s="206">
        <v>134190116</v>
      </c>
      <c r="X23" s="206"/>
      <c r="Y23" s="206"/>
      <c r="Z23" s="206"/>
      <c r="AA23" s="206"/>
      <c r="AB23" s="213"/>
      <c r="AC23" s="207">
        <v>1237644891</v>
      </c>
      <c r="AD23" s="210" t="s">
        <v>252</v>
      </c>
      <c r="AE23" s="206"/>
      <c r="AF23" s="206"/>
      <c r="AG23" s="211"/>
      <c r="AH23" s="206"/>
      <c r="AI23" s="206"/>
      <c r="AJ23" s="211"/>
      <c r="AK23" s="206"/>
      <c r="AL23" s="206"/>
      <c r="AM23" s="211"/>
      <c r="AN23" s="212" t="s">
        <v>196</v>
      </c>
    </row>
    <row r="24" spans="1:40" ht="18" customHeight="1">
      <c r="A24" s="159" t="str">
        <f>F24&amp;H24&amp;I24</f>
        <v>ÇEŞMEALTI5884</v>
      </c>
      <c r="B24" s="247" t="s">
        <v>150</v>
      </c>
      <c r="C24" s="251"/>
      <c r="D24" s="206" t="s">
        <v>49</v>
      </c>
      <c r="E24" s="206" t="s">
        <v>50</v>
      </c>
      <c r="F24" s="206" t="s">
        <v>93</v>
      </c>
      <c r="G24" s="206">
        <v>490.73</v>
      </c>
      <c r="H24" s="342">
        <v>588</v>
      </c>
      <c r="I24" s="206">
        <v>4</v>
      </c>
      <c r="J24" s="206" t="s">
        <v>130</v>
      </c>
      <c r="K24" s="206" t="s">
        <v>137</v>
      </c>
      <c r="L24" s="206" t="s">
        <v>179</v>
      </c>
      <c r="M24" s="242" t="s">
        <v>179</v>
      </c>
      <c r="N24" s="345"/>
      <c r="O24" s="345"/>
      <c r="P24" s="345"/>
      <c r="Q24" s="345" t="s">
        <v>180</v>
      </c>
      <c r="R24" s="345" t="s">
        <v>180</v>
      </c>
      <c r="S24" s="345" t="s">
        <v>180</v>
      </c>
      <c r="T24" s="345" t="s">
        <v>180</v>
      </c>
      <c r="U24" s="214"/>
      <c r="V24" s="214"/>
      <c r="W24" s="206"/>
      <c r="X24" s="206"/>
      <c r="Y24" s="206"/>
      <c r="Z24" s="206"/>
      <c r="AA24" s="206"/>
      <c r="AB24" s="213" t="s">
        <v>253</v>
      </c>
      <c r="AC24" s="207" t="s">
        <v>253</v>
      </c>
      <c r="AD24" s="210"/>
      <c r="AE24" s="206" t="s">
        <v>254</v>
      </c>
      <c r="AF24" s="206"/>
      <c r="AG24" s="211"/>
      <c r="AH24" s="206" t="s">
        <v>255</v>
      </c>
      <c r="AI24" s="206"/>
      <c r="AJ24" s="211"/>
      <c r="AK24" s="206"/>
      <c r="AL24" s="206"/>
      <c r="AM24" s="211"/>
      <c r="AN24" s="212"/>
    </row>
    <row r="25" spans="1:40" ht="18" customHeight="1">
      <c r="A25" s="159" t="str">
        <f>F25&amp;H25&amp;I25</f>
        <v>DAĞYENİCE13011</v>
      </c>
      <c r="B25" s="247" t="s">
        <v>149</v>
      </c>
      <c r="C25" s="251"/>
      <c r="D25" s="237" t="s">
        <v>81</v>
      </c>
      <c r="E25" s="237" t="s">
        <v>102</v>
      </c>
      <c r="F25" s="226" t="s">
        <v>256</v>
      </c>
      <c r="G25" s="226">
        <v>6351</v>
      </c>
      <c r="H25" s="226">
        <v>130</v>
      </c>
      <c r="I25" s="226">
        <v>11</v>
      </c>
      <c r="J25" s="226" t="s">
        <v>217</v>
      </c>
      <c r="K25" s="206" t="s">
        <v>137</v>
      </c>
      <c r="L25" s="226" t="s">
        <v>201</v>
      </c>
      <c r="M25" s="226" t="s">
        <v>142</v>
      </c>
      <c r="N25" s="349">
        <v>7873</v>
      </c>
      <c r="O25" s="346">
        <f>ROUND(N25*G25,-4)</f>
        <v>50000000</v>
      </c>
      <c r="P25" s="347">
        <f>O25*0.9</f>
        <v>45000000</v>
      </c>
      <c r="Q25" s="349"/>
      <c r="R25" s="346"/>
      <c r="S25" s="349"/>
      <c r="T25" s="346"/>
      <c r="U25" s="227"/>
      <c r="V25" s="227"/>
      <c r="W25" s="206"/>
      <c r="X25" s="226" t="s">
        <v>137</v>
      </c>
      <c r="Y25" s="226"/>
      <c r="Z25" s="226"/>
      <c r="AA25" s="226"/>
      <c r="AB25" s="226"/>
      <c r="AC25" s="207" t="s">
        <v>206</v>
      </c>
      <c r="AD25" s="210" t="s">
        <v>206</v>
      </c>
      <c r="AE25" s="226"/>
      <c r="AF25" s="226"/>
      <c r="AG25" s="228"/>
      <c r="AH25" s="226"/>
      <c r="AI25" s="226"/>
      <c r="AJ25" s="228"/>
      <c r="AK25" s="226"/>
      <c r="AL25" s="226"/>
      <c r="AM25" s="228"/>
      <c r="AN25" s="212"/>
    </row>
    <row r="26" spans="1:40" ht="18" customHeight="1">
      <c r="A26" s="159" t="str">
        <f>F26&amp;H26&amp;I26</f>
        <v>GEDELEK765368</v>
      </c>
      <c r="B26" s="247" t="s">
        <v>148</v>
      </c>
      <c r="C26" s="251"/>
      <c r="D26" s="216" t="s">
        <v>81</v>
      </c>
      <c r="E26" s="216" t="s">
        <v>82</v>
      </c>
      <c r="F26" s="206" t="s">
        <v>83</v>
      </c>
      <c r="G26" s="206">
        <v>3204.35</v>
      </c>
      <c r="H26" s="206">
        <v>765</v>
      </c>
      <c r="I26" s="341">
        <v>368</v>
      </c>
      <c r="J26" s="206" t="s">
        <v>217</v>
      </c>
      <c r="K26" s="206" t="s">
        <v>137</v>
      </c>
      <c r="L26" s="206" t="s">
        <v>179</v>
      </c>
      <c r="M26" s="242" t="s">
        <v>202</v>
      </c>
      <c r="N26" s="345">
        <v>5000</v>
      </c>
      <c r="O26" s="346">
        <f>ROUND(N26*G26,-4)</f>
        <v>16020000</v>
      </c>
      <c r="P26" s="347">
        <f>O26*0.9</f>
        <v>14418000</v>
      </c>
      <c r="Q26" s="345" t="s">
        <v>180</v>
      </c>
      <c r="R26" s="345" t="s">
        <v>180</v>
      </c>
      <c r="S26" s="345" t="s">
        <v>180</v>
      </c>
      <c r="T26" s="345" t="s">
        <v>180</v>
      </c>
      <c r="U26" s="214">
        <v>0</v>
      </c>
      <c r="V26" s="214">
        <v>0</v>
      </c>
      <c r="W26" s="206">
        <v>89908765</v>
      </c>
      <c r="X26" s="206" t="s">
        <v>137</v>
      </c>
      <c r="Y26" s="206"/>
      <c r="Z26" s="206"/>
      <c r="AA26" s="206"/>
      <c r="AB26" s="213"/>
      <c r="AC26" s="207">
        <v>1232388851</v>
      </c>
      <c r="AD26" s="210"/>
      <c r="AE26" s="206" t="s">
        <v>137</v>
      </c>
      <c r="AF26" s="206"/>
      <c r="AG26" s="211"/>
      <c r="AH26" s="206"/>
      <c r="AI26" s="206"/>
      <c r="AJ26" s="211"/>
      <c r="AK26" s="206"/>
      <c r="AL26" s="206"/>
      <c r="AM26" s="211"/>
      <c r="AN26" s="212" t="s">
        <v>196</v>
      </c>
    </row>
    <row r="27" spans="1:40" ht="18" customHeight="1">
      <c r="A27" s="159" t="str">
        <f>F27&amp;H27&amp;I27</f>
        <v>DERECİKÖREN2055</v>
      </c>
      <c r="B27" s="247" t="s">
        <v>150</v>
      </c>
      <c r="C27" s="251"/>
      <c r="D27" s="206" t="s">
        <v>14</v>
      </c>
      <c r="E27" s="206" t="s">
        <v>33</v>
      </c>
      <c r="F27" s="206" t="s">
        <v>95</v>
      </c>
      <c r="G27" s="206">
        <v>343.53</v>
      </c>
      <c r="H27" s="342">
        <v>205</v>
      </c>
      <c r="I27" s="206">
        <v>5</v>
      </c>
      <c r="J27" s="206" t="s">
        <v>130</v>
      </c>
      <c r="K27" s="206" t="s">
        <v>137</v>
      </c>
      <c r="L27" s="206" t="s">
        <v>179</v>
      </c>
      <c r="M27" s="242" t="s">
        <v>179</v>
      </c>
      <c r="N27" s="345"/>
      <c r="O27" s="345"/>
      <c r="P27" s="345"/>
      <c r="Q27" s="345"/>
      <c r="R27" s="345"/>
      <c r="S27" s="345"/>
      <c r="T27" s="345"/>
      <c r="U27" s="214"/>
      <c r="V27" s="214"/>
      <c r="W27" s="206"/>
      <c r="X27" s="206"/>
      <c r="Y27" s="206"/>
      <c r="Z27" s="206"/>
      <c r="AA27" s="206"/>
      <c r="AB27" s="210" t="s">
        <v>181</v>
      </c>
      <c r="AC27" s="207"/>
      <c r="AD27" s="210" t="s">
        <v>258</v>
      </c>
      <c r="AE27" s="206" t="s">
        <v>259</v>
      </c>
      <c r="AF27" s="206"/>
      <c r="AG27" s="211"/>
      <c r="AH27" s="206"/>
      <c r="AI27" s="206"/>
      <c r="AJ27" s="211"/>
      <c r="AK27" s="206"/>
      <c r="AL27" s="206"/>
      <c r="AM27" s="211"/>
      <c r="AN27" s="212"/>
    </row>
    <row r="28" spans="1:40" ht="18" customHeight="1">
      <c r="A28" s="159" t="str">
        <f>F28&amp;H28&amp;I28</f>
        <v>HASANAĞA1834</v>
      </c>
      <c r="B28" s="247" t="s">
        <v>148</v>
      </c>
      <c r="C28" s="251"/>
      <c r="D28" s="226" t="s">
        <v>81</v>
      </c>
      <c r="E28" s="226" t="s">
        <v>102</v>
      </c>
      <c r="F28" s="226" t="s">
        <v>260</v>
      </c>
      <c r="G28" s="226">
        <v>114</v>
      </c>
      <c r="H28" s="226">
        <v>183</v>
      </c>
      <c r="I28" s="226">
        <v>4</v>
      </c>
      <c r="J28" s="226" t="s">
        <v>246</v>
      </c>
      <c r="K28" s="206" t="s">
        <v>138</v>
      </c>
      <c r="L28" s="226" t="s">
        <v>189</v>
      </c>
      <c r="M28" s="226" t="s">
        <v>202</v>
      </c>
      <c r="N28" s="349"/>
      <c r="O28" s="349"/>
      <c r="P28" s="349"/>
      <c r="Q28" s="349"/>
      <c r="R28" s="349"/>
      <c r="S28" s="349"/>
      <c r="T28" s="349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8"/>
      <c r="AH28" s="226"/>
      <c r="AI28" s="226"/>
      <c r="AJ28" s="228"/>
      <c r="AK28" s="226"/>
      <c r="AL28" s="226"/>
      <c r="AM28" s="228"/>
      <c r="AN28" s="228"/>
    </row>
    <row r="29" spans="1:40" ht="18" customHeight="1">
      <c r="A29" s="159" t="str">
        <f>F29&amp;H29&amp;I29</f>
        <v>İSTİKLAL22915</v>
      </c>
      <c r="B29" s="247" t="s">
        <v>150</v>
      </c>
      <c r="C29" s="251"/>
      <c r="D29" s="206" t="s">
        <v>49</v>
      </c>
      <c r="E29" s="206" t="s">
        <v>90</v>
      </c>
      <c r="F29" s="206" t="s">
        <v>91</v>
      </c>
      <c r="G29" s="206">
        <v>276.64</v>
      </c>
      <c r="H29" s="342">
        <v>229</v>
      </c>
      <c r="I29" s="206">
        <v>15</v>
      </c>
      <c r="J29" s="206" t="s">
        <v>130</v>
      </c>
      <c r="K29" s="206" t="s">
        <v>137</v>
      </c>
      <c r="L29" s="206" t="s">
        <v>205</v>
      </c>
      <c r="M29" s="242" t="s">
        <v>179</v>
      </c>
      <c r="N29" s="345"/>
      <c r="O29" s="345"/>
      <c r="P29" s="345"/>
      <c r="Q29" s="345"/>
      <c r="R29" s="345"/>
      <c r="S29" s="345"/>
      <c r="T29" s="345"/>
      <c r="U29" s="214">
        <v>0.4</v>
      </c>
      <c r="V29" s="214">
        <v>0.8</v>
      </c>
      <c r="W29" s="206"/>
      <c r="X29" s="206"/>
      <c r="Y29" s="206"/>
      <c r="Z29" s="206"/>
      <c r="AA29" s="206"/>
      <c r="AB29" s="213"/>
      <c r="AC29" s="207"/>
      <c r="AD29" s="210"/>
      <c r="AE29" s="206" t="s">
        <v>261</v>
      </c>
      <c r="AF29" s="206"/>
      <c r="AG29" s="211"/>
      <c r="AH29" s="206"/>
      <c r="AI29" s="206"/>
      <c r="AJ29" s="211"/>
      <c r="AK29" s="206"/>
      <c r="AL29" s="206"/>
      <c r="AM29" s="211"/>
      <c r="AN29" s="212"/>
    </row>
    <row r="30" spans="1:40" ht="18" customHeight="1">
      <c r="A30" s="159" t="str">
        <f>F30&amp;H30&amp;I30</f>
        <v>KARAKÖY1071</v>
      </c>
      <c r="B30" s="247" t="s">
        <v>148</v>
      </c>
      <c r="C30" s="251"/>
      <c r="D30" s="226" t="s">
        <v>81</v>
      </c>
      <c r="E30" s="226" t="s">
        <v>112</v>
      </c>
      <c r="F30" s="226" t="s">
        <v>69</v>
      </c>
      <c r="G30" s="226">
        <v>759.96</v>
      </c>
      <c r="H30" s="226">
        <v>107</v>
      </c>
      <c r="I30" s="226">
        <v>1</v>
      </c>
      <c r="J30" s="226" t="s">
        <v>130</v>
      </c>
      <c r="K30" s="206" t="s">
        <v>138</v>
      </c>
      <c r="L30" s="226" t="s">
        <v>236</v>
      </c>
      <c r="M30" s="226" t="s">
        <v>202</v>
      </c>
      <c r="N30" s="348">
        <v>8000</v>
      </c>
      <c r="O30" s="346">
        <f>ROUND(N30*G30,-4)</f>
        <v>6080000</v>
      </c>
      <c r="P30" s="347">
        <f>O30*0.9</f>
        <v>5472000</v>
      </c>
      <c r="Q30" s="349"/>
      <c r="R30" s="349"/>
      <c r="S30" s="349"/>
      <c r="T30" s="349"/>
      <c r="U30" s="227">
        <v>0.15</v>
      </c>
      <c r="V30" s="227">
        <v>0.3</v>
      </c>
      <c r="W30" s="206">
        <v>73164103</v>
      </c>
      <c r="X30" s="226"/>
      <c r="Y30" s="226"/>
      <c r="Z30" s="226"/>
      <c r="AA30" s="226"/>
      <c r="AB30" s="226"/>
      <c r="AC30" s="207"/>
      <c r="AD30" s="210"/>
      <c r="AE30" s="226"/>
      <c r="AF30" s="226"/>
      <c r="AG30" s="228"/>
      <c r="AH30" s="226"/>
      <c r="AI30" s="226"/>
      <c r="AJ30" s="228"/>
      <c r="AK30" s="226"/>
      <c r="AL30" s="226"/>
      <c r="AM30" s="228"/>
      <c r="AN30" s="212" t="s">
        <v>196</v>
      </c>
    </row>
    <row r="31" spans="1:40" ht="18" customHeight="1">
      <c r="A31" s="159" t="str">
        <f>F31&amp;H31&amp;I31</f>
        <v>KAHVETEPE0816</v>
      </c>
      <c r="B31" s="247" t="s">
        <v>149</v>
      </c>
      <c r="C31" s="251"/>
      <c r="D31" s="231" t="s">
        <v>49</v>
      </c>
      <c r="E31" s="231" t="s">
        <v>50</v>
      </c>
      <c r="F31" s="231" t="s">
        <v>51</v>
      </c>
      <c r="G31" s="231">
        <v>552</v>
      </c>
      <c r="H31" s="231">
        <v>0</v>
      </c>
      <c r="I31" s="231">
        <v>816</v>
      </c>
      <c r="J31" s="231" t="s">
        <v>130</v>
      </c>
      <c r="K31" s="206" t="s">
        <v>138</v>
      </c>
      <c r="L31" s="216" t="s">
        <v>201</v>
      </c>
      <c r="M31" s="231" t="s">
        <v>200</v>
      </c>
      <c r="N31" s="345">
        <v>3500</v>
      </c>
      <c r="O31" s="346">
        <f>ROUND(N31*G31,-4)</f>
        <v>1930000</v>
      </c>
      <c r="P31" s="347">
        <f>O31*0.9</f>
        <v>1737000</v>
      </c>
      <c r="Q31" s="346"/>
      <c r="R31" s="346"/>
      <c r="S31" s="346"/>
      <c r="T31" s="350"/>
      <c r="U31" s="230">
        <v>0.4</v>
      </c>
      <c r="V31" s="230">
        <v>0.8</v>
      </c>
      <c r="W31" s="216">
        <v>77313989</v>
      </c>
      <c r="X31" s="216" t="s">
        <v>211</v>
      </c>
      <c r="Y31" s="216"/>
      <c r="Z31" s="216"/>
      <c r="AA31" s="216"/>
      <c r="AB31" s="221" t="s">
        <v>170</v>
      </c>
      <c r="AC31" s="217">
        <v>1251837434</v>
      </c>
      <c r="AD31" s="221"/>
      <c r="AE31" s="248" t="s">
        <v>262</v>
      </c>
      <c r="AF31" s="216"/>
      <c r="AG31" s="222"/>
      <c r="AH31" s="216"/>
      <c r="AI31" s="216"/>
      <c r="AJ31" s="222"/>
      <c r="AK31" s="216"/>
      <c r="AL31" s="216"/>
      <c r="AM31" s="222"/>
      <c r="AN31" s="223"/>
    </row>
    <row r="32" spans="1:40" ht="18" customHeight="1">
      <c r="A32" s="159" t="str">
        <f>F32&amp;H32&amp;I32</f>
        <v>KATIRALANI1499</v>
      </c>
      <c r="B32" s="247" t="s">
        <v>150</v>
      </c>
      <c r="C32" s="251"/>
      <c r="D32" s="206" t="s">
        <v>46</v>
      </c>
      <c r="E32" s="206" t="s">
        <v>47</v>
      </c>
      <c r="F32" s="206" t="s">
        <v>70</v>
      </c>
      <c r="G32" s="206">
        <v>429.23</v>
      </c>
      <c r="H32" s="342">
        <v>149</v>
      </c>
      <c r="I32" s="206">
        <v>9</v>
      </c>
      <c r="J32" s="206" t="s">
        <v>130</v>
      </c>
      <c r="K32" s="206" t="s">
        <v>137</v>
      </c>
      <c r="L32" s="206" t="s">
        <v>179</v>
      </c>
      <c r="M32" s="206" t="s">
        <v>179</v>
      </c>
      <c r="N32" s="345">
        <v>11000</v>
      </c>
      <c r="O32" s="346">
        <f>ROUND(N32*G32,-4)</f>
        <v>4720000</v>
      </c>
      <c r="P32" s="347">
        <f>O32*0.9</f>
        <v>4248000</v>
      </c>
      <c r="Q32" s="345" t="s">
        <v>180</v>
      </c>
      <c r="R32" s="348" t="s">
        <v>180</v>
      </c>
      <c r="S32" s="348" t="s">
        <v>180</v>
      </c>
      <c r="T32" s="348" t="s">
        <v>180</v>
      </c>
      <c r="U32" s="209">
        <v>0.25</v>
      </c>
      <c r="V32" s="209">
        <v>0.5</v>
      </c>
      <c r="W32" s="206">
        <v>27292578</v>
      </c>
      <c r="X32" s="206"/>
      <c r="Y32" s="206"/>
      <c r="Z32" s="206"/>
      <c r="AA32" s="224"/>
      <c r="AB32" s="213"/>
      <c r="AC32" s="207">
        <v>1232393664</v>
      </c>
      <c r="AD32" s="210" t="s">
        <v>264</v>
      </c>
      <c r="AE32" s="206" t="s">
        <v>265</v>
      </c>
      <c r="AF32" s="206"/>
      <c r="AG32" s="211"/>
      <c r="AH32" s="206" t="s">
        <v>263</v>
      </c>
      <c r="AI32" s="206"/>
      <c r="AJ32" s="211"/>
      <c r="AK32" s="206"/>
      <c r="AL32" s="206"/>
      <c r="AM32" s="211"/>
      <c r="AN32" s="212"/>
    </row>
    <row r="33" spans="1:40" ht="18" customHeight="1">
      <c r="A33" s="159" t="str">
        <f>F33&amp;H33&amp;I33</f>
        <v>KEPEKLER0526</v>
      </c>
      <c r="B33" s="247" t="s">
        <v>148</v>
      </c>
      <c r="C33" s="251"/>
      <c r="D33" s="226" t="s">
        <v>14</v>
      </c>
      <c r="E33" s="226" t="s">
        <v>15</v>
      </c>
      <c r="F33" s="226" t="s">
        <v>266</v>
      </c>
      <c r="G33" s="226">
        <v>5050.6400000000003</v>
      </c>
      <c r="H33" s="226">
        <v>0</v>
      </c>
      <c r="I33" s="226">
        <v>526</v>
      </c>
      <c r="J33" s="226" t="s">
        <v>130</v>
      </c>
      <c r="K33" s="206" t="s">
        <v>138</v>
      </c>
      <c r="L33" s="226" t="s">
        <v>189</v>
      </c>
      <c r="M33" s="226" t="s">
        <v>202</v>
      </c>
      <c r="N33" s="348">
        <v>2500</v>
      </c>
      <c r="O33" s="346">
        <f>ROUND(N33*G33,-4)</f>
        <v>12630000</v>
      </c>
      <c r="P33" s="347">
        <f>O33*0.9</f>
        <v>11367000</v>
      </c>
      <c r="Q33" s="349"/>
      <c r="R33" s="346"/>
      <c r="S33" s="349"/>
      <c r="T33" s="34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8"/>
      <c r="AH33" s="226"/>
      <c r="AI33" s="226"/>
      <c r="AJ33" s="228"/>
      <c r="AK33" s="226"/>
      <c r="AL33" s="226"/>
      <c r="AM33" s="228"/>
      <c r="AN33" s="228"/>
    </row>
    <row r="34" spans="1:40" ht="18" customHeight="1">
      <c r="A34" s="159" t="str">
        <f>F34&amp;H34&amp;I34</f>
        <v>MURADİYE02615</v>
      </c>
      <c r="B34" s="247" t="s">
        <v>150</v>
      </c>
      <c r="C34" s="251"/>
      <c r="D34" s="226" t="s">
        <v>14</v>
      </c>
      <c r="E34" s="226" t="s">
        <v>15</v>
      </c>
      <c r="F34" s="226" t="s">
        <v>267</v>
      </c>
      <c r="G34" s="226">
        <v>599</v>
      </c>
      <c r="H34" s="226">
        <v>0</v>
      </c>
      <c r="I34" s="226">
        <v>2615</v>
      </c>
      <c r="J34" s="226" t="s">
        <v>130</v>
      </c>
      <c r="K34" s="206" t="s">
        <v>138</v>
      </c>
      <c r="L34" s="226" t="s">
        <v>179</v>
      </c>
      <c r="M34" s="226" t="s">
        <v>179</v>
      </c>
      <c r="N34" s="349"/>
      <c r="O34" s="349"/>
      <c r="P34" s="349"/>
      <c r="Q34" s="349"/>
      <c r="R34" s="349"/>
      <c r="S34" s="349"/>
      <c r="T34" s="349"/>
      <c r="U34" s="227">
        <v>0.4</v>
      </c>
      <c r="V34" s="227">
        <v>0.8</v>
      </c>
      <c r="W34" s="206">
        <v>52394550</v>
      </c>
      <c r="X34" s="226"/>
      <c r="Y34" s="226"/>
      <c r="Z34" s="226"/>
      <c r="AA34" s="226"/>
      <c r="AB34" s="226"/>
      <c r="AC34" s="207">
        <v>1248042055</v>
      </c>
      <c r="AD34" s="210" t="s">
        <v>268</v>
      </c>
      <c r="AE34" s="226" t="s">
        <v>269</v>
      </c>
      <c r="AF34" s="226" t="s">
        <v>232</v>
      </c>
      <c r="AG34" s="228"/>
      <c r="AH34" s="226"/>
      <c r="AI34" s="226"/>
      <c r="AJ34" s="228"/>
      <c r="AK34" s="226"/>
      <c r="AL34" s="226"/>
      <c r="AM34" s="228"/>
      <c r="AN34" s="212"/>
    </row>
    <row r="35" spans="1:40" ht="18" customHeight="1">
      <c r="A35" s="159" t="str">
        <f>F35&amp;H35&amp;I35</f>
        <v>BEĞEL1043</v>
      </c>
      <c r="B35" s="247" t="s">
        <v>150</v>
      </c>
      <c r="C35" s="251"/>
      <c r="D35" s="206" t="s">
        <v>17</v>
      </c>
      <c r="E35" s="206" t="s">
        <v>39</v>
      </c>
      <c r="F35" s="206" t="s">
        <v>40</v>
      </c>
      <c r="G35" s="206">
        <v>374.32</v>
      </c>
      <c r="H35" s="206">
        <v>104</v>
      </c>
      <c r="I35" s="206">
        <v>3</v>
      </c>
      <c r="J35" s="206" t="s">
        <v>130</v>
      </c>
      <c r="K35" s="206" t="s">
        <v>137</v>
      </c>
      <c r="L35" s="206" t="s">
        <v>205</v>
      </c>
      <c r="M35" s="215" t="s">
        <v>179</v>
      </c>
      <c r="N35" s="345">
        <v>2250</v>
      </c>
      <c r="O35" s="346">
        <f>ROUND(N35*G35,-4)</f>
        <v>840000</v>
      </c>
      <c r="P35" s="347">
        <f>O35*0.9</f>
        <v>756000</v>
      </c>
      <c r="Q35" s="345" t="s">
        <v>180</v>
      </c>
      <c r="R35" s="345" t="s">
        <v>180</v>
      </c>
      <c r="S35" s="345" t="s">
        <v>180</v>
      </c>
      <c r="T35" s="345" t="s">
        <v>180</v>
      </c>
      <c r="U35" s="214"/>
      <c r="V35" s="214"/>
      <c r="W35" s="206"/>
      <c r="X35" s="206"/>
      <c r="Y35" s="206"/>
      <c r="Z35" s="206"/>
      <c r="AA35" s="206"/>
      <c r="AB35" s="213"/>
      <c r="AC35" s="207"/>
      <c r="AD35" s="210"/>
      <c r="AE35" s="206" t="s">
        <v>271</v>
      </c>
      <c r="AF35" s="206"/>
      <c r="AG35" s="211"/>
      <c r="AH35" s="206" t="s">
        <v>233</v>
      </c>
      <c r="AI35" s="206"/>
      <c r="AJ35" s="211"/>
      <c r="AK35" s="206" t="s">
        <v>272</v>
      </c>
      <c r="AL35" s="206"/>
      <c r="AM35" s="211"/>
      <c r="AN35" s="212"/>
    </row>
    <row r="36" spans="1:40" ht="18" customHeight="1">
      <c r="A36" s="159" t="str">
        <f>F36&amp;H36&amp;I36</f>
        <v>KAYAPA640419</v>
      </c>
      <c r="B36" s="247" t="s">
        <v>148</v>
      </c>
      <c r="C36" s="251"/>
      <c r="D36" s="206" t="s">
        <v>81</v>
      </c>
      <c r="E36" s="206" t="s">
        <v>102</v>
      </c>
      <c r="F36" s="206" t="s">
        <v>103</v>
      </c>
      <c r="G36" s="206">
        <v>650</v>
      </c>
      <c r="H36" s="342">
        <v>6404</v>
      </c>
      <c r="I36" s="206">
        <v>19</v>
      </c>
      <c r="J36" s="206" t="s">
        <v>130</v>
      </c>
      <c r="K36" s="206" t="s">
        <v>137</v>
      </c>
      <c r="L36" s="206" t="s">
        <v>236</v>
      </c>
      <c r="M36" s="242" t="s">
        <v>202</v>
      </c>
      <c r="N36" s="345">
        <v>20000</v>
      </c>
      <c r="O36" s="346">
        <f>ROUND(N36*G36,-4)</f>
        <v>13000000</v>
      </c>
      <c r="P36" s="347">
        <f>O36*0.9</f>
        <v>11700000</v>
      </c>
      <c r="Q36" s="345" t="s">
        <v>180</v>
      </c>
      <c r="R36" s="345" t="s">
        <v>180</v>
      </c>
      <c r="S36" s="345"/>
      <c r="T36" s="345"/>
      <c r="U36" s="214"/>
      <c r="V36" s="214"/>
      <c r="W36" s="206">
        <v>95922296</v>
      </c>
      <c r="X36" s="206"/>
      <c r="Y36" s="206"/>
      <c r="Z36" s="206"/>
      <c r="AA36" s="206"/>
      <c r="AB36" s="213"/>
      <c r="AC36" s="207"/>
      <c r="AD36" s="210"/>
      <c r="AE36" s="206"/>
      <c r="AF36" s="206"/>
      <c r="AG36" s="211"/>
      <c r="AH36" s="206"/>
      <c r="AI36" s="206"/>
      <c r="AJ36" s="211"/>
      <c r="AK36" s="206"/>
      <c r="AL36" s="206"/>
      <c r="AM36" s="211"/>
      <c r="AN36" s="212" t="s">
        <v>196</v>
      </c>
    </row>
    <row r="37" spans="1:40" ht="18" customHeight="1">
      <c r="A37" s="159" t="str">
        <f>F37&amp;H37&amp;I37</f>
        <v>KEMALİYE1023</v>
      </c>
      <c r="B37" s="247" t="s">
        <v>149</v>
      </c>
      <c r="C37" s="251" t="s">
        <v>197</v>
      </c>
      <c r="D37" s="206" t="s">
        <v>17</v>
      </c>
      <c r="E37" s="206" t="s">
        <v>21</v>
      </c>
      <c r="F37" s="206" t="s">
        <v>52</v>
      </c>
      <c r="G37" s="206">
        <v>425</v>
      </c>
      <c r="H37" s="342">
        <v>102</v>
      </c>
      <c r="I37" s="206">
        <v>3</v>
      </c>
      <c r="J37" s="206" t="s">
        <v>130</v>
      </c>
      <c r="K37" s="206" t="s">
        <v>137</v>
      </c>
      <c r="L37" s="206" t="s">
        <v>189</v>
      </c>
      <c r="M37" s="206" t="s">
        <v>200</v>
      </c>
      <c r="N37" s="345">
        <v>3000</v>
      </c>
      <c r="O37" s="346">
        <f>ROUND(N37*G37,-4)</f>
        <v>1280000</v>
      </c>
      <c r="P37" s="347">
        <f>O37*0.9</f>
        <v>1152000</v>
      </c>
      <c r="Q37" s="345" t="s">
        <v>180</v>
      </c>
      <c r="R37" s="345" t="s">
        <v>180</v>
      </c>
      <c r="S37" s="345" t="s">
        <v>180</v>
      </c>
      <c r="T37" s="345" t="s">
        <v>180</v>
      </c>
      <c r="U37" s="214">
        <v>0.3</v>
      </c>
      <c r="V37" s="214">
        <v>0.6</v>
      </c>
      <c r="W37" s="206"/>
      <c r="X37" s="206"/>
      <c r="Y37" s="206"/>
      <c r="Z37" s="206"/>
      <c r="AA37" s="224"/>
      <c r="AB37" s="210" t="s">
        <v>181</v>
      </c>
      <c r="AC37" s="207">
        <v>1237613693</v>
      </c>
      <c r="AD37" s="210" t="s">
        <v>273</v>
      </c>
      <c r="AE37" s="206" t="s">
        <v>274</v>
      </c>
      <c r="AF37" s="206"/>
      <c r="AG37" s="211">
        <v>46752</v>
      </c>
      <c r="AH37" s="206"/>
      <c r="AI37" s="206"/>
      <c r="AJ37" s="211"/>
      <c r="AK37" s="206"/>
      <c r="AL37" s="206"/>
      <c r="AM37" s="211"/>
      <c r="AN37" s="212"/>
    </row>
    <row r="38" spans="1:40" ht="18" customHeight="1">
      <c r="A38" s="159" t="str">
        <f>F38&amp;H38&amp;I38</f>
        <v>OKÇUGÖL1014</v>
      </c>
      <c r="B38" s="247" t="s">
        <v>147</v>
      </c>
      <c r="C38" s="251" t="s">
        <v>197</v>
      </c>
      <c r="D38" s="226" t="s">
        <v>14</v>
      </c>
      <c r="E38" s="226" t="s">
        <v>15</v>
      </c>
      <c r="F38" s="226" t="s">
        <v>275</v>
      </c>
      <c r="G38" s="226">
        <v>465</v>
      </c>
      <c r="H38" s="226">
        <v>101</v>
      </c>
      <c r="I38" s="226">
        <v>4</v>
      </c>
      <c r="J38" s="226" t="s">
        <v>130</v>
      </c>
      <c r="K38" s="206" t="s">
        <v>198</v>
      </c>
      <c r="L38" s="226" t="s">
        <v>189</v>
      </c>
      <c r="M38" s="226" t="s">
        <v>200</v>
      </c>
      <c r="N38" s="348">
        <v>4500</v>
      </c>
      <c r="O38" s="346">
        <f>ROUND(N38*G38,-4)</f>
        <v>2090000</v>
      </c>
      <c r="P38" s="347">
        <f>O38*0.9</f>
        <v>1881000</v>
      </c>
      <c r="Q38" s="346">
        <v>4950</v>
      </c>
      <c r="R38" s="346">
        <f>ROUND(Q38*G38,-4)</f>
        <v>2300000</v>
      </c>
      <c r="S38" s="346">
        <v>5445</v>
      </c>
      <c r="T38" s="346">
        <f>ROUND(S38*G38,-4)</f>
        <v>2530000</v>
      </c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 t="s">
        <v>207</v>
      </c>
      <c r="AF38" s="226"/>
      <c r="AG38" s="228"/>
      <c r="AH38" s="226"/>
      <c r="AI38" s="226"/>
      <c r="AJ38" s="228"/>
      <c r="AK38" s="226"/>
      <c r="AL38" s="226"/>
      <c r="AM38" s="228"/>
      <c r="AN38" s="228"/>
    </row>
    <row r="39" spans="1:40" ht="18" customHeight="1">
      <c r="A39" s="159" t="str">
        <f>F39&amp;H39&amp;I39</f>
        <v>SELİMAĞA1021</v>
      </c>
      <c r="B39" s="247" t="s">
        <v>150</v>
      </c>
      <c r="C39" s="251"/>
      <c r="D39" s="206" t="s">
        <v>14</v>
      </c>
      <c r="E39" s="233" t="s">
        <v>28</v>
      </c>
      <c r="F39" s="206" t="s">
        <v>108</v>
      </c>
      <c r="G39" s="206">
        <v>758.42</v>
      </c>
      <c r="H39" s="206">
        <v>102</v>
      </c>
      <c r="I39" s="341">
        <v>1</v>
      </c>
      <c r="J39" s="206" t="s">
        <v>130</v>
      </c>
      <c r="K39" s="206" t="s">
        <v>137</v>
      </c>
      <c r="L39" s="206" t="s">
        <v>179</v>
      </c>
      <c r="M39" s="242" t="s">
        <v>179</v>
      </c>
      <c r="N39" s="345"/>
      <c r="O39" s="345"/>
      <c r="P39" s="345"/>
      <c r="Q39" s="345"/>
      <c r="R39" s="345"/>
      <c r="S39" s="345"/>
      <c r="T39" s="345"/>
      <c r="U39" s="214"/>
      <c r="V39" s="214"/>
      <c r="W39" s="206"/>
      <c r="X39" s="206"/>
      <c r="Y39" s="206"/>
      <c r="Z39" s="206"/>
      <c r="AA39" s="206"/>
      <c r="AB39" s="213"/>
      <c r="AC39" s="207"/>
      <c r="AD39" s="210"/>
      <c r="AE39" s="206" t="s">
        <v>276</v>
      </c>
      <c r="AF39" s="206"/>
      <c r="AG39" s="211"/>
      <c r="AH39" s="206"/>
      <c r="AI39" s="206"/>
      <c r="AJ39" s="211"/>
      <c r="AK39" s="206"/>
      <c r="AL39" s="206"/>
      <c r="AM39" s="211"/>
      <c r="AN39" s="212"/>
    </row>
    <row r="40" spans="1:40" ht="18" customHeight="1">
      <c r="A40" s="159" t="str">
        <f>F40&amp;H40&amp;I40</f>
        <v>REŞADİYE1572</v>
      </c>
      <c r="B40" s="247" t="s">
        <v>149</v>
      </c>
      <c r="C40" s="251" t="s">
        <v>197</v>
      </c>
      <c r="D40" s="206" t="s">
        <v>14</v>
      </c>
      <c r="E40" s="206" t="s">
        <v>15</v>
      </c>
      <c r="F40" s="206" t="s">
        <v>16</v>
      </c>
      <c r="G40" s="206">
        <v>412</v>
      </c>
      <c r="H40" s="206">
        <v>157</v>
      </c>
      <c r="I40" s="341">
        <v>2</v>
      </c>
      <c r="J40" s="206" t="s">
        <v>130</v>
      </c>
      <c r="K40" s="206" t="s">
        <v>138</v>
      </c>
      <c r="L40" s="206" t="s">
        <v>189</v>
      </c>
      <c r="M40" s="242" t="s">
        <v>200</v>
      </c>
      <c r="N40" s="348">
        <v>2500</v>
      </c>
      <c r="O40" s="346">
        <f>ROUND(N40*G40,-4)</f>
        <v>1030000</v>
      </c>
      <c r="P40" s="347">
        <f>O40*0.9</f>
        <v>927000</v>
      </c>
      <c r="Q40" s="348" t="s">
        <v>180</v>
      </c>
      <c r="R40" s="348" t="s">
        <v>180</v>
      </c>
      <c r="S40" s="348" t="s">
        <v>180</v>
      </c>
      <c r="T40" s="348" t="s">
        <v>180</v>
      </c>
      <c r="U40" s="209">
        <v>0.3</v>
      </c>
      <c r="V40" s="209">
        <v>0.5</v>
      </c>
      <c r="W40" s="206"/>
      <c r="X40" s="206"/>
      <c r="Y40" s="206"/>
      <c r="Z40" s="206"/>
      <c r="AA40" s="206"/>
      <c r="AB40" s="210" t="s">
        <v>277</v>
      </c>
      <c r="AC40" s="207"/>
      <c r="AD40" s="210"/>
      <c r="AE40" s="206" t="s">
        <v>278</v>
      </c>
      <c r="AF40" s="206"/>
      <c r="AG40" s="211"/>
      <c r="AH40" s="206"/>
      <c r="AI40" s="206"/>
      <c r="AJ40" s="211"/>
      <c r="AK40" s="206"/>
      <c r="AL40" s="206"/>
      <c r="AM40" s="206"/>
      <c r="AN40" s="212"/>
    </row>
    <row r="41" spans="1:40" ht="18" customHeight="1">
      <c r="A41" s="159" t="str">
        <f>F41&amp;H41&amp;I41</f>
        <v>GÖZLÜÇAYIR16558</v>
      </c>
      <c r="B41" s="247" t="s">
        <v>149</v>
      </c>
      <c r="C41" s="251"/>
      <c r="D41" s="206" t="s">
        <v>14</v>
      </c>
      <c r="E41" s="206" t="s">
        <v>66</v>
      </c>
      <c r="F41" s="206" t="s">
        <v>71</v>
      </c>
      <c r="G41" s="206">
        <v>542.59</v>
      </c>
      <c r="H41" s="342">
        <v>165</v>
      </c>
      <c r="I41" s="206">
        <v>58</v>
      </c>
      <c r="J41" s="206" t="s">
        <v>130</v>
      </c>
      <c r="K41" s="206" t="s">
        <v>137</v>
      </c>
      <c r="L41" s="206" t="s">
        <v>201</v>
      </c>
      <c r="M41" s="215" t="s">
        <v>200</v>
      </c>
      <c r="N41" s="345">
        <v>2500</v>
      </c>
      <c r="O41" s="346">
        <f>ROUND(N41*G41,-4)</f>
        <v>1360000</v>
      </c>
      <c r="P41" s="347">
        <f>O41*0.9</f>
        <v>1224000</v>
      </c>
      <c r="Q41" s="345" t="s">
        <v>180</v>
      </c>
      <c r="R41" s="345" t="s">
        <v>180</v>
      </c>
      <c r="S41" s="345" t="s">
        <v>180</v>
      </c>
      <c r="T41" s="345" t="s">
        <v>180</v>
      </c>
      <c r="U41" s="214">
        <v>0.4</v>
      </c>
      <c r="V41" s="214">
        <v>0.8</v>
      </c>
      <c r="W41" s="206"/>
      <c r="X41" s="206" t="s">
        <v>194</v>
      </c>
      <c r="Y41" s="206" t="s">
        <v>195</v>
      </c>
      <c r="Z41" s="206"/>
      <c r="AA41" s="224"/>
      <c r="AB41" s="210" t="s">
        <v>181</v>
      </c>
      <c r="AC41" s="207">
        <v>1232384869</v>
      </c>
      <c r="AD41" s="210" t="s">
        <v>280</v>
      </c>
      <c r="AE41" s="206" t="s">
        <v>281</v>
      </c>
      <c r="AF41" s="206"/>
      <c r="AG41" s="211"/>
      <c r="AH41" s="206"/>
      <c r="AI41" s="206"/>
      <c r="AJ41" s="211"/>
      <c r="AK41" s="206"/>
      <c r="AL41" s="206"/>
      <c r="AM41" s="211"/>
      <c r="AN41" s="212"/>
    </row>
    <row r="42" spans="1:40" ht="18" customHeight="1">
      <c r="A42" s="159" t="str">
        <f>F42&amp;H42&amp;I42</f>
        <v>MİNNETLER103557</v>
      </c>
      <c r="B42" s="247" t="s">
        <v>147</v>
      </c>
      <c r="C42" s="251"/>
      <c r="D42" s="216" t="s">
        <v>17</v>
      </c>
      <c r="E42" s="216" t="s">
        <v>18</v>
      </c>
      <c r="F42" s="206" t="s">
        <v>20</v>
      </c>
      <c r="G42" s="206">
        <v>1372.87</v>
      </c>
      <c r="H42" s="340">
        <v>103</v>
      </c>
      <c r="I42" s="206">
        <v>557</v>
      </c>
      <c r="J42" s="206" t="s">
        <v>217</v>
      </c>
      <c r="K42" s="206" t="s">
        <v>137</v>
      </c>
      <c r="L42" s="206" t="s">
        <v>189</v>
      </c>
      <c r="M42" s="206" t="s">
        <v>238</v>
      </c>
      <c r="N42" s="345">
        <v>187</v>
      </c>
      <c r="O42" s="346">
        <f>ROUND(N42*G42,-4)</f>
        <v>260000</v>
      </c>
      <c r="P42" s="347">
        <f>O42*0.9</f>
        <v>234000</v>
      </c>
      <c r="Q42" s="346">
        <f>N42*1.1</f>
        <v>205.70000000000002</v>
      </c>
      <c r="R42" s="346">
        <f>ROUND(Q42*G42,-4)</f>
        <v>280000</v>
      </c>
      <c r="S42" s="346">
        <f>Q42*1.1</f>
        <v>226.27000000000004</v>
      </c>
      <c r="T42" s="346">
        <f>ROUND(S42*G42,-4)</f>
        <v>310000</v>
      </c>
      <c r="U42" s="214">
        <v>0</v>
      </c>
      <c r="V42" s="214">
        <v>0</v>
      </c>
      <c r="W42" s="206">
        <v>64202612</v>
      </c>
      <c r="X42" s="206"/>
      <c r="Y42" s="206"/>
      <c r="Z42" s="206"/>
      <c r="AA42" s="224"/>
      <c r="AB42" s="213"/>
      <c r="AC42" s="207"/>
      <c r="AD42" s="210"/>
      <c r="AE42" s="206" t="s">
        <v>282</v>
      </c>
      <c r="AF42" s="206"/>
      <c r="AG42" s="211"/>
      <c r="AH42" s="206"/>
      <c r="AI42" s="206"/>
      <c r="AJ42" s="211"/>
      <c r="AK42" s="206"/>
      <c r="AL42" s="206"/>
      <c r="AM42" s="211"/>
      <c r="AN42" s="212" t="s">
        <v>196</v>
      </c>
    </row>
    <row r="43" spans="1:40" ht="18" customHeight="1">
      <c r="A43" s="159" t="str">
        <f>F43&amp;H43&amp;I43</f>
        <v>SEYİTLER1692</v>
      </c>
      <c r="B43" s="247" t="s">
        <v>147</v>
      </c>
      <c r="C43" s="251" t="s">
        <v>197</v>
      </c>
      <c r="D43" s="226" t="s">
        <v>186</v>
      </c>
      <c r="E43" s="226" t="s">
        <v>187</v>
      </c>
      <c r="F43" s="226" t="s">
        <v>283</v>
      </c>
      <c r="G43" s="226">
        <v>455.29</v>
      </c>
      <c r="H43" s="226">
        <v>169</v>
      </c>
      <c r="I43" s="226">
        <v>2</v>
      </c>
      <c r="J43" s="226" t="s">
        <v>130</v>
      </c>
      <c r="K43" s="206" t="s">
        <v>198</v>
      </c>
      <c r="L43" s="226" t="s">
        <v>236</v>
      </c>
      <c r="M43" s="226" t="s">
        <v>236</v>
      </c>
      <c r="N43" s="348">
        <v>1650</v>
      </c>
      <c r="O43" s="346">
        <f>ROUND(N43*G43,-4)</f>
        <v>750000</v>
      </c>
      <c r="P43" s="347">
        <f>ROUND(O43*0.9,-4)</f>
        <v>680000</v>
      </c>
      <c r="Q43" s="346">
        <f>N43*1.1</f>
        <v>1815.0000000000002</v>
      </c>
      <c r="R43" s="347">
        <f>ROUND(P43*1.1,-4)</f>
        <v>750000</v>
      </c>
      <c r="S43" s="346">
        <f>Q43*1.1</f>
        <v>1996.5000000000005</v>
      </c>
      <c r="T43" s="347">
        <f>ROUND(R43*1.1,-3)</f>
        <v>825000</v>
      </c>
      <c r="U43" s="227">
        <v>0.4</v>
      </c>
      <c r="V43" s="227">
        <v>0.8</v>
      </c>
      <c r="W43" s="206"/>
      <c r="X43" s="226"/>
      <c r="Y43" s="226" t="s">
        <v>284</v>
      </c>
      <c r="Z43" s="226"/>
      <c r="AA43" s="226"/>
      <c r="AB43" s="226"/>
      <c r="AC43" s="207"/>
      <c r="AD43" s="210"/>
      <c r="AE43" s="226" t="s">
        <v>207</v>
      </c>
      <c r="AF43" s="226"/>
      <c r="AG43" s="228"/>
      <c r="AH43" s="226"/>
      <c r="AI43" s="226"/>
      <c r="AJ43" s="228"/>
      <c r="AK43" s="226"/>
      <c r="AL43" s="226"/>
      <c r="AM43" s="228"/>
      <c r="AN43" s="212" t="s">
        <v>196</v>
      </c>
    </row>
    <row r="44" spans="1:40" ht="18" customHeight="1">
      <c r="A44" s="159" t="str">
        <f>F44&amp;H44&amp;I44</f>
        <v>DAVUTLAR11321</v>
      </c>
      <c r="B44" s="247" t="s">
        <v>150</v>
      </c>
      <c r="C44" s="251"/>
      <c r="D44" s="206" t="s">
        <v>14</v>
      </c>
      <c r="E44" s="206" t="s">
        <v>23</v>
      </c>
      <c r="F44" s="206" t="s">
        <v>73</v>
      </c>
      <c r="G44" s="206">
        <v>585.04</v>
      </c>
      <c r="H44" s="206">
        <v>113</v>
      </c>
      <c r="I44" s="341">
        <v>21</v>
      </c>
      <c r="J44" s="206" t="s">
        <v>130</v>
      </c>
      <c r="K44" s="206" t="s">
        <v>137</v>
      </c>
      <c r="L44" s="206" t="s">
        <v>189</v>
      </c>
      <c r="M44" s="215" t="s">
        <v>179</v>
      </c>
      <c r="N44" s="345">
        <v>3415</v>
      </c>
      <c r="O44" s="346">
        <f>ROUND(N44*G44,-4)</f>
        <v>2000000</v>
      </c>
      <c r="P44" s="347">
        <f>O44*0.9</f>
        <v>1800000</v>
      </c>
      <c r="Q44" s="345" t="s">
        <v>180</v>
      </c>
      <c r="R44" s="345" t="s">
        <v>180</v>
      </c>
      <c r="S44" s="345" t="s">
        <v>180</v>
      </c>
      <c r="T44" s="345" t="s">
        <v>180</v>
      </c>
      <c r="U44" s="214">
        <v>0.2</v>
      </c>
      <c r="V44" s="214">
        <v>0.4</v>
      </c>
      <c r="W44" s="206">
        <v>68327476</v>
      </c>
      <c r="X44" s="206"/>
      <c r="Y44" s="206"/>
      <c r="Z44" s="206"/>
      <c r="AA44" s="208"/>
      <c r="AB44" s="210" t="s">
        <v>181</v>
      </c>
      <c r="AC44" s="207"/>
      <c r="AD44" s="210" t="s">
        <v>286</v>
      </c>
      <c r="AE44" s="206" t="s">
        <v>287</v>
      </c>
      <c r="AF44" s="206"/>
      <c r="AG44" s="211"/>
      <c r="AH44" s="206"/>
      <c r="AI44" s="206"/>
      <c r="AJ44" s="211"/>
      <c r="AK44" s="206"/>
      <c r="AL44" s="206"/>
      <c r="AM44" s="211"/>
      <c r="AN44" s="212"/>
    </row>
    <row r="45" spans="1:40" ht="18" customHeight="1">
      <c r="A45" s="159" t="str">
        <f>F45&amp;H45&amp;I45</f>
        <v>KARŞIYAKA44611</v>
      </c>
      <c r="B45" s="247" t="s">
        <v>148</v>
      </c>
      <c r="C45" s="251"/>
      <c r="D45" s="206" t="s">
        <v>84</v>
      </c>
      <c r="E45" s="206" t="s">
        <v>85</v>
      </c>
      <c r="F45" s="206" t="s">
        <v>86</v>
      </c>
      <c r="G45" s="206">
        <v>358</v>
      </c>
      <c r="H45" s="342">
        <v>446</v>
      </c>
      <c r="I45" s="206">
        <v>11</v>
      </c>
      <c r="J45" s="206" t="s">
        <v>130</v>
      </c>
      <c r="K45" s="206" t="s">
        <v>137</v>
      </c>
      <c r="L45" s="206" t="s">
        <v>236</v>
      </c>
      <c r="M45" s="245" t="s">
        <v>202</v>
      </c>
      <c r="N45" s="345">
        <v>30000</v>
      </c>
      <c r="O45" s="346">
        <f>ROUND(N45*G45,-4)</f>
        <v>10740000</v>
      </c>
      <c r="P45" s="347">
        <f>O45*0.9</f>
        <v>9666000</v>
      </c>
      <c r="Q45" s="345" t="s">
        <v>180</v>
      </c>
      <c r="R45" s="345" t="s">
        <v>180</v>
      </c>
      <c r="S45" s="345" t="s">
        <v>180</v>
      </c>
      <c r="T45" s="345" t="s">
        <v>180</v>
      </c>
      <c r="U45" s="214">
        <v>0.4</v>
      </c>
      <c r="V45" s="214">
        <v>1.2</v>
      </c>
      <c r="W45" s="206">
        <v>119724641</v>
      </c>
      <c r="X45" s="206"/>
      <c r="Y45" s="206"/>
      <c r="Z45" s="206"/>
      <c r="AA45" s="206"/>
      <c r="AB45" s="210" t="s">
        <v>181</v>
      </c>
      <c r="AC45" s="207"/>
      <c r="AD45" s="210" t="s">
        <v>288</v>
      </c>
      <c r="AE45" s="206"/>
      <c r="AF45" s="206"/>
      <c r="AG45" s="211"/>
      <c r="AH45" s="206"/>
      <c r="AI45" s="206"/>
      <c r="AJ45" s="211"/>
      <c r="AK45" s="206"/>
      <c r="AL45" s="206"/>
      <c r="AM45" s="211"/>
      <c r="AN45" s="212" t="s">
        <v>196</v>
      </c>
    </row>
    <row r="46" spans="1:40" ht="18" customHeight="1">
      <c r="A46" s="159" t="str">
        <f>F46&amp;H46&amp;I46</f>
        <v>Camikebir2472</v>
      </c>
      <c r="B46" s="247" t="s">
        <v>150</v>
      </c>
      <c r="C46" s="251"/>
      <c r="D46" s="206" t="s">
        <v>87</v>
      </c>
      <c r="E46" s="206" t="s">
        <v>88</v>
      </c>
      <c r="F46" s="206" t="s">
        <v>89</v>
      </c>
      <c r="G46" s="206">
        <v>253</v>
      </c>
      <c r="H46" s="206">
        <v>247</v>
      </c>
      <c r="I46" s="341">
        <v>2</v>
      </c>
      <c r="J46" s="206" t="s">
        <v>130</v>
      </c>
      <c r="K46" s="206" t="s">
        <v>138</v>
      </c>
      <c r="L46" s="206" t="s">
        <v>179</v>
      </c>
      <c r="M46" s="242" t="s">
        <v>179</v>
      </c>
      <c r="N46" s="345"/>
      <c r="O46" s="345"/>
      <c r="P46" s="345"/>
      <c r="Q46" s="348"/>
      <c r="R46" s="345"/>
      <c r="S46" s="345"/>
      <c r="T46" s="345"/>
      <c r="U46" s="209">
        <v>0.4</v>
      </c>
      <c r="V46" s="209">
        <v>0.8</v>
      </c>
      <c r="W46" s="206">
        <v>61896843</v>
      </c>
      <c r="X46" s="206"/>
      <c r="Y46" s="206"/>
      <c r="Z46" s="206"/>
      <c r="AA46" s="206"/>
      <c r="AB46" s="213"/>
      <c r="AC46" s="207"/>
      <c r="AD46" s="210" t="s">
        <v>289</v>
      </c>
      <c r="AE46" s="206" t="s">
        <v>290</v>
      </c>
      <c r="AF46" s="206"/>
      <c r="AG46" s="211"/>
      <c r="AH46" s="206"/>
      <c r="AI46" s="206"/>
      <c r="AJ46" s="211"/>
      <c r="AK46" s="206"/>
      <c r="AL46" s="206"/>
      <c r="AM46" s="211"/>
      <c r="AN46" s="212"/>
    </row>
    <row r="47" spans="1:40" ht="18" customHeight="1">
      <c r="A47" s="159" t="str">
        <f>F47&amp;H47&amp;I47</f>
        <v>İBİRLER1042</v>
      </c>
      <c r="B47" s="247" t="s">
        <v>150</v>
      </c>
      <c r="C47" s="251"/>
      <c r="D47" s="206" t="s">
        <v>14</v>
      </c>
      <c r="E47" s="206" t="s">
        <v>23</v>
      </c>
      <c r="F47" s="206" t="s">
        <v>24</v>
      </c>
      <c r="G47" s="206">
        <v>1019.82</v>
      </c>
      <c r="H47" s="206">
        <v>104</v>
      </c>
      <c r="I47" s="206">
        <v>2</v>
      </c>
      <c r="J47" s="206" t="s">
        <v>130</v>
      </c>
      <c r="K47" s="206" t="s">
        <v>138</v>
      </c>
      <c r="L47" s="206" t="s">
        <v>179</v>
      </c>
      <c r="M47" s="206" t="s">
        <v>179</v>
      </c>
      <c r="N47" s="345">
        <v>4000</v>
      </c>
      <c r="O47" s="346">
        <f>ROUND(N47*G47,-4)</f>
        <v>4080000</v>
      </c>
      <c r="P47" s="347">
        <f>O47*0.9</f>
        <v>3672000</v>
      </c>
      <c r="Q47" s="345"/>
      <c r="R47" s="345"/>
      <c r="S47" s="345"/>
      <c r="T47" s="345"/>
      <c r="U47" s="209">
        <v>0.25</v>
      </c>
      <c r="V47" s="209">
        <v>0.5</v>
      </c>
      <c r="W47" s="206"/>
      <c r="X47" s="206"/>
      <c r="Y47" s="206"/>
      <c r="Z47" s="206"/>
      <c r="AA47" s="206"/>
      <c r="AB47" s="213"/>
      <c r="AC47" s="207"/>
      <c r="AD47" s="210"/>
      <c r="AE47" s="206" t="s">
        <v>291</v>
      </c>
      <c r="AF47" s="206"/>
      <c r="AG47" s="211"/>
      <c r="AH47" s="206"/>
      <c r="AI47" s="206"/>
      <c r="AJ47" s="211"/>
      <c r="AK47" s="206"/>
      <c r="AL47" s="206"/>
      <c r="AM47" s="211"/>
      <c r="AN47" s="212"/>
    </row>
    <row r="48" spans="1:40" ht="18" customHeight="1">
      <c r="A48" s="159" t="str">
        <f>F48&amp;H48&amp;I48</f>
        <v>KİLLİK10516</v>
      </c>
      <c r="B48" s="247" t="s">
        <v>149</v>
      </c>
      <c r="C48" s="251"/>
      <c r="D48" s="206" t="s">
        <v>17</v>
      </c>
      <c r="E48" s="206" t="s">
        <v>21</v>
      </c>
      <c r="F48" s="206" t="s">
        <v>22</v>
      </c>
      <c r="G48" s="206">
        <v>679</v>
      </c>
      <c r="H48" s="342">
        <v>105</v>
      </c>
      <c r="I48" s="206">
        <v>16</v>
      </c>
      <c r="J48" s="206" t="s">
        <v>130</v>
      </c>
      <c r="K48" s="206" t="s">
        <v>137</v>
      </c>
      <c r="L48" s="206" t="s">
        <v>189</v>
      </c>
      <c r="M48" s="206" t="s">
        <v>200</v>
      </c>
      <c r="N48" s="345">
        <v>3000</v>
      </c>
      <c r="O48" s="346">
        <f>ROUND(N48*G48,-4)</f>
        <v>2040000</v>
      </c>
      <c r="P48" s="347">
        <f>O48*0.9</f>
        <v>1836000</v>
      </c>
      <c r="Q48" s="345" t="s">
        <v>180</v>
      </c>
      <c r="R48" s="345" t="s">
        <v>180</v>
      </c>
      <c r="S48" s="345" t="s">
        <v>180</v>
      </c>
      <c r="T48" s="345" t="s">
        <v>180</v>
      </c>
      <c r="U48" s="214">
        <v>0.25</v>
      </c>
      <c r="V48" s="214">
        <v>0.5</v>
      </c>
      <c r="W48" s="206">
        <v>31170046</v>
      </c>
      <c r="X48" s="206"/>
      <c r="Y48" s="206"/>
      <c r="Z48" s="206"/>
      <c r="AA48" s="224"/>
      <c r="AB48" s="210" t="s">
        <v>181</v>
      </c>
      <c r="AC48" s="207"/>
      <c r="AD48" s="210"/>
      <c r="AE48" s="206" t="s">
        <v>248</v>
      </c>
      <c r="AF48" s="206"/>
      <c r="AG48" s="211" t="s">
        <v>221</v>
      </c>
      <c r="AH48" s="206"/>
      <c r="AI48" s="206"/>
      <c r="AJ48" s="211"/>
      <c r="AK48" s="206"/>
      <c r="AL48" s="206"/>
      <c r="AM48" s="211"/>
      <c r="AN48" s="212"/>
    </row>
    <row r="49" spans="1:40" ht="18" customHeight="1">
      <c r="A49" s="159" t="str">
        <f>F49&amp;H49&amp;I49</f>
        <v>TEPECİK1063</v>
      </c>
      <c r="B49" s="247" t="s">
        <v>149</v>
      </c>
      <c r="C49" s="251" t="s">
        <v>197</v>
      </c>
      <c r="D49" s="206" t="s">
        <v>17</v>
      </c>
      <c r="E49" s="206" t="s">
        <v>76</v>
      </c>
      <c r="F49" s="206" t="s">
        <v>77</v>
      </c>
      <c r="G49" s="206">
        <v>600.22</v>
      </c>
      <c r="H49" s="342">
        <v>106</v>
      </c>
      <c r="I49" s="206">
        <v>3</v>
      </c>
      <c r="J49" s="206" t="s">
        <v>130</v>
      </c>
      <c r="K49" s="206" t="s">
        <v>137</v>
      </c>
      <c r="L49" s="206" t="s">
        <v>189</v>
      </c>
      <c r="M49" s="206" t="s">
        <v>200</v>
      </c>
      <c r="N49" s="345">
        <v>8000</v>
      </c>
      <c r="O49" s="346">
        <f>ROUND(N49*G49,-4)</f>
        <v>4800000</v>
      </c>
      <c r="P49" s="347">
        <f>O49*0.9</f>
        <v>4320000</v>
      </c>
      <c r="Q49" s="345" t="s">
        <v>180</v>
      </c>
      <c r="R49" s="345" t="s">
        <v>180</v>
      </c>
      <c r="S49" s="345"/>
      <c r="T49" s="345"/>
      <c r="U49" s="214"/>
      <c r="V49" s="214"/>
      <c r="W49" s="206"/>
      <c r="X49" s="206"/>
      <c r="Y49" s="206"/>
      <c r="Z49" s="206"/>
      <c r="AA49" s="224"/>
      <c r="AB49" s="210" t="s">
        <v>181</v>
      </c>
      <c r="AC49" s="207"/>
      <c r="AD49" s="210" t="s">
        <v>292</v>
      </c>
      <c r="AE49" s="206" t="s">
        <v>207</v>
      </c>
      <c r="AF49" s="206"/>
      <c r="AG49" s="211"/>
      <c r="AH49" s="206"/>
      <c r="AI49" s="206"/>
      <c r="AJ49" s="211"/>
      <c r="AK49" s="206"/>
      <c r="AL49" s="206"/>
      <c r="AM49" s="211"/>
      <c r="AN49" s="212"/>
    </row>
    <row r="50" spans="1:40" ht="18" customHeight="1">
      <c r="A50" s="159" t="str">
        <f>F50&amp;H50&amp;I50</f>
        <v>KALAYCILAR1059</v>
      </c>
      <c r="B50" s="247" t="s">
        <v>150</v>
      </c>
      <c r="C50" s="251"/>
      <c r="D50" s="206" t="s">
        <v>14</v>
      </c>
      <c r="E50" s="206" t="s">
        <v>23</v>
      </c>
      <c r="F50" s="206" t="s">
        <v>26</v>
      </c>
      <c r="G50" s="206">
        <v>800.05</v>
      </c>
      <c r="H50" s="206">
        <v>105</v>
      </c>
      <c r="I50" s="206">
        <v>9</v>
      </c>
      <c r="J50" s="206" t="s">
        <v>130</v>
      </c>
      <c r="K50" s="206" t="s">
        <v>138</v>
      </c>
      <c r="L50" s="206" t="s">
        <v>179</v>
      </c>
      <c r="M50" s="206" t="s">
        <v>179</v>
      </c>
      <c r="N50" s="345">
        <v>6500</v>
      </c>
      <c r="O50" s="346">
        <f>ROUND(N50*G50,-4)</f>
        <v>5200000</v>
      </c>
      <c r="P50" s="347">
        <f>O50*0.9</f>
        <v>4680000</v>
      </c>
      <c r="Q50" s="345"/>
      <c r="R50" s="345"/>
      <c r="S50" s="345"/>
      <c r="T50" s="345"/>
      <c r="U50" s="214"/>
      <c r="V50" s="214"/>
      <c r="W50" s="206"/>
      <c r="X50" s="206"/>
      <c r="Y50" s="206"/>
      <c r="Z50" s="206"/>
      <c r="AA50" s="206"/>
      <c r="AB50" s="210" t="s">
        <v>181</v>
      </c>
      <c r="AC50" s="207"/>
      <c r="AD50" s="210"/>
      <c r="AE50" s="206" t="s">
        <v>213</v>
      </c>
      <c r="AF50" s="206"/>
      <c r="AG50" s="212"/>
      <c r="AH50" s="206"/>
      <c r="AI50" s="206"/>
      <c r="AJ50" s="212"/>
      <c r="AK50" s="206"/>
      <c r="AL50" s="206"/>
      <c r="AM50" s="211"/>
      <c r="AN50" s="212"/>
    </row>
    <row r="51" spans="1:40" ht="18" customHeight="1">
      <c r="A51" s="159" t="str">
        <f>F51&amp;H51&amp;I51</f>
        <v>KULALAR1282</v>
      </c>
      <c r="B51" s="247" t="s">
        <v>147</v>
      </c>
      <c r="C51" s="251"/>
      <c r="D51" s="216" t="s">
        <v>17</v>
      </c>
      <c r="E51" s="216" t="s">
        <v>18</v>
      </c>
      <c r="F51" s="206" t="s">
        <v>35</v>
      </c>
      <c r="G51" s="214">
        <v>1528.07</v>
      </c>
      <c r="H51" s="342">
        <v>128</v>
      </c>
      <c r="I51" s="206">
        <v>2</v>
      </c>
      <c r="J51" s="206" t="s">
        <v>217</v>
      </c>
      <c r="K51" s="206" t="s">
        <v>137</v>
      </c>
      <c r="L51" s="206" t="s">
        <v>189</v>
      </c>
      <c r="M51" s="206" t="s">
        <v>238</v>
      </c>
      <c r="N51" s="345">
        <v>340</v>
      </c>
      <c r="O51" s="346">
        <f>ROUND(N51*G51,-4)</f>
        <v>520000</v>
      </c>
      <c r="P51" s="347">
        <f>O51*0.9</f>
        <v>468000</v>
      </c>
      <c r="Q51" s="346">
        <f>N51*1.1</f>
        <v>374.00000000000006</v>
      </c>
      <c r="R51" s="346">
        <f>ROUND(Q51*G51,-4)</f>
        <v>570000</v>
      </c>
      <c r="S51" s="346">
        <f>Q51*1.1</f>
        <v>411.40000000000009</v>
      </c>
      <c r="T51" s="346">
        <f>ROUND(S51*G51,-4)</f>
        <v>630000</v>
      </c>
      <c r="U51" s="214"/>
      <c r="V51" s="214"/>
      <c r="W51" s="206">
        <v>64148395</v>
      </c>
      <c r="X51" s="206"/>
      <c r="Y51" s="206"/>
      <c r="Z51" s="206"/>
      <c r="AA51" s="206"/>
      <c r="AB51" s="210" t="s">
        <v>181</v>
      </c>
      <c r="AC51" s="207"/>
      <c r="AD51" s="210" t="s">
        <v>294</v>
      </c>
      <c r="AE51" s="206" t="s">
        <v>282</v>
      </c>
      <c r="AF51" s="206"/>
      <c r="AG51" s="211"/>
      <c r="AH51" s="206"/>
      <c r="AI51" s="206"/>
      <c r="AJ51" s="211"/>
      <c r="AK51" s="206"/>
      <c r="AL51" s="206"/>
      <c r="AM51" s="206"/>
      <c r="AN51" s="212" t="s">
        <v>196</v>
      </c>
    </row>
    <row r="52" spans="1:40" ht="18" customHeight="1">
      <c r="A52" s="159" t="str">
        <f>F52&amp;H52&amp;I52</f>
        <v>HÜDÜK1696</v>
      </c>
      <c r="B52" s="247" t="s">
        <v>147</v>
      </c>
      <c r="C52" s="251"/>
      <c r="D52" s="216" t="s">
        <v>17</v>
      </c>
      <c r="E52" s="216" t="s">
        <v>18</v>
      </c>
      <c r="F52" s="206" t="s">
        <v>19</v>
      </c>
      <c r="G52" s="206">
        <v>1276.43</v>
      </c>
      <c r="H52" s="340">
        <v>169</v>
      </c>
      <c r="I52" s="206">
        <v>6</v>
      </c>
      <c r="J52" s="206" t="s">
        <v>217</v>
      </c>
      <c r="K52" s="206" t="s">
        <v>137</v>
      </c>
      <c r="L52" s="206" t="s">
        <v>189</v>
      </c>
      <c r="M52" s="206" t="s">
        <v>238</v>
      </c>
      <c r="N52" s="345">
        <v>200</v>
      </c>
      <c r="O52" s="346">
        <f>ROUND(N52*G52,-4)</f>
        <v>260000</v>
      </c>
      <c r="P52" s="347">
        <f>O52*0.9</f>
        <v>234000</v>
      </c>
      <c r="Q52" s="346">
        <f>N52*1.1</f>
        <v>220.00000000000003</v>
      </c>
      <c r="R52" s="346">
        <f>ROUND(Q52*G52,-4)</f>
        <v>280000</v>
      </c>
      <c r="S52" s="346">
        <f>Q52*1.1</f>
        <v>242.00000000000006</v>
      </c>
      <c r="T52" s="346">
        <f>ROUND(S52*G52,-4)</f>
        <v>310000</v>
      </c>
      <c r="U52" s="214"/>
      <c r="V52" s="214"/>
      <c r="W52" s="206">
        <v>64033122</v>
      </c>
      <c r="X52" s="206"/>
      <c r="Y52" s="206"/>
      <c r="Z52" s="206"/>
      <c r="AA52" s="206"/>
      <c r="AB52" s="210" t="s">
        <v>181</v>
      </c>
      <c r="AC52" s="207"/>
      <c r="AD52" s="210"/>
      <c r="AE52" s="206" t="s">
        <v>282</v>
      </c>
      <c r="AF52" s="206"/>
      <c r="AG52" s="211"/>
      <c r="AH52" s="206"/>
      <c r="AI52" s="206"/>
      <c r="AJ52" s="211"/>
      <c r="AK52" s="206"/>
      <c r="AL52" s="206"/>
      <c r="AM52" s="211"/>
      <c r="AN52" s="212" t="s">
        <v>196</v>
      </c>
    </row>
    <row r="53" spans="1:40" ht="18" customHeight="1">
      <c r="A53" s="159" t="str">
        <f>F53&amp;H53&amp;I53</f>
        <v>KIRMIZILAR18013</v>
      </c>
      <c r="B53" s="247" t="s">
        <v>150</v>
      </c>
      <c r="C53" s="251"/>
      <c r="D53" s="206" t="s">
        <v>14</v>
      </c>
      <c r="E53" s="206" t="s">
        <v>23</v>
      </c>
      <c r="F53" s="206" t="s">
        <v>55</v>
      </c>
      <c r="G53" s="206">
        <v>433.54</v>
      </c>
      <c r="H53" s="342">
        <v>180</v>
      </c>
      <c r="I53" s="206">
        <v>13</v>
      </c>
      <c r="J53" s="206" t="s">
        <v>130</v>
      </c>
      <c r="K53" s="206" t="s">
        <v>137</v>
      </c>
      <c r="L53" s="206" t="s">
        <v>179</v>
      </c>
      <c r="M53" s="206" t="s">
        <v>179</v>
      </c>
      <c r="N53" s="345">
        <v>3000</v>
      </c>
      <c r="O53" s="346">
        <f>ROUND(N53*G53,-4)</f>
        <v>1300000</v>
      </c>
      <c r="P53" s="347">
        <f>O53*0.9</f>
        <v>1170000</v>
      </c>
      <c r="Q53" s="345" t="s">
        <v>180</v>
      </c>
      <c r="R53" s="345" t="s">
        <v>180</v>
      </c>
      <c r="S53" s="345"/>
      <c r="T53" s="345"/>
      <c r="U53" s="214">
        <v>0.2</v>
      </c>
      <c r="V53" s="214">
        <v>0.4</v>
      </c>
      <c r="W53" s="206"/>
      <c r="X53" s="206" t="s">
        <v>194</v>
      </c>
      <c r="Y53" s="206" t="s">
        <v>195</v>
      </c>
      <c r="Z53" s="206"/>
      <c r="AA53" s="224"/>
      <c r="AB53" s="210" t="s">
        <v>181</v>
      </c>
      <c r="AC53" s="207">
        <v>1232382044</v>
      </c>
      <c r="AD53" s="210" t="s">
        <v>295</v>
      </c>
      <c r="AE53" s="206" t="s">
        <v>184</v>
      </c>
      <c r="AF53" s="206"/>
      <c r="AG53" s="211"/>
      <c r="AH53" s="206" t="s">
        <v>296</v>
      </c>
      <c r="AI53" s="206"/>
      <c r="AJ53" s="211"/>
      <c r="AK53" s="206" t="s">
        <v>297</v>
      </c>
      <c r="AL53" s="206"/>
      <c r="AM53" s="211"/>
      <c r="AN53" s="212"/>
    </row>
    <row r="54" spans="1:40" ht="18" customHeight="1">
      <c r="A54" s="159" t="str">
        <f>F54&amp;H54&amp;I54</f>
        <v>KÜÇÜKKATRANCI193485</v>
      </c>
      <c r="B54" s="247" t="s">
        <v>150</v>
      </c>
      <c r="C54" s="251"/>
      <c r="D54" s="206" t="s">
        <v>14</v>
      </c>
      <c r="E54" s="206" t="s">
        <v>43</v>
      </c>
      <c r="F54" s="206" t="s">
        <v>106</v>
      </c>
      <c r="G54" s="206">
        <v>5272.68</v>
      </c>
      <c r="H54" s="342">
        <v>193</v>
      </c>
      <c r="I54" s="206">
        <v>485</v>
      </c>
      <c r="J54" s="206" t="s">
        <v>217</v>
      </c>
      <c r="K54" s="206" t="s">
        <v>137</v>
      </c>
      <c r="L54" s="206" t="s">
        <v>179</v>
      </c>
      <c r="M54" s="242" t="s">
        <v>179</v>
      </c>
      <c r="N54" s="345"/>
      <c r="O54" s="345"/>
      <c r="P54" s="345"/>
      <c r="Q54" s="345"/>
      <c r="R54" s="345"/>
      <c r="S54" s="345"/>
      <c r="T54" s="345"/>
      <c r="U54" s="214">
        <v>0</v>
      </c>
      <c r="V54" s="214">
        <v>0</v>
      </c>
      <c r="W54" s="206"/>
      <c r="X54" s="206"/>
      <c r="Y54" s="206"/>
      <c r="Z54" s="206"/>
      <c r="AA54" s="206"/>
      <c r="AB54" s="213"/>
      <c r="AC54" s="207"/>
      <c r="AD54" s="210"/>
      <c r="AE54" s="206" t="s">
        <v>298</v>
      </c>
      <c r="AF54" s="206"/>
      <c r="AG54" s="211"/>
      <c r="AH54" s="206"/>
      <c r="AI54" s="206"/>
      <c r="AJ54" s="211"/>
      <c r="AK54" s="206"/>
      <c r="AL54" s="206"/>
      <c r="AM54" s="211"/>
      <c r="AN54" s="212"/>
    </row>
    <row r="55" spans="1:40" ht="18" customHeight="1">
      <c r="A55" s="159" t="str">
        <f>F55&amp;H55&amp;I55</f>
        <v>KÜRSE1561</v>
      </c>
      <c r="B55" s="247" t="s">
        <v>150</v>
      </c>
      <c r="C55" s="251"/>
      <c r="D55" s="206" t="s">
        <v>14</v>
      </c>
      <c r="E55" s="206" t="s">
        <v>79</v>
      </c>
      <c r="F55" s="206" t="s">
        <v>107</v>
      </c>
      <c r="G55" s="206">
        <v>804.23</v>
      </c>
      <c r="H55" s="342">
        <v>156</v>
      </c>
      <c r="I55" s="206">
        <v>1</v>
      </c>
      <c r="J55" s="206" t="s">
        <v>130</v>
      </c>
      <c r="K55" s="206" t="s">
        <v>137</v>
      </c>
      <c r="L55" s="206" t="s">
        <v>179</v>
      </c>
      <c r="M55" s="206" t="s">
        <v>179</v>
      </c>
      <c r="N55" s="345"/>
      <c r="O55" s="345"/>
      <c r="P55" s="345"/>
      <c r="Q55" s="345"/>
      <c r="R55" s="345"/>
      <c r="S55" s="345"/>
      <c r="T55" s="345"/>
      <c r="U55" s="214"/>
      <c r="V55" s="214"/>
      <c r="W55" s="206"/>
      <c r="X55" s="206"/>
      <c r="Y55" s="206"/>
      <c r="Z55" s="206"/>
      <c r="AA55" s="206"/>
      <c r="AB55" s="213"/>
      <c r="AC55" s="207"/>
      <c r="AD55" s="210"/>
      <c r="AE55" s="206" t="s">
        <v>299</v>
      </c>
      <c r="AF55" s="206"/>
      <c r="AG55" s="211"/>
      <c r="AH55" s="206"/>
      <c r="AI55" s="206"/>
      <c r="AJ55" s="211"/>
      <c r="AK55" s="206"/>
      <c r="AL55" s="206"/>
      <c r="AM55" s="211"/>
      <c r="AN55" s="212"/>
    </row>
    <row r="56" spans="1:40" ht="18" customHeight="1">
      <c r="A56" s="159" t="str">
        <f>F56&amp;H56&amp;I56</f>
        <v>KUVAYİ MİLLİYE1247751</v>
      </c>
      <c r="B56" s="247" t="s">
        <v>149</v>
      </c>
      <c r="C56" s="251" t="s">
        <v>197</v>
      </c>
      <c r="D56" s="206" t="s">
        <v>14</v>
      </c>
      <c r="E56" s="206" t="s">
        <v>23</v>
      </c>
      <c r="F56" s="206" t="s">
        <v>56</v>
      </c>
      <c r="G56" s="206">
        <v>241.93</v>
      </c>
      <c r="H56" s="206">
        <v>12477</v>
      </c>
      <c r="I56" s="341">
        <v>51</v>
      </c>
      <c r="J56" s="206" t="s">
        <v>130</v>
      </c>
      <c r="K56" s="206" t="s">
        <v>137</v>
      </c>
      <c r="L56" s="206" t="s">
        <v>189</v>
      </c>
      <c r="M56" s="215" t="s">
        <v>200</v>
      </c>
      <c r="N56" s="345">
        <v>15000</v>
      </c>
      <c r="O56" s="346">
        <f>ROUND(N56*G56,-4)</f>
        <v>3630000</v>
      </c>
      <c r="P56" s="347">
        <f>O56*0.9</f>
        <v>3267000</v>
      </c>
      <c r="Q56" s="345"/>
      <c r="R56" s="345"/>
      <c r="S56" s="345"/>
      <c r="T56" s="345"/>
      <c r="U56" s="214">
        <v>0.25</v>
      </c>
      <c r="V56" s="214">
        <v>0.5</v>
      </c>
      <c r="W56" s="206">
        <v>64214961</v>
      </c>
      <c r="X56" s="206"/>
      <c r="Y56" s="206"/>
      <c r="Z56" s="206"/>
      <c r="AA56" s="206"/>
      <c r="AB56" s="210" t="s">
        <v>181</v>
      </c>
      <c r="AC56" s="207">
        <v>1232386736</v>
      </c>
      <c r="AD56" s="210"/>
      <c r="AE56" s="206" t="s">
        <v>300</v>
      </c>
      <c r="AF56" s="206"/>
      <c r="AG56" s="211"/>
      <c r="AH56" s="206"/>
      <c r="AI56" s="206"/>
      <c r="AJ56" s="211"/>
      <c r="AK56" s="206"/>
      <c r="AL56" s="206"/>
      <c r="AM56" s="211"/>
      <c r="AN56" s="212"/>
    </row>
    <row r="57" spans="1:40" ht="18" customHeight="1">
      <c r="A57" s="159" t="str">
        <f>F57&amp;H57&amp;I57</f>
        <v>YUKARIMUSALAR11016</v>
      </c>
      <c r="B57" s="247" t="s">
        <v>150</v>
      </c>
      <c r="C57" s="251"/>
      <c r="D57" s="226" t="s">
        <v>14</v>
      </c>
      <c r="E57" s="226" t="s">
        <v>28</v>
      </c>
      <c r="F57" s="226" t="s">
        <v>301</v>
      </c>
      <c r="G57" s="226">
        <v>368</v>
      </c>
      <c r="H57" s="226">
        <v>110</v>
      </c>
      <c r="I57" s="226">
        <v>16</v>
      </c>
      <c r="J57" s="226" t="s">
        <v>130</v>
      </c>
      <c r="K57" s="206" t="s">
        <v>138</v>
      </c>
      <c r="L57" s="226" t="s">
        <v>179</v>
      </c>
      <c r="M57" s="226" t="s">
        <v>179</v>
      </c>
      <c r="N57" s="347">
        <v>2000</v>
      </c>
      <c r="O57" s="346">
        <f>ROUND(N57*G57,-4)</f>
        <v>740000</v>
      </c>
      <c r="P57" s="347">
        <f>O57*0.9</f>
        <v>666000</v>
      </c>
      <c r="Q57" s="349"/>
      <c r="R57" s="349"/>
      <c r="S57" s="349"/>
      <c r="T57" s="349"/>
      <c r="U57" s="227">
        <v>0.4</v>
      </c>
      <c r="V57" s="227">
        <v>0.8</v>
      </c>
      <c r="W57" s="206"/>
      <c r="X57" s="226" t="s">
        <v>227</v>
      </c>
      <c r="Y57" s="226"/>
      <c r="Z57" s="226" t="s">
        <v>195</v>
      </c>
      <c r="AA57" s="226"/>
      <c r="AB57" s="226"/>
      <c r="AC57" s="207">
        <v>1248750111</v>
      </c>
      <c r="AD57" s="210" t="s">
        <v>302</v>
      </c>
      <c r="AE57" s="226" t="s">
        <v>303</v>
      </c>
      <c r="AF57" s="226"/>
      <c r="AG57" s="228"/>
      <c r="AH57" s="226"/>
      <c r="AI57" s="226"/>
      <c r="AJ57" s="228"/>
      <c r="AK57" s="226"/>
      <c r="AL57" s="226"/>
      <c r="AM57" s="228"/>
      <c r="AN57" s="212"/>
    </row>
    <row r="58" spans="1:40" ht="18" customHeight="1">
      <c r="A58" s="159" t="str">
        <f>F58&amp;H58&amp;I58</f>
        <v>SELİMİYE1282</v>
      </c>
      <c r="B58" s="247" t="s">
        <v>150</v>
      </c>
      <c r="C58" s="251"/>
      <c r="D58" s="206" t="s">
        <v>14</v>
      </c>
      <c r="E58" s="206" t="s">
        <v>79</v>
      </c>
      <c r="F58" s="206" t="s">
        <v>109</v>
      </c>
      <c r="G58" s="240">
        <v>561.91</v>
      </c>
      <c r="H58" s="342">
        <v>128</v>
      </c>
      <c r="I58" s="206">
        <v>2</v>
      </c>
      <c r="J58" s="206" t="s">
        <v>130</v>
      </c>
      <c r="K58" s="206" t="s">
        <v>137</v>
      </c>
      <c r="L58" s="206" t="s">
        <v>179</v>
      </c>
      <c r="M58" s="242" t="s">
        <v>179</v>
      </c>
      <c r="N58" s="345"/>
      <c r="O58" s="345"/>
      <c r="P58" s="345"/>
      <c r="Q58" s="345"/>
      <c r="R58" s="345"/>
      <c r="S58" s="345"/>
      <c r="T58" s="345"/>
      <c r="U58" s="214"/>
      <c r="V58" s="214"/>
      <c r="W58" s="206"/>
      <c r="X58" s="206"/>
      <c r="Y58" s="206"/>
      <c r="Z58" s="206"/>
      <c r="AA58" s="206"/>
      <c r="AB58" s="213"/>
      <c r="AC58" s="207"/>
      <c r="AD58" s="210"/>
      <c r="AE58" s="206" t="s">
        <v>304</v>
      </c>
      <c r="AF58" s="206"/>
      <c r="AG58" s="211"/>
      <c r="AH58" s="206"/>
      <c r="AI58" s="206"/>
      <c r="AJ58" s="211"/>
      <c r="AK58" s="206"/>
      <c r="AL58" s="206"/>
      <c r="AM58" s="211"/>
      <c r="AN58" s="212"/>
    </row>
    <row r="59" spans="1:40" ht="18" customHeight="1">
      <c r="A59" s="159" t="str">
        <f>F59&amp;H59&amp;I59</f>
        <v>BOYACIK21520</v>
      </c>
      <c r="B59" s="247" t="s">
        <v>147</v>
      </c>
      <c r="C59" s="251"/>
      <c r="D59" s="216" t="s">
        <v>17</v>
      </c>
      <c r="E59" s="216" t="s">
        <v>18</v>
      </c>
      <c r="F59" s="206" t="s">
        <v>25</v>
      </c>
      <c r="G59" s="206">
        <v>1140.3599999999999</v>
      </c>
      <c r="H59" s="340">
        <v>215</v>
      </c>
      <c r="I59" s="206">
        <v>20</v>
      </c>
      <c r="J59" s="206" t="s">
        <v>305</v>
      </c>
      <c r="K59" s="206" t="s">
        <v>137</v>
      </c>
      <c r="L59" s="206" t="s">
        <v>189</v>
      </c>
      <c r="M59" s="206" t="s">
        <v>238</v>
      </c>
      <c r="N59" s="345">
        <v>280</v>
      </c>
      <c r="O59" s="346">
        <f>ROUND(N59*G59,-4)</f>
        <v>320000</v>
      </c>
      <c r="P59" s="347">
        <f>O59*0.9</f>
        <v>288000</v>
      </c>
      <c r="Q59" s="345" t="s">
        <v>180</v>
      </c>
      <c r="R59" s="345" t="s">
        <v>180</v>
      </c>
      <c r="S59" s="345" t="s">
        <v>180</v>
      </c>
      <c r="T59" s="345" t="s">
        <v>180</v>
      </c>
      <c r="U59" s="214">
        <v>0</v>
      </c>
      <c r="V59" s="214">
        <v>0</v>
      </c>
      <c r="W59" s="206">
        <v>63870362</v>
      </c>
      <c r="X59" s="206"/>
      <c r="Y59" s="206"/>
      <c r="Z59" s="206"/>
      <c r="AA59" s="206"/>
      <c r="AB59" s="210" t="s">
        <v>181</v>
      </c>
      <c r="AC59" s="207"/>
      <c r="AD59" s="210"/>
      <c r="AE59" s="206" t="s">
        <v>282</v>
      </c>
      <c r="AF59" s="206"/>
      <c r="AG59" s="211"/>
      <c r="AH59" s="206"/>
      <c r="AI59" s="206"/>
      <c r="AJ59" s="211"/>
      <c r="AK59" s="206"/>
      <c r="AL59" s="206"/>
      <c r="AM59" s="211"/>
      <c r="AN59" s="212" t="s">
        <v>196</v>
      </c>
    </row>
    <row r="60" spans="1:40" ht="18" customHeight="1">
      <c r="A60" s="159" t="str">
        <f>F60&amp;H60&amp;I60</f>
        <v>KOCAKAĞAN2341</v>
      </c>
      <c r="B60" s="247" t="s">
        <v>150</v>
      </c>
      <c r="C60" s="251"/>
      <c r="D60" s="206" t="s">
        <v>17</v>
      </c>
      <c r="E60" s="206" t="s">
        <v>57</v>
      </c>
      <c r="F60" s="206" t="s">
        <v>104</v>
      </c>
      <c r="G60" s="206">
        <v>418</v>
      </c>
      <c r="H60" s="206">
        <v>234</v>
      </c>
      <c r="I60" s="341">
        <v>1</v>
      </c>
      <c r="J60" s="206" t="s">
        <v>130</v>
      </c>
      <c r="K60" s="206" t="s">
        <v>137</v>
      </c>
      <c r="L60" s="206" t="s">
        <v>179</v>
      </c>
      <c r="M60" s="242" t="s">
        <v>179</v>
      </c>
      <c r="N60" s="345"/>
      <c r="O60" s="345"/>
      <c r="P60" s="345"/>
      <c r="Q60" s="345"/>
      <c r="R60" s="345"/>
      <c r="S60" s="345"/>
      <c r="T60" s="345"/>
      <c r="U60" s="214"/>
      <c r="V60" s="214"/>
      <c r="W60" s="206"/>
      <c r="X60" s="206"/>
      <c r="Y60" s="206"/>
      <c r="Z60" s="206"/>
      <c r="AA60" s="206"/>
      <c r="AB60" s="213"/>
      <c r="AC60" s="207"/>
      <c r="AD60" s="210"/>
      <c r="AE60" s="206" t="s">
        <v>306</v>
      </c>
      <c r="AF60" s="206"/>
      <c r="AG60" s="211"/>
      <c r="AH60" s="206"/>
      <c r="AI60" s="206"/>
      <c r="AJ60" s="211"/>
      <c r="AK60" s="206"/>
      <c r="AL60" s="206"/>
      <c r="AM60" s="211"/>
      <c r="AN60" s="212"/>
    </row>
    <row r="61" spans="1:40" ht="18" customHeight="1">
      <c r="A61" s="159" t="str">
        <f>F61&amp;H61&amp;I61</f>
        <v>KINIK31513</v>
      </c>
      <c r="B61" s="247" t="s">
        <v>146</v>
      </c>
      <c r="C61" s="251" t="s">
        <v>197</v>
      </c>
      <c r="D61" s="216" t="s">
        <v>14</v>
      </c>
      <c r="E61" s="216" t="s">
        <v>33</v>
      </c>
      <c r="F61" s="206" t="s">
        <v>54</v>
      </c>
      <c r="G61" s="206">
        <v>310.89999999999998</v>
      </c>
      <c r="H61" s="342">
        <v>315</v>
      </c>
      <c r="I61" s="206">
        <v>13</v>
      </c>
      <c r="J61" s="229" t="s">
        <v>217</v>
      </c>
      <c r="K61" s="206" t="s">
        <v>137</v>
      </c>
      <c r="L61" s="206" t="s">
        <v>201</v>
      </c>
      <c r="M61" s="206" t="s">
        <v>190</v>
      </c>
      <c r="N61" s="345">
        <v>1800</v>
      </c>
      <c r="O61" s="346">
        <f>ROUND(N61*G61,-4)</f>
        <v>560000</v>
      </c>
      <c r="P61" s="347">
        <f>O61*0.9</f>
        <v>504000</v>
      </c>
      <c r="Q61" s="345" t="s">
        <v>180</v>
      </c>
      <c r="R61" s="345" t="s">
        <v>180</v>
      </c>
      <c r="S61" s="345" t="s">
        <v>180</v>
      </c>
      <c r="T61" s="345" t="s">
        <v>180</v>
      </c>
      <c r="U61" s="214">
        <v>0.25</v>
      </c>
      <c r="V61" s="214">
        <v>0.5</v>
      </c>
      <c r="W61" s="206"/>
      <c r="X61" s="206"/>
      <c r="Y61" s="206"/>
      <c r="Z61" s="206"/>
      <c r="AA61" s="224"/>
      <c r="AB61" s="210" t="s">
        <v>181</v>
      </c>
      <c r="AC61" s="207">
        <v>1232340780</v>
      </c>
      <c r="AD61" s="210" t="s">
        <v>309</v>
      </c>
      <c r="AE61" s="206" t="s">
        <v>279</v>
      </c>
      <c r="AF61" s="206"/>
      <c r="AG61" s="211"/>
      <c r="AH61" s="206" t="s">
        <v>310</v>
      </c>
      <c r="AI61" s="206"/>
      <c r="AJ61" s="211"/>
      <c r="AK61" s="206" t="s">
        <v>257</v>
      </c>
      <c r="AL61" s="206"/>
      <c r="AM61" s="211"/>
      <c r="AN61" s="212"/>
    </row>
    <row r="62" spans="1:40" ht="18" customHeight="1">
      <c r="A62" s="159" t="str">
        <f>F62&amp;H62&amp;I62</f>
        <v>KOCASİNAN1466</v>
      </c>
      <c r="B62" s="247" t="s">
        <v>150</v>
      </c>
      <c r="C62" s="251"/>
      <c r="D62" s="206" t="s">
        <v>14</v>
      </c>
      <c r="E62" s="206" t="s">
        <v>33</v>
      </c>
      <c r="F62" s="206" t="s">
        <v>105</v>
      </c>
      <c r="G62" s="206">
        <v>467.94</v>
      </c>
      <c r="H62" s="206">
        <v>146</v>
      </c>
      <c r="I62" s="206">
        <v>6</v>
      </c>
      <c r="J62" s="206" t="s">
        <v>130</v>
      </c>
      <c r="K62" s="206" t="s">
        <v>137</v>
      </c>
      <c r="L62" s="206" t="s">
        <v>179</v>
      </c>
      <c r="M62" s="206" t="s">
        <v>179</v>
      </c>
      <c r="N62" s="345"/>
      <c r="O62" s="345"/>
      <c r="P62" s="345"/>
      <c r="Q62" s="345"/>
      <c r="R62" s="345"/>
      <c r="S62" s="345"/>
      <c r="T62" s="345"/>
      <c r="U62" s="214"/>
      <c r="V62" s="214"/>
      <c r="W62" s="206"/>
      <c r="X62" s="206"/>
      <c r="Y62" s="206"/>
      <c r="Z62" s="206"/>
      <c r="AA62" s="206"/>
      <c r="AB62" s="210" t="s">
        <v>181</v>
      </c>
      <c r="AC62" s="207"/>
      <c r="AD62" s="210" t="s">
        <v>311</v>
      </c>
      <c r="AE62" s="206" t="s">
        <v>312</v>
      </c>
      <c r="AF62" s="206"/>
      <c r="AG62" s="211"/>
      <c r="AH62" s="206"/>
      <c r="AI62" s="206"/>
      <c r="AJ62" s="211"/>
      <c r="AK62" s="206"/>
      <c r="AL62" s="206"/>
      <c r="AM62" s="211"/>
      <c r="AN62" s="212"/>
    </row>
    <row r="63" spans="1:40" ht="18" customHeight="1">
      <c r="A63" s="159" t="str">
        <f>F63&amp;H63&amp;I63</f>
        <v>SÖVE17017</v>
      </c>
      <c r="B63" s="247" t="s">
        <v>150</v>
      </c>
      <c r="C63" s="251"/>
      <c r="D63" s="226" t="s">
        <v>14</v>
      </c>
      <c r="E63" s="226" t="s">
        <v>15</v>
      </c>
      <c r="F63" s="226" t="s">
        <v>314</v>
      </c>
      <c r="G63" s="226">
        <v>752</v>
      </c>
      <c r="H63" s="226">
        <v>170</v>
      </c>
      <c r="I63" s="226">
        <v>17</v>
      </c>
      <c r="J63" s="226"/>
      <c r="K63" s="206" t="s">
        <v>138</v>
      </c>
      <c r="L63" s="226" t="s">
        <v>179</v>
      </c>
      <c r="M63" s="226" t="s">
        <v>179</v>
      </c>
      <c r="N63" s="349"/>
      <c r="O63" s="349"/>
      <c r="P63" s="349"/>
      <c r="Q63" s="349"/>
      <c r="R63" s="349"/>
      <c r="S63" s="349"/>
      <c r="T63" s="349"/>
      <c r="U63" s="227">
        <v>0.4</v>
      </c>
      <c r="V63" s="227">
        <v>0.8</v>
      </c>
      <c r="W63" s="206">
        <v>132690963</v>
      </c>
      <c r="X63" s="226"/>
      <c r="Y63" s="226"/>
      <c r="Z63" s="226"/>
      <c r="AA63" s="226"/>
      <c r="AB63" s="226"/>
      <c r="AC63" s="207"/>
      <c r="AD63" s="210"/>
      <c r="AE63" s="226" t="s">
        <v>315</v>
      </c>
      <c r="AF63" s="226"/>
      <c r="AG63" s="228"/>
      <c r="AH63" s="226"/>
      <c r="AI63" s="226"/>
      <c r="AJ63" s="228"/>
      <c r="AK63" s="226"/>
      <c r="AL63" s="226"/>
      <c r="AM63" s="228"/>
      <c r="AN63" s="212"/>
    </row>
    <row r="64" spans="1:40" ht="18" customHeight="1">
      <c r="A64" s="159" t="str">
        <f>F64&amp;H64&amp;I64</f>
        <v>SULTANÇAYIR01005</v>
      </c>
      <c r="B64" s="247" t="s">
        <v>150</v>
      </c>
      <c r="C64" s="251"/>
      <c r="D64" s="226" t="s">
        <v>14</v>
      </c>
      <c r="E64" s="226" t="s">
        <v>15</v>
      </c>
      <c r="F64" s="226" t="s">
        <v>316</v>
      </c>
      <c r="G64" s="226">
        <v>565</v>
      </c>
      <c r="H64" s="226">
        <v>0</v>
      </c>
      <c r="I64" s="226">
        <v>1005</v>
      </c>
      <c r="J64" s="226" t="s">
        <v>130</v>
      </c>
      <c r="K64" s="206" t="s">
        <v>138</v>
      </c>
      <c r="L64" s="226" t="s">
        <v>179</v>
      </c>
      <c r="M64" s="226" t="s">
        <v>200</v>
      </c>
      <c r="N64" s="351"/>
      <c r="O64" s="351"/>
      <c r="P64" s="351"/>
      <c r="Q64" s="351"/>
      <c r="R64" s="351"/>
      <c r="S64" s="351"/>
      <c r="T64" s="351"/>
      <c r="U64" s="159"/>
      <c r="V64" s="159"/>
      <c r="W64" s="159"/>
      <c r="X64" s="159"/>
      <c r="Y64" s="159"/>
      <c r="Z64" s="159"/>
      <c r="AA64" s="226"/>
      <c r="AB64" s="159"/>
      <c r="AC64" s="226"/>
      <c r="AD64" s="226"/>
      <c r="AE64" s="226" t="s">
        <v>270</v>
      </c>
      <c r="AF64" s="159"/>
      <c r="AG64" s="235"/>
      <c r="AH64" s="159"/>
      <c r="AI64" s="159"/>
      <c r="AJ64" s="235"/>
      <c r="AK64" s="159"/>
      <c r="AL64" s="159"/>
      <c r="AM64" s="235"/>
      <c r="AN64" s="235"/>
    </row>
    <row r="65" spans="1:40" ht="18" customHeight="1">
      <c r="A65" s="159" t="str">
        <f>F65&amp;H65&amp;I65</f>
        <v>YEŞİLYURT3138</v>
      </c>
      <c r="B65" s="247" t="s">
        <v>150</v>
      </c>
      <c r="C65" s="251"/>
      <c r="D65" s="206" t="s">
        <v>17</v>
      </c>
      <c r="E65" s="206" t="s">
        <v>21</v>
      </c>
      <c r="F65" s="206" t="s">
        <v>111</v>
      </c>
      <c r="G65" s="206">
        <v>395</v>
      </c>
      <c r="H65" s="342">
        <v>313</v>
      </c>
      <c r="I65" s="206">
        <v>8</v>
      </c>
      <c r="J65" s="206" t="s">
        <v>130</v>
      </c>
      <c r="K65" s="206" t="s">
        <v>137</v>
      </c>
      <c r="L65" s="206" t="s">
        <v>179</v>
      </c>
      <c r="M65" s="242" t="s">
        <v>179</v>
      </c>
      <c r="N65" s="345"/>
      <c r="O65" s="345"/>
      <c r="P65" s="345"/>
      <c r="Q65" s="345" t="s">
        <v>180</v>
      </c>
      <c r="R65" s="345" t="s">
        <v>180</v>
      </c>
      <c r="S65" s="345"/>
      <c r="T65" s="345"/>
      <c r="U65" s="214"/>
      <c r="V65" s="214"/>
      <c r="W65" s="206"/>
      <c r="X65" s="206"/>
      <c r="Y65" s="206"/>
      <c r="Z65" s="206"/>
      <c r="AA65" s="206"/>
      <c r="AB65" s="207" t="s">
        <v>181</v>
      </c>
      <c r="AC65" s="207"/>
      <c r="AD65" s="210"/>
      <c r="AE65" s="206" t="s">
        <v>307</v>
      </c>
      <c r="AF65" s="206"/>
      <c r="AG65" s="211"/>
      <c r="AH65" s="206" t="s">
        <v>317</v>
      </c>
      <c r="AI65" s="206"/>
      <c r="AJ65" s="211"/>
      <c r="AK65" s="206"/>
      <c r="AL65" s="206"/>
      <c r="AM65" s="211"/>
      <c r="AN65" s="212"/>
    </row>
    <row r="66" spans="1:40" ht="18" customHeight="1">
      <c r="A66" s="159" t="str">
        <f>F66&amp;H66&amp;I66</f>
        <v>MALTEPE1163311</v>
      </c>
      <c r="B66" s="247" t="s">
        <v>150</v>
      </c>
      <c r="C66" s="251"/>
      <c r="D66" s="206" t="s">
        <v>14</v>
      </c>
      <c r="E66" s="206" t="s">
        <v>23</v>
      </c>
      <c r="F66" s="206" t="s">
        <v>74</v>
      </c>
      <c r="G66" s="206">
        <v>244.43</v>
      </c>
      <c r="H66" s="342">
        <v>11633</v>
      </c>
      <c r="I66" s="206">
        <v>11</v>
      </c>
      <c r="J66" s="206" t="s">
        <v>130</v>
      </c>
      <c r="K66" s="206" t="s">
        <v>137</v>
      </c>
      <c r="L66" s="206" t="s">
        <v>179</v>
      </c>
      <c r="M66" s="206" t="s">
        <v>179</v>
      </c>
      <c r="N66" s="345">
        <v>15000</v>
      </c>
      <c r="O66" s="346">
        <f>ROUND(N66*G66,-4)</f>
        <v>3670000</v>
      </c>
      <c r="P66" s="347">
        <f>O66*0.9</f>
        <v>3303000</v>
      </c>
      <c r="Q66" s="345" t="s">
        <v>180</v>
      </c>
      <c r="R66" s="345" t="s">
        <v>180</v>
      </c>
      <c r="S66" s="345"/>
      <c r="T66" s="345"/>
      <c r="U66" s="214">
        <v>0.45</v>
      </c>
      <c r="V66" s="214">
        <v>0.9</v>
      </c>
      <c r="W66" s="206">
        <v>101298628</v>
      </c>
      <c r="X66" s="206"/>
      <c r="Y66" s="206"/>
      <c r="Z66" s="206"/>
      <c r="AA66" s="213"/>
      <c r="AB66" s="210" t="s">
        <v>181</v>
      </c>
      <c r="AC66" s="207">
        <v>1232403027</v>
      </c>
      <c r="AD66" s="210" t="s">
        <v>318</v>
      </c>
      <c r="AE66" s="206" t="s">
        <v>319</v>
      </c>
      <c r="AF66" s="206"/>
      <c r="AG66" s="211"/>
      <c r="AH66" s="206"/>
      <c r="AI66" s="206"/>
      <c r="AJ66" s="211"/>
      <c r="AK66" s="206"/>
      <c r="AL66" s="206"/>
      <c r="AM66" s="211"/>
      <c r="AN66" s="212"/>
    </row>
    <row r="67" spans="1:40" ht="18" customHeight="1">
      <c r="A67" s="159" t="str">
        <f>F67&amp;H67&amp;I67</f>
        <v>SULTANÇAYIR 0977</v>
      </c>
      <c r="B67" s="247" t="s">
        <v>150</v>
      </c>
      <c r="C67" s="251"/>
      <c r="D67" s="226" t="s">
        <v>14</v>
      </c>
      <c r="E67" s="226" t="s">
        <v>15</v>
      </c>
      <c r="F67" s="226" t="s">
        <v>113</v>
      </c>
      <c r="G67" s="226">
        <v>643.07000000000005</v>
      </c>
      <c r="H67" s="226">
        <v>0</v>
      </c>
      <c r="I67" s="226">
        <v>977</v>
      </c>
      <c r="J67" s="226" t="s">
        <v>130</v>
      </c>
      <c r="K67" s="206" t="s">
        <v>137</v>
      </c>
      <c r="L67" s="226" t="s">
        <v>179</v>
      </c>
      <c r="M67" s="226" t="s">
        <v>179</v>
      </c>
      <c r="N67" s="349"/>
      <c r="O67" s="349"/>
      <c r="P67" s="349"/>
      <c r="Q67" s="349"/>
      <c r="R67" s="349"/>
      <c r="S67" s="349"/>
      <c r="T67" s="349"/>
      <c r="U67" s="227"/>
      <c r="V67" s="227"/>
      <c r="W67" s="206"/>
      <c r="X67" s="226"/>
      <c r="Y67" s="226"/>
      <c r="Z67" s="226"/>
      <c r="AA67" s="226"/>
      <c r="AB67" s="226"/>
      <c r="AC67" s="207"/>
      <c r="AD67" s="210"/>
      <c r="AE67" s="226" t="s">
        <v>293</v>
      </c>
      <c r="AF67" s="226"/>
      <c r="AG67" s="228"/>
      <c r="AH67" s="226"/>
      <c r="AI67" s="226"/>
      <c r="AJ67" s="228"/>
      <c r="AK67" s="226"/>
      <c r="AL67" s="226"/>
      <c r="AM67" s="228"/>
      <c r="AN67" s="212"/>
    </row>
    <row r="68" spans="1:40" ht="18" customHeight="1">
      <c r="A68" s="159" t="str">
        <f>F68&amp;H68&amp;I68</f>
        <v>DİNKÇİLER131316</v>
      </c>
      <c r="B68" s="247" t="s">
        <v>148</v>
      </c>
      <c r="C68" s="251" t="s">
        <v>197</v>
      </c>
      <c r="D68" s="206" t="s">
        <v>14</v>
      </c>
      <c r="E68" s="206" t="s">
        <v>79</v>
      </c>
      <c r="F68" s="206" t="s">
        <v>80</v>
      </c>
      <c r="G68" s="206">
        <v>307.69</v>
      </c>
      <c r="H68" s="206">
        <v>13131</v>
      </c>
      <c r="I68" s="341">
        <v>6</v>
      </c>
      <c r="J68" s="206" t="s">
        <v>130</v>
      </c>
      <c r="K68" s="206" t="s">
        <v>137</v>
      </c>
      <c r="L68" s="206" t="s">
        <v>179</v>
      </c>
      <c r="M68" s="242" t="s">
        <v>202</v>
      </c>
      <c r="N68" s="345">
        <v>20000</v>
      </c>
      <c r="O68" s="346">
        <f>ROUND(N68*G68,-4)</f>
        <v>6150000</v>
      </c>
      <c r="P68" s="347">
        <f>O68*0.9</f>
        <v>5535000</v>
      </c>
      <c r="Q68" s="345"/>
      <c r="R68" s="345"/>
      <c r="S68" s="345"/>
      <c r="T68" s="345"/>
      <c r="U68" s="214">
        <v>0.4</v>
      </c>
      <c r="V68" s="214">
        <v>1.2</v>
      </c>
      <c r="W68" s="206">
        <v>2</v>
      </c>
      <c r="X68" s="206"/>
      <c r="Y68" s="206"/>
      <c r="Z68" s="206"/>
      <c r="AA68" s="224"/>
      <c r="AB68" s="210" t="s">
        <v>277</v>
      </c>
      <c r="AC68" s="207" t="s">
        <v>320</v>
      </c>
      <c r="AD68" s="210"/>
      <c r="AE68" s="206"/>
      <c r="AF68" s="206"/>
      <c r="AG68" s="211"/>
      <c r="AH68" s="206"/>
      <c r="AI68" s="206"/>
      <c r="AJ68" s="211"/>
      <c r="AK68" s="206"/>
      <c r="AL68" s="206"/>
      <c r="AM68" s="228"/>
      <c r="AN68" s="212" t="s">
        <v>196</v>
      </c>
    </row>
    <row r="69" spans="1:40" ht="18" customHeight="1">
      <c r="A69" s="159" t="str">
        <f>F69&amp;H69&amp;I69</f>
        <v>NAİPLİ1135</v>
      </c>
      <c r="B69" s="247" t="s">
        <v>150</v>
      </c>
      <c r="C69" s="251"/>
      <c r="D69" s="206" t="s">
        <v>14</v>
      </c>
      <c r="E69" s="206" t="s">
        <v>23</v>
      </c>
      <c r="F69" s="206" t="s">
        <v>27</v>
      </c>
      <c r="G69" s="206">
        <v>987.78</v>
      </c>
      <c r="H69" s="206">
        <v>113</v>
      </c>
      <c r="I69" s="341">
        <v>5</v>
      </c>
      <c r="J69" s="206" t="s">
        <v>130</v>
      </c>
      <c r="K69" s="206" t="s">
        <v>137</v>
      </c>
      <c r="L69" s="206" t="s">
        <v>201</v>
      </c>
      <c r="M69" s="242" t="s">
        <v>190</v>
      </c>
      <c r="N69" s="345">
        <v>6000</v>
      </c>
      <c r="O69" s="346">
        <f>ROUND(N69*G69,-4)</f>
        <v>5930000</v>
      </c>
      <c r="P69" s="347">
        <f>O69*0.9</f>
        <v>5337000</v>
      </c>
      <c r="Q69" s="345"/>
      <c r="R69" s="345"/>
      <c r="S69" s="345"/>
      <c r="T69" s="345"/>
      <c r="U69" s="214">
        <v>0.25</v>
      </c>
      <c r="V69" s="214">
        <v>0.5</v>
      </c>
      <c r="W69" s="206"/>
      <c r="X69" s="206" t="s">
        <v>227</v>
      </c>
      <c r="Y69" s="206"/>
      <c r="Z69" s="206"/>
      <c r="AA69" s="206"/>
      <c r="AB69" s="210" t="s">
        <v>181</v>
      </c>
      <c r="AC69" s="207">
        <v>1232403029</v>
      </c>
      <c r="AD69" s="210" t="s">
        <v>321</v>
      </c>
      <c r="AE69" s="206" t="s">
        <v>237</v>
      </c>
      <c r="AF69" s="206"/>
      <c r="AG69" s="211"/>
      <c r="AH69" s="206"/>
      <c r="AI69" s="206"/>
      <c r="AJ69" s="211"/>
      <c r="AK69" s="206"/>
      <c r="AL69" s="206"/>
      <c r="AM69" s="211"/>
      <c r="AN69" s="212"/>
    </row>
    <row r="70" spans="1:40" ht="18" customHeight="1">
      <c r="A70" s="159" t="str">
        <f>F70&amp;H70&amp;I70</f>
        <v>TATLIPINAR17818</v>
      </c>
      <c r="B70" s="247" t="s">
        <v>149</v>
      </c>
      <c r="C70" s="251"/>
      <c r="D70" s="206" t="s">
        <v>14</v>
      </c>
      <c r="E70" s="206" t="s">
        <v>23</v>
      </c>
      <c r="F70" s="206" t="s">
        <v>72</v>
      </c>
      <c r="G70" s="206">
        <v>623.92999999999995</v>
      </c>
      <c r="H70" s="342">
        <v>178</v>
      </c>
      <c r="I70" s="206">
        <v>18</v>
      </c>
      <c r="J70" s="206" t="s">
        <v>130</v>
      </c>
      <c r="K70" s="206" t="s">
        <v>137</v>
      </c>
      <c r="L70" s="206" t="s">
        <v>189</v>
      </c>
      <c r="M70" s="215" t="s">
        <v>200</v>
      </c>
      <c r="N70" s="345">
        <v>3000</v>
      </c>
      <c r="O70" s="346">
        <f>ROUND(N70*G70,-4)</f>
        <v>1870000</v>
      </c>
      <c r="P70" s="347">
        <f>O70*0.9</f>
        <v>1683000</v>
      </c>
      <c r="Q70" s="345" t="s">
        <v>180</v>
      </c>
      <c r="R70" s="345" t="s">
        <v>180</v>
      </c>
      <c r="S70" s="345"/>
      <c r="T70" s="345"/>
      <c r="U70" s="214">
        <v>0.4</v>
      </c>
      <c r="V70" s="214">
        <v>0.5</v>
      </c>
      <c r="W70" s="206">
        <v>64213775</v>
      </c>
      <c r="X70" s="206" t="s">
        <v>211</v>
      </c>
      <c r="Y70" s="206"/>
      <c r="Z70" s="206"/>
      <c r="AA70" s="224"/>
      <c r="AB70" s="210" t="s">
        <v>181</v>
      </c>
      <c r="AC70" s="207">
        <v>1294812542</v>
      </c>
      <c r="AD70" s="210"/>
      <c r="AE70" s="206" t="s">
        <v>183</v>
      </c>
      <c r="AF70" s="206"/>
      <c r="AG70" s="211"/>
      <c r="AH70" s="206" t="s">
        <v>308</v>
      </c>
      <c r="AI70" s="206"/>
      <c r="AJ70" s="211"/>
      <c r="AK70" s="206"/>
      <c r="AL70" s="206"/>
      <c r="AM70" s="211"/>
      <c r="AN70" s="212"/>
    </row>
    <row r="71" spans="1:40" ht="18" customHeight="1">
      <c r="A71" s="159" t="str">
        <f>F71&amp;H71&amp;I71</f>
        <v>TOYBELEN12014</v>
      </c>
      <c r="B71" s="247" t="s">
        <v>149</v>
      </c>
      <c r="C71" s="251" t="s">
        <v>197</v>
      </c>
      <c r="D71" s="206" t="s">
        <v>14</v>
      </c>
      <c r="E71" s="206" t="s">
        <v>23</v>
      </c>
      <c r="F71" s="206" t="s">
        <v>59</v>
      </c>
      <c r="G71" s="206">
        <v>815.21</v>
      </c>
      <c r="H71" s="206">
        <v>120</v>
      </c>
      <c r="I71" s="206">
        <v>14</v>
      </c>
      <c r="J71" s="206" t="s">
        <v>130</v>
      </c>
      <c r="K71" s="206" t="s">
        <v>138</v>
      </c>
      <c r="L71" s="206" t="s">
        <v>189</v>
      </c>
      <c r="M71" s="206" t="s">
        <v>200</v>
      </c>
      <c r="N71" s="345">
        <v>2000</v>
      </c>
      <c r="O71" s="346">
        <f>ROUND(N71*G71,-4)</f>
        <v>1630000</v>
      </c>
      <c r="P71" s="347">
        <f>O71*0.9</f>
        <v>1467000</v>
      </c>
      <c r="Q71" s="345" t="s">
        <v>180</v>
      </c>
      <c r="R71" s="345" t="s">
        <v>180</v>
      </c>
      <c r="S71" s="345"/>
      <c r="T71" s="345"/>
      <c r="U71" s="214">
        <v>0.4</v>
      </c>
      <c r="V71" s="214">
        <v>0.5</v>
      </c>
      <c r="W71" s="206"/>
      <c r="X71" s="206" t="s">
        <v>285</v>
      </c>
      <c r="Y71" s="206"/>
      <c r="Z71" s="206"/>
      <c r="AA71" s="224"/>
      <c r="AB71" s="210" t="s">
        <v>181</v>
      </c>
      <c r="AC71" s="207">
        <v>1232389143</v>
      </c>
      <c r="AD71" s="210" t="s">
        <v>322</v>
      </c>
      <c r="AE71" s="206" t="s">
        <v>323</v>
      </c>
      <c r="AF71" s="206"/>
      <c r="AG71" s="211"/>
      <c r="AH71" s="206"/>
      <c r="AI71" s="206"/>
      <c r="AJ71" s="211"/>
      <c r="AK71" s="206"/>
      <c r="AL71" s="206"/>
      <c r="AM71" s="211"/>
      <c r="AN71" s="212"/>
    </row>
    <row r="72" spans="1:40" ht="18" customHeight="1">
      <c r="A72" s="159" t="str">
        <f>F72&amp;H72&amp;I72</f>
        <v>TURPLU1384</v>
      </c>
      <c r="B72" s="247" t="s">
        <v>150</v>
      </c>
      <c r="C72" s="251"/>
      <c r="D72" s="216" t="s">
        <v>14</v>
      </c>
      <c r="E72" s="216" t="s">
        <v>23</v>
      </c>
      <c r="F72" s="241" t="s">
        <v>60</v>
      </c>
      <c r="G72" s="220">
        <v>615.04999999999995</v>
      </c>
      <c r="H72" s="344">
        <v>138</v>
      </c>
      <c r="I72" s="216">
        <v>4</v>
      </c>
      <c r="J72" s="216" t="s">
        <v>130</v>
      </c>
      <c r="K72" s="206" t="s">
        <v>137</v>
      </c>
      <c r="L72" s="216" t="s">
        <v>179</v>
      </c>
      <c r="M72" s="243" t="s">
        <v>179</v>
      </c>
      <c r="N72" s="345">
        <v>3500</v>
      </c>
      <c r="O72" s="346">
        <f>ROUND(N72*G72,-4)</f>
        <v>2150000</v>
      </c>
      <c r="P72" s="347">
        <f>O72*0.9</f>
        <v>1935000</v>
      </c>
      <c r="Q72" s="346"/>
      <c r="R72" s="346"/>
      <c r="S72" s="346"/>
      <c r="T72" s="346"/>
      <c r="U72" s="220"/>
      <c r="V72" s="220"/>
      <c r="W72" s="216"/>
      <c r="X72" s="216" t="s">
        <v>211</v>
      </c>
      <c r="Y72" s="216"/>
      <c r="Z72" s="216"/>
      <c r="AA72" s="216"/>
      <c r="AB72" s="219"/>
      <c r="AC72" s="217">
        <v>1253856946</v>
      </c>
      <c r="AD72" s="221" t="s">
        <v>324</v>
      </c>
      <c r="AE72" s="216" t="s">
        <v>279</v>
      </c>
      <c r="AF72" s="216"/>
      <c r="AG72" s="222"/>
      <c r="AH72" s="216" t="s">
        <v>325</v>
      </c>
      <c r="AI72" s="216"/>
      <c r="AJ72" s="222"/>
      <c r="AK72" s="216"/>
      <c r="AL72" s="216"/>
      <c r="AM72" s="222"/>
      <c r="AN72" s="223"/>
    </row>
    <row r="73" spans="1:40" ht="18" customHeight="1">
      <c r="A73" s="159" t="str">
        <f>F73&amp;H73&amp;I73</f>
        <v>ÜMİTELİ01611</v>
      </c>
      <c r="B73" s="247" t="s">
        <v>145</v>
      </c>
      <c r="C73" s="251"/>
      <c r="D73" s="226" t="s">
        <v>14</v>
      </c>
      <c r="E73" s="226" t="s">
        <v>15</v>
      </c>
      <c r="F73" s="226" t="s">
        <v>62</v>
      </c>
      <c r="G73" s="226">
        <v>9025</v>
      </c>
      <c r="H73" s="226">
        <v>0</v>
      </c>
      <c r="I73" s="226">
        <v>1611</v>
      </c>
      <c r="J73" s="226" t="s">
        <v>217</v>
      </c>
      <c r="K73" s="206" t="s">
        <v>138</v>
      </c>
      <c r="L73" s="226" t="s">
        <v>189</v>
      </c>
      <c r="M73" s="226" t="s">
        <v>190</v>
      </c>
      <c r="N73" s="348">
        <v>350</v>
      </c>
      <c r="O73" s="346">
        <f>ROUND(N73*G73,-4)</f>
        <v>3160000</v>
      </c>
      <c r="P73" s="347">
        <f>O73*0.9</f>
        <v>2844000</v>
      </c>
      <c r="Q73" s="349"/>
      <c r="R73" s="346"/>
      <c r="S73" s="349"/>
      <c r="T73" s="346"/>
      <c r="U73" s="226"/>
      <c r="V73" s="226"/>
      <c r="W73" s="226">
        <v>52366850</v>
      </c>
      <c r="X73" s="226"/>
      <c r="Y73" s="226"/>
      <c r="Z73" s="226"/>
      <c r="AA73" s="226"/>
      <c r="AB73" s="226"/>
      <c r="AC73" s="226"/>
      <c r="AD73" s="226"/>
      <c r="AE73" s="226"/>
      <c r="AF73" s="226"/>
      <c r="AG73" s="228"/>
      <c r="AH73" s="226"/>
      <c r="AI73" s="226"/>
      <c r="AJ73" s="228"/>
      <c r="AK73" s="226"/>
      <c r="AL73" s="226"/>
      <c r="AM73" s="228"/>
      <c r="AN73" s="228"/>
    </row>
    <row r="74" spans="1:40" ht="18" customHeight="1">
      <c r="A74" s="159" t="str">
        <f>F74&amp;H74&amp;I74</f>
        <v>EYMİR1133872</v>
      </c>
      <c r="B74" s="247" t="s">
        <v>150</v>
      </c>
      <c r="C74" s="251"/>
      <c r="D74" s="226" t="s">
        <v>36</v>
      </c>
      <c r="E74" s="226" t="s">
        <v>326</v>
      </c>
      <c r="F74" s="226" t="s">
        <v>327</v>
      </c>
      <c r="G74" s="226">
        <v>94</v>
      </c>
      <c r="H74" s="226">
        <v>113387</v>
      </c>
      <c r="I74" s="226">
        <v>2</v>
      </c>
      <c r="J74" s="226" t="s">
        <v>246</v>
      </c>
      <c r="K74" s="206" t="s">
        <v>138</v>
      </c>
      <c r="L74" s="226" t="s">
        <v>201</v>
      </c>
      <c r="M74" s="226" t="s">
        <v>190</v>
      </c>
      <c r="N74" s="347">
        <v>40106</v>
      </c>
      <c r="O74" s="347">
        <v>3770000</v>
      </c>
      <c r="P74" s="347">
        <v>3600000</v>
      </c>
      <c r="Q74" s="349"/>
      <c r="R74" s="349"/>
      <c r="S74" s="349"/>
      <c r="T74" s="349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8"/>
      <c r="AH74" s="226"/>
      <c r="AI74" s="226"/>
      <c r="AJ74" s="228"/>
      <c r="AK74" s="226"/>
      <c r="AL74" s="226"/>
      <c r="AM74" s="228"/>
      <c r="AN74" s="228"/>
    </row>
    <row r="75" spans="1:40" ht="18" customHeight="1">
      <c r="A75" s="159" t="str">
        <f>F75&amp;H75&amp;I75</f>
        <v>KARAKÖY01710</v>
      </c>
      <c r="B75" s="247" t="s">
        <v>147</v>
      </c>
      <c r="C75" s="251"/>
      <c r="D75" s="206" t="s">
        <v>49</v>
      </c>
      <c r="E75" s="206" t="s">
        <v>68</v>
      </c>
      <c r="F75" s="206" t="s">
        <v>69</v>
      </c>
      <c r="G75" s="206">
        <v>306.5</v>
      </c>
      <c r="H75" s="342">
        <v>0</v>
      </c>
      <c r="I75" s="206">
        <v>1710</v>
      </c>
      <c r="J75" s="206" t="s">
        <v>130</v>
      </c>
      <c r="K75" s="206" t="s">
        <v>137</v>
      </c>
      <c r="L75" s="206" t="s">
        <v>189</v>
      </c>
      <c r="M75" s="206" t="s">
        <v>238</v>
      </c>
      <c r="N75" s="345">
        <v>2500</v>
      </c>
      <c r="O75" s="346">
        <f>ROUND(N75*G75,-4)</f>
        <v>770000</v>
      </c>
      <c r="P75" s="347">
        <f>O75*0.9</f>
        <v>693000</v>
      </c>
      <c r="Q75" s="345" t="s">
        <v>180</v>
      </c>
      <c r="R75" s="345" t="s">
        <v>180</v>
      </c>
      <c r="S75" s="345"/>
      <c r="T75" s="345"/>
      <c r="U75" s="214">
        <v>0.4</v>
      </c>
      <c r="V75" s="214">
        <v>0.8</v>
      </c>
      <c r="W75" s="206">
        <v>98340705</v>
      </c>
      <c r="X75" s="206"/>
      <c r="Y75" s="206"/>
      <c r="Z75" s="206"/>
      <c r="AA75" s="224"/>
      <c r="AB75" s="213"/>
      <c r="AC75" s="207">
        <v>1237649650</v>
      </c>
      <c r="AD75" s="210" t="s">
        <v>328</v>
      </c>
      <c r="AE75" s="206" t="s">
        <v>282</v>
      </c>
      <c r="AF75" s="206"/>
      <c r="AG75" s="211"/>
      <c r="AH75" s="206"/>
      <c r="AI75" s="206"/>
      <c r="AJ75" s="211"/>
      <c r="AK75" s="206"/>
      <c r="AL75" s="206"/>
      <c r="AM75" s="211"/>
      <c r="AN75" s="212" t="s">
        <v>196</v>
      </c>
    </row>
    <row r="76" spans="1:40" ht="18" customHeight="1">
      <c r="A76" s="159" t="str">
        <f>F76&amp;H76&amp;I76</f>
        <v>YAYLACIK1416</v>
      </c>
      <c r="B76" s="247" t="s">
        <v>150</v>
      </c>
      <c r="C76" s="251"/>
      <c r="D76" s="206" t="s">
        <v>14</v>
      </c>
      <c r="E76" s="206" t="s">
        <v>23</v>
      </c>
      <c r="F76" s="206" t="s">
        <v>110</v>
      </c>
      <c r="G76" s="206">
        <v>905.42</v>
      </c>
      <c r="H76" s="342">
        <v>141</v>
      </c>
      <c r="I76" s="206">
        <v>6</v>
      </c>
      <c r="J76" s="206" t="s">
        <v>130</v>
      </c>
      <c r="K76" s="206" t="s">
        <v>137</v>
      </c>
      <c r="L76" s="206" t="s">
        <v>179</v>
      </c>
      <c r="M76" s="242" t="s">
        <v>179</v>
      </c>
      <c r="N76" s="345"/>
      <c r="O76" s="345"/>
      <c r="P76" s="345"/>
      <c r="Q76" s="345"/>
      <c r="R76" s="345"/>
      <c r="S76" s="345"/>
      <c r="T76" s="345"/>
      <c r="U76" s="214"/>
      <c r="V76" s="214"/>
      <c r="W76" s="206"/>
      <c r="X76" s="206"/>
      <c r="Y76" s="206"/>
      <c r="Z76" s="206"/>
      <c r="AA76" s="206"/>
      <c r="AB76" s="213"/>
      <c r="AC76" s="207"/>
      <c r="AD76" s="210"/>
      <c r="AE76" s="206" t="s">
        <v>329</v>
      </c>
      <c r="AF76" s="206"/>
      <c r="AG76" s="211"/>
      <c r="AH76" s="206"/>
      <c r="AI76" s="206"/>
      <c r="AJ76" s="211"/>
      <c r="AK76" s="206"/>
      <c r="AL76" s="206"/>
      <c r="AM76" s="211"/>
      <c r="AN76" s="212"/>
    </row>
    <row r="77" spans="1:40" ht="18" customHeight="1">
      <c r="G77"/>
      <c r="H77"/>
      <c r="AA77"/>
      <c r="AC77"/>
      <c r="AD77"/>
      <c r="AG77"/>
      <c r="AJ77"/>
      <c r="AM77"/>
      <c r="AN77"/>
    </row>
    <row r="78" spans="1:40" ht="18" customHeight="1">
      <c r="G78"/>
      <c r="H78"/>
      <c r="AA78"/>
      <c r="AC78"/>
      <c r="AD78"/>
      <c r="AG78"/>
      <c r="AJ78"/>
      <c r="AM78"/>
      <c r="AN78"/>
    </row>
    <row r="79" spans="1:40" ht="18" customHeight="1">
      <c r="G79"/>
      <c r="H79"/>
      <c r="AA79"/>
      <c r="AC79"/>
      <c r="AD79"/>
      <c r="AG79"/>
      <c r="AJ79"/>
      <c r="AM79"/>
      <c r="AN79"/>
    </row>
    <row r="80" spans="1:40" ht="18" customHeight="1">
      <c r="G80"/>
      <c r="H80"/>
      <c r="AA80"/>
      <c r="AC80"/>
      <c r="AD80"/>
      <c r="AG80"/>
      <c r="AJ80"/>
      <c r="AM80"/>
      <c r="AN80"/>
    </row>
    <row r="81" customFormat="1" ht="18" customHeight="1"/>
    <row r="82" customFormat="1" ht="18" customHeight="1"/>
    <row r="83" customFormat="1" ht="18" customHeight="1"/>
    <row r="84" customFormat="1" ht="18" customHeight="1"/>
    <row r="85" customFormat="1" ht="18" customHeight="1"/>
    <row r="86" customFormat="1" ht="18" customHeight="1"/>
    <row r="87" customFormat="1" ht="18" customHeight="1"/>
    <row r="88" customFormat="1" ht="18" customHeight="1"/>
    <row r="89" customFormat="1" ht="18" customHeight="1"/>
    <row r="90" customFormat="1" ht="18" customHeight="1"/>
    <row r="91" customFormat="1" ht="18" customHeight="1"/>
    <row r="92" customFormat="1" ht="18" customHeight="1"/>
    <row r="93" customFormat="1" ht="18" customHeight="1"/>
    <row r="94" customFormat="1" ht="18" customHeight="1"/>
    <row r="95" customFormat="1" ht="18" customHeight="1"/>
    <row r="96" customFormat="1" ht="18" customHeight="1"/>
    <row r="97" spans="13:13" customFormat="1" ht="18" customHeight="1"/>
    <row r="98" spans="13:13" customFormat="1" ht="18" customHeight="1"/>
    <row r="99" spans="13:13" customFormat="1" ht="18" customHeight="1"/>
    <row r="100" spans="13:13" customFormat="1" ht="18" customHeight="1"/>
    <row r="101" spans="13:13" customFormat="1" ht="18" customHeight="1"/>
    <row r="102" spans="13:13" customFormat="1" ht="18" customHeight="1"/>
    <row r="103" spans="13:13" customFormat="1" ht="18" customHeight="1"/>
    <row r="104" spans="13:13" customFormat="1" ht="18" customHeight="1"/>
    <row r="105" spans="13:13" customFormat="1" ht="18" customHeight="1"/>
    <row r="106" spans="13:13" customFormat="1" ht="18" customHeight="1"/>
    <row r="107" spans="13:13" customFormat="1" ht="18" customHeight="1"/>
    <row r="108" spans="13:13" customFormat="1" ht="18" customHeight="1"/>
    <row r="109" spans="13:13" customFormat="1" ht="18" customHeight="1"/>
    <row r="110" spans="13:13" customFormat="1" ht="18" customHeight="1"/>
    <row r="111" spans="13:13" customFormat="1" ht="18" customHeight="1"/>
    <row r="112" spans="13:13" customFormat="1" ht="18" customHeight="1"/>
    <row r="113" customFormat="1" ht="18" customHeight="1"/>
    <row r="114" customFormat="1" ht="18" customHeight="1"/>
    <row r="115" customFormat="1" ht="18" customHeight="1"/>
    <row r="116" customFormat="1" ht="18" customHeight="1"/>
    <row r="117" customFormat="1" ht="18" customHeight="1"/>
    <row r="118" customFormat="1" ht="18" customHeight="1"/>
    <row r="119" customFormat="1" ht="18" customHeight="1"/>
    <row r="120" customFormat="1" ht="18" customHeight="1"/>
    <row r="121" customFormat="1" ht="18" customHeight="1"/>
    <row r="122" customFormat="1" ht="18" customHeight="1"/>
    <row r="123" customFormat="1" ht="18" customHeight="1"/>
    <row r="124" customFormat="1" ht="18" customHeight="1"/>
    <row r="125" customFormat="1" ht="18" customHeight="1"/>
    <row r="126" customFormat="1" ht="18" customHeight="1"/>
    <row r="127" customFormat="1" ht="18" customHeight="1"/>
    <row r="128" customFormat="1" ht="18" customHeight="1"/>
    <row r="129" spans="12:13" customFormat="1" ht="18" customHeight="1"/>
    <row r="130" spans="12:13" customFormat="1" ht="18" customHeight="1"/>
    <row r="131" spans="12:13" customFormat="1" ht="18" customHeight="1"/>
    <row r="132" spans="12:13" customFormat="1" ht="18" customHeight="1"/>
    <row r="133" spans="12:13" customFormat="1" ht="18" customHeight="1"/>
    <row r="134" spans="12:13" customFormat="1" ht="18" customHeight="1"/>
    <row r="135" spans="12:13" customFormat="1" ht="18" customHeight="1"/>
    <row r="136" spans="12:13" customFormat="1" ht="18" customHeight="1"/>
    <row r="137" spans="12:13" customFormat="1" ht="18" customHeight="1"/>
    <row r="138" spans="12:13" customFormat="1" ht="18" customHeight="1"/>
    <row r="139" spans="12:13" customFormat="1" ht="18" customHeight="1"/>
    <row r="140" spans="12:13" customFormat="1" ht="18" customHeight="1"/>
    <row r="141" spans="12:13" customFormat="1" ht="18" customHeight="1"/>
    <row r="142" spans="12:13" customFormat="1" ht="18" customHeight="1"/>
    <row r="143" spans="12:13" customFormat="1" ht="18" customHeight="1"/>
    <row r="144" spans="12:13" customFormat="1" ht="18" customHeight="1"/>
    <row r="145" spans="12:13" customFormat="1" ht="18" customHeight="1"/>
    <row r="146" spans="12:13" customFormat="1" ht="18" customHeight="1"/>
    <row r="147" spans="12:13" customFormat="1" ht="18" customHeight="1"/>
    <row r="148" spans="12:13" customFormat="1" ht="18" customHeight="1"/>
    <row r="149" spans="12:13" customFormat="1" ht="18" customHeight="1"/>
    <row r="150" spans="12:13" customFormat="1" ht="18" customHeight="1"/>
    <row r="151" spans="12:13" customFormat="1" ht="18" customHeight="1"/>
    <row r="152" spans="12:13" customFormat="1" ht="18" customHeight="1"/>
    <row r="153" spans="12:13" customFormat="1" ht="18" customHeight="1"/>
    <row r="154" spans="12:13" customFormat="1" ht="18" customHeight="1"/>
    <row r="155" spans="12:13" customFormat="1" ht="18" customHeight="1"/>
    <row r="156" spans="12:13" customFormat="1" ht="18" customHeight="1"/>
    <row r="157" spans="12:13" customFormat="1" ht="18" customHeight="1"/>
    <row r="158" spans="12:13" customFormat="1" ht="18" customHeight="1"/>
    <row r="159" spans="12:13" customFormat="1" ht="18" customHeight="1"/>
    <row r="160" spans="12:13" customFormat="1" ht="18" customHeight="1"/>
    <row r="161" spans="12:13" customFormat="1" ht="18" customHeight="1"/>
    <row r="162" spans="12:13" customFormat="1" ht="18" customHeight="1"/>
    <row r="163" spans="12:13" customFormat="1" ht="18" customHeight="1"/>
    <row r="164" spans="12:13" customFormat="1" ht="18" customHeight="1"/>
    <row r="165" spans="12:13" customFormat="1" ht="18" customHeight="1"/>
    <row r="166" spans="12:13" customFormat="1" ht="18" customHeight="1"/>
    <row r="167" spans="12:13" customFormat="1" ht="18" customHeight="1"/>
    <row r="168" spans="12:13" customFormat="1" ht="18" customHeight="1"/>
    <row r="169" spans="12:13" customFormat="1" ht="18" customHeight="1"/>
    <row r="170" spans="12:13" customFormat="1" ht="18" customHeight="1"/>
    <row r="171" spans="12:13" customFormat="1" ht="18" customHeight="1"/>
    <row r="172" spans="12:13" customFormat="1" ht="18" customHeight="1"/>
    <row r="173" spans="12:13" customFormat="1" ht="18" customHeight="1"/>
    <row r="174" spans="12:13" customFormat="1" ht="18" customHeight="1"/>
    <row r="175" spans="12:13" customFormat="1" ht="18" customHeight="1"/>
    <row r="176" spans="12:13" customFormat="1" ht="18" customHeight="1"/>
    <row r="177" spans="12:22" customFormat="1" ht="18" customHeight="1"/>
    <row r="178" spans="12:22" customFormat="1" ht="18" customHeight="1"/>
    <row r="179" spans="12:22" customFormat="1" ht="18" customHeight="1"/>
    <row r="180" spans="12:22" customFormat="1" ht="18" customHeight="1"/>
    <row r="181" spans="12:22" customFormat="1" ht="18" customHeight="1"/>
    <row r="182" spans="12:22" customFormat="1" ht="18" customHeight="1"/>
    <row r="183" spans="12:22" customFormat="1" ht="18" customHeight="1"/>
    <row r="184" spans="12:22" customFormat="1" ht="18" customHeight="1"/>
    <row r="185" spans="12:22" customFormat="1" ht="18" customHeight="1"/>
    <row r="186" spans="12:22" customFormat="1" ht="18" customHeight="1"/>
    <row r="187" spans="12:22" customFormat="1" ht="18" customHeight="1"/>
    <row r="188" spans="12:22" customFormat="1" ht="18" customHeight="1"/>
    <row r="189" spans="12:22" customFormat="1" ht="18" customHeight="1"/>
    <row r="190" spans="12:22" customFormat="1" ht="18" customHeight="1"/>
    <row r="191" spans="12:22" customFormat="1" ht="18" customHeight="1"/>
    <row r="192" spans="12:22" customFormat="1" ht="18" customHeight="1"/>
    <row r="193" spans="12:22" customFormat="1" ht="18" customHeight="1"/>
    <row r="194" spans="12:22" customFormat="1" ht="18" customHeight="1"/>
    <row r="195" spans="12:22" customFormat="1" ht="18" customHeight="1"/>
    <row r="196" spans="12:22" customFormat="1" ht="18" customHeight="1"/>
    <row r="197" spans="12:22" customFormat="1" ht="18" customHeight="1"/>
    <row r="198" spans="12:22" customFormat="1" ht="18" customHeight="1"/>
    <row r="199" spans="12:22" customFormat="1" ht="18" customHeight="1"/>
    <row r="200" spans="12:22" customFormat="1" ht="18" customHeight="1"/>
    <row r="201" spans="12:22" customFormat="1" ht="18" customHeight="1"/>
    <row r="202" spans="12:22" customFormat="1" ht="18" customHeight="1"/>
    <row r="203" spans="12:22" customFormat="1" ht="18" customHeight="1"/>
    <row r="204" spans="12:22" customFormat="1" ht="18" customHeight="1"/>
    <row r="205" spans="12:22" customFormat="1" ht="18" customHeight="1"/>
    <row r="206" spans="12:22" customFormat="1" ht="18" customHeight="1"/>
    <row r="207" spans="12:22" customFormat="1" ht="18" customHeight="1"/>
    <row r="208" spans="12:22" customFormat="1" ht="18" customHeight="1"/>
    <row r="209" spans="12:13" customFormat="1" ht="18" customHeight="1"/>
    <row r="210" spans="12:13" customFormat="1" ht="18" customHeight="1"/>
    <row r="211" spans="12:13" customFormat="1" ht="18" customHeight="1"/>
    <row r="212" spans="12:13" customFormat="1" ht="18" customHeight="1"/>
    <row r="213" spans="12:13" customFormat="1" ht="18" customHeight="1"/>
    <row r="214" spans="12:13" customFormat="1" ht="18" customHeight="1"/>
    <row r="215" spans="12:13" customFormat="1" ht="18" customHeight="1"/>
    <row r="216" spans="12:13" customFormat="1" ht="18" customHeight="1"/>
    <row r="217" spans="12:13" customFormat="1" ht="18" customHeight="1"/>
    <row r="218" spans="12:13" customFormat="1" ht="18" customHeight="1"/>
    <row r="219" spans="12:13" customFormat="1" ht="18" customHeight="1"/>
    <row r="220" spans="12:13" customFormat="1" ht="18" customHeight="1"/>
    <row r="221" spans="12:13" customFormat="1" ht="18" customHeight="1"/>
    <row r="222" spans="12:13" customFormat="1" ht="18" customHeight="1"/>
    <row r="223" spans="12:13" customFormat="1" ht="18" customHeight="1"/>
    <row r="224" spans="12:13" customFormat="1" ht="18" customHeight="1"/>
    <row r="225" spans="12:13" customFormat="1" ht="18" customHeight="1"/>
    <row r="226" spans="12:13" customFormat="1" ht="18" customHeight="1"/>
    <row r="227" spans="12:13" customFormat="1" ht="18" customHeight="1"/>
    <row r="228" spans="12:13" customFormat="1" ht="18" customHeight="1"/>
    <row r="229" spans="12:13" customFormat="1" ht="18" customHeight="1"/>
    <row r="230" spans="12:13" customFormat="1" ht="18" customHeight="1"/>
    <row r="231" spans="12:13" customFormat="1" ht="18" customHeight="1"/>
    <row r="232" spans="12:13" customFormat="1" ht="18" customHeight="1"/>
    <row r="233" spans="12:13" customFormat="1" ht="18" customHeight="1"/>
    <row r="234" spans="12:13" customFormat="1" ht="18" customHeight="1"/>
    <row r="235" spans="12:13" customFormat="1" ht="18" customHeight="1"/>
    <row r="236" spans="12:13" customFormat="1" ht="18" customHeight="1"/>
    <row r="237" spans="12:13" customFormat="1" ht="18" customHeight="1"/>
    <row r="238" spans="12:13" customFormat="1" ht="18" customHeight="1"/>
    <row r="239" spans="12:13" customFormat="1" ht="18" customHeight="1"/>
    <row r="240" spans="12:13" customFormat="1" ht="18" customHeight="1"/>
    <row r="241" spans="12:13" customFormat="1" ht="18" customHeight="1"/>
    <row r="242" spans="12:13" customFormat="1" ht="18" customHeight="1"/>
    <row r="243" spans="12:13" customFormat="1" ht="18" customHeight="1"/>
    <row r="244" spans="12:13" customFormat="1" ht="18" customHeight="1"/>
    <row r="245" spans="12:13" customFormat="1" ht="18" customHeight="1"/>
    <row r="246" spans="12:13" customFormat="1" ht="18" customHeight="1"/>
    <row r="247" spans="12:13" customFormat="1" ht="18" customHeight="1"/>
    <row r="248" spans="12:13" customFormat="1" ht="18" customHeight="1"/>
    <row r="249" spans="12:13" customFormat="1" ht="18" customHeight="1"/>
    <row r="250" spans="12:13" customFormat="1" ht="18" customHeight="1"/>
    <row r="251" spans="12:13" customFormat="1" ht="18" customHeight="1"/>
    <row r="252" spans="12:13" customFormat="1" ht="18" customHeight="1"/>
    <row r="253" spans="12:13" customFormat="1" ht="18" customHeight="1"/>
    <row r="254" spans="12:13" customFormat="1" ht="18" customHeight="1"/>
    <row r="255" spans="12:13" customFormat="1" ht="18" customHeight="1"/>
    <row r="256" spans="12:13" customFormat="1" ht="18" customHeight="1"/>
    <row r="257" spans="12:29" customFormat="1" ht="18" customHeight="1"/>
    <row r="258" spans="12:29" customFormat="1" ht="18" customHeight="1"/>
    <row r="259" spans="12:29" customFormat="1" ht="18" customHeight="1"/>
    <row r="260" spans="12:29" customFormat="1" ht="18" customHeight="1"/>
    <row r="261" spans="12:29" customFormat="1" ht="18" customHeight="1"/>
    <row r="262" spans="12:29" customFormat="1" ht="18" customHeight="1"/>
    <row r="263" spans="12:29" customFormat="1" ht="18" customHeight="1"/>
    <row r="264" spans="12:29" customFormat="1" ht="18" customHeight="1"/>
    <row r="265" spans="12:29" customFormat="1" ht="18" customHeight="1"/>
    <row r="266" spans="12:29" customFormat="1" ht="18" customHeight="1"/>
    <row r="267" spans="12:29" customFormat="1" ht="18" customHeight="1"/>
    <row r="268" spans="12:29" customFormat="1" ht="18" customHeight="1"/>
    <row r="269" spans="12:29" customFormat="1" ht="18" customHeight="1"/>
    <row r="270" spans="12:29" customFormat="1" ht="18" customHeight="1"/>
    <row r="271" spans="12:29" customFormat="1" ht="18" customHeight="1"/>
    <row r="272" spans="12:29" customFormat="1" ht="18" customHeight="1"/>
    <row r="273" spans="12:13" customFormat="1" ht="18" customHeight="1"/>
    <row r="274" spans="12:13" customFormat="1" ht="18" customHeight="1"/>
    <row r="275" spans="12:13" customFormat="1" ht="18" customHeight="1"/>
    <row r="276" spans="12:13" customFormat="1" ht="18" customHeight="1"/>
    <row r="277" spans="12:13" customFormat="1" ht="18" customHeight="1"/>
    <row r="278" spans="12:13" customFormat="1" ht="18" customHeight="1"/>
    <row r="279" spans="12:13" customFormat="1" ht="18" customHeight="1"/>
    <row r="280" spans="12:13" customFormat="1" ht="18" customHeight="1"/>
    <row r="281" spans="12:13" customFormat="1" ht="18" customHeight="1"/>
    <row r="282" spans="12:13" customFormat="1" ht="18" customHeight="1"/>
    <row r="283" spans="12:13" customFormat="1" ht="18" customHeight="1"/>
    <row r="284" spans="12:13" customFormat="1" ht="18" customHeight="1"/>
    <row r="285" spans="12:13" customFormat="1" ht="18" customHeight="1"/>
    <row r="286" spans="12:13" customFormat="1" ht="18" customHeight="1"/>
    <row r="287" spans="12:13" customFormat="1" ht="18" customHeight="1"/>
    <row r="288" spans="12:13" customFormat="1" ht="18" customHeight="1"/>
    <row r="289" spans="12:13" customFormat="1" ht="18" customHeight="1"/>
    <row r="290" spans="12:13" customFormat="1" ht="18" customHeight="1"/>
    <row r="291" spans="12:13" customFormat="1" ht="18" customHeight="1"/>
    <row r="292" spans="12:13" customFormat="1" ht="18" customHeight="1"/>
    <row r="293" spans="12:13" customFormat="1" ht="18" customHeight="1"/>
    <row r="294" spans="12:13" customFormat="1" ht="18" customHeight="1"/>
    <row r="295" spans="12:13" customFormat="1" ht="18" customHeight="1"/>
    <row r="296" spans="12:13" customFormat="1" ht="18" customHeight="1"/>
    <row r="297" spans="12:13" customFormat="1" ht="18" customHeight="1"/>
    <row r="298" spans="12:13" customFormat="1" ht="18" customHeight="1"/>
    <row r="299" spans="12:13" customFormat="1" ht="18" customHeight="1"/>
    <row r="300" spans="12:13" customFormat="1" ht="18" customHeight="1"/>
    <row r="301" spans="12:13" customFormat="1" ht="18" customHeight="1"/>
    <row r="302" spans="12:13" customFormat="1" ht="18" customHeight="1"/>
    <row r="303" spans="12:13" customFormat="1" ht="18" customHeight="1"/>
    <row r="304" spans="12:13" customFormat="1" ht="18" customHeight="1"/>
    <row r="305" spans="12:13" customFormat="1" ht="18" customHeight="1"/>
    <row r="306" spans="12:13" customFormat="1" ht="18" customHeight="1"/>
    <row r="307" spans="12:13" customFormat="1" ht="18" customHeight="1"/>
    <row r="308" spans="12:13" customFormat="1" ht="18" customHeight="1"/>
    <row r="309" spans="12:13" customFormat="1" ht="18" customHeight="1"/>
    <row r="310" spans="12:13" customFormat="1" ht="18" customHeight="1"/>
    <row r="311" spans="12:13" customFormat="1" ht="18" customHeight="1"/>
    <row r="312" spans="12:13" customFormat="1" ht="18" customHeight="1"/>
    <row r="313" spans="12:13" customFormat="1" ht="18" customHeight="1"/>
    <row r="314" spans="12:13" customFormat="1" ht="18" customHeight="1"/>
    <row r="315" spans="12:13" customFormat="1" ht="18" customHeight="1"/>
    <row r="316" spans="12:13" customFormat="1" ht="18" customHeight="1"/>
    <row r="317" spans="12:13" customFormat="1" ht="18" customHeight="1"/>
    <row r="318" spans="12:13" customFormat="1" ht="18" customHeight="1"/>
    <row r="319" spans="12:13" customFormat="1" ht="18" customHeight="1"/>
    <row r="320" spans="12:13" customFormat="1" ht="18" customHeight="1"/>
    <row r="321" customFormat="1" ht="18" customHeight="1"/>
    <row r="322" customFormat="1" ht="18" customHeight="1"/>
    <row r="323" customFormat="1" ht="18" customHeight="1"/>
    <row r="324" customFormat="1" ht="18" customHeight="1"/>
    <row r="325" customFormat="1" ht="18" customHeight="1"/>
    <row r="326" customFormat="1" ht="18" customHeight="1"/>
    <row r="327" customFormat="1" ht="18" customHeight="1"/>
    <row r="328" customFormat="1" ht="18" customHeight="1"/>
    <row r="329" customFormat="1" ht="18" customHeight="1"/>
    <row r="330" customFormat="1" ht="18" customHeight="1"/>
    <row r="331" customFormat="1" ht="18" customHeight="1"/>
    <row r="332" customFormat="1" ht="18" customHeight="1"/>
    <row r="333" customFormat="1" ht="18" customHeight="1"/>
    <row r="334" customFormat="1" ht="18" customHeight="1"/>
    <row r="335" customFormat="1" ht="18" customHeight="1"/>
    <row r="336" customFormat="1" ht="18" customHeight="1"/>
    <row r="337" spans="12:13" customFormat="1" ht="18" customHeight="1"/>
    <row r="338" spans="12:13" customFormat="1" ht="18" customHeight="1"/>
    <row r="339" spans="12:13" customFormat="1" ht="18" customHeight="1"/>
    <row r="340" spans="12:13" customFormat="1" ht="18" customHeight="1"/>
    <row r="341" spans="12:13" customFormat="1" ht="18" customHeight="1"/>
    <row r="342" spans="12:13" customFormat="1" ht="18" customHeight="1"/>
    <row r="343" spans="12:13" customFormat="1" ht="18" customHeight="1"/>
    <row r="344" spans="12:13" customFormat="1" ht="18" customHeight="1"/>
    <row r="345" spans="12:13" customFormat="1" ht="18" customHeight="1"/>
    <row r="346" spans="12:13" customFormat="1" ht="18" customHeight="1"/>
    <row r="347" spans="12:13" customFormat="1" ht="18" customHeight="1"/>
    <row r="348" spans="12:13" customFormat="1" ht="18" customHeight="1"/>
    <row r="349" spans="12:13" customFormat="1" ht="18" customHeight="1"/>
    <row r="350" spans="12:13" customFormat="1" ht="18" customHeight="1"/>
    <row r="351" spans="12:13" customFormat="1" ht="18" customHeight="1"/>
    <row r="352" spans="12:13" customFormat="1" ht="18" customHeight="1"/>
    <row r="353" spans="13:13" customFormat="1" ht="18" customHeight="1"/>
    <row r="354" spans="13:13" customFormat="1" ht="18" customHeight="1"/>
    <row r="355" spans="13:13" customFormat="1" ht="18" customHeight="1"/>
    <row r="356" spans="13:13" customFormat="1" ht="18" customHeight="1"/>
    <row r="357" spans="13:13" customFormat="1" ht="18" customHeight="1"/>
    <row r="358" spans="13:13" customFormat="1" ht="18" customHeight="1"/>
    <row r="359" spans="13:13" customFormat="1" ht="18" customHeight="1"/>
    <row r="360" spans="13:13" customFormat="1" ht="18" customHeight="1"/>
    <row r="361" spans="13:13" customFormat="1" ht="18" customHeight="1"/>
    <row r="362" spans="13:13" customFormat="1" ht="18" customHeight="1"/>
    <row r="363" spans="13:13" customFormat="1" ht="18" customHeight="1"/>
    <row r="364" spans="13:13" customFormat="1" ht="18" customHeight="1"/>
    <row r="365" spans="13:13" customFormat="1" ht="18" customHeight="1"/>
    <row r="366" spans="13:13" customFormat="1" ht="18" customHeight="1"/>
    <row r="367" spans="13:13" customFormat="1" ht="18" customHeight="1"/>
    <row r="368" spans="13:13" customFormat="1" ht="18" customHeight="1"/>
    <row r="369" spans="12:13" customFormat="1" ht="18" customHeight="1"/>
    <row r="370" spans="12:13" customFormat="1" ht="18" customHeight="1"/>
    <row r="371" spans="12:13" customFormat="1" ht="18" customHeight="1"/>
    <row r="372" spans="12:13" customFormat="1" ht="18" customHeight="1"/>
    <row r="373" spans="12:13" customFormat="1" ht="18" customHeight="1"/>
    <row r="374" spans="12:13" customFormat="1" ht="18" customHeight="1"/>
    <row r="375" spans="12:13" customFormat="1" ht="18" customHeight="1"/>
    <row r="376" spans="12:13" customFormat="1" ht="18" customHeight="1"/>
    <row r="377" spans="12:13" customFormat="1" ht="18" customHeight="1"/>
    <row r="378" spans="12:13" customFormat="1" ht="18" customHeight="1"/>
    <row r="379" spans="12:13" customFormat="1" ht="18" customHeight="1"/>
    <row r="380" spans="12:13" customFormat="1" ht="18" customHeight="1"/>
    <row r="381" spans="12:13" customFormat="1" ht="18" customHeight="1"/>
    <row r="382" spans="12:13" customFormat="1" ht="18" customHeight="1"/>
    <row r="383" spans="12:13" customFormat="1" ht="18" customHeight="1"/>
    <row r="384" spans="12:13" customFormat="1" ht="18" customHeight="1"/>
    <row r="385" spans="13:13" customFormat="1" ht="18" customHeight="1"/>
    <row r="386" spans="13:13" customFormat="1" ht="18" customHeight="1"/>
    <row r="387" spans="13:13" customFormat="1" ht="18" customHeight="1"/>
    <row r="388" spans="13:13" customFormat="1" ht="18" customHeight="1"/>
    <row r="389" spans="13:13" customFormat="1" ht="18" customHeight="1"/>
    <row r="390" spans="13:13" customFormat="1" ht="18" customHeight="1"/>
    <row r="391" spans="13:13" customFormat="1" ht="18" customHeight="1"/>
    <row r="392" spans="13:13" customFormat="1" ht="18" customHeight="1"/>
    <row r="393" spans="13:13" customFormat="1" ht="18" customHeight="1"/>
    <row r="394" spans="13:13" customFormat="1" ht="18" customHeight="1"/>
    <row r="395" spans="13:13" customFormat="1" ht="18" customHeight="1"/>
    <row r="396" spans="13:13" customFormat="1" ht="18" customHeight="1"/>
    <row r="397" spans="13:13" customFormat="1" ht="18" customHeight="1"/>
    <row r="398" spans="13:13" customFormat="1" ht="18" customHeight="1"/>
    <row r="399" spans="13:13" customFormat="1" ht="18" customHeight="1"/>
    <row r="400" spans="13:13" customFormat="1" ht="18" customHeight="1"/>
    <row r="401" spans="13:13" customFormat="1" ht="18" customHeight="1"/>
    <row r="402" spans="13:13" customFormat="1" ht="18" customHeight="1"/>
    <row r="403" spans="13:13" customFormat="1" ht="18" customHeight="1"/>
    <row r="404" spans="13:13" customFormat="1" ht="18" customHeight="1"/>
    <row r="405" spans="13:13" customFormat="1" ht="18" customHeight="1"/>
    <row r="406" spans="13:13" customFormat="1" ht="18" customHeight="1"/>
    <row r="407" spans="13:13" customFormat="1" ht="18" customHeight="1"/>
    <row r="408" spans="13:13" customFormat="1" ht="18" customHeight="1"/>
    <row r="409" spans="13:13" customFormat="1" ht="18" customHeight="1"/>
    <row r="410" spans="13:13" customFormat="1" ht="18" customHeight="1"/>
    <row r="411" spans="13:13" customFormat="1" ht="18" customHeight="1"/>
    <row r="412" spans="13:13" customFormat="1" ht="18" customHeight="1"/>
    <row r="413" spans="13:13" customFormat="1" ht="18" customHeight="1"/>
    <row r="414" spans="13:13" customFormat="1" ht="18" customHeight="1"/>
    <row r="415" spans="13:13" customFormat="1" ht="18" customHeight="1"/>
    <row r="416" spans="13:13" customFormat="1" ht="18" customHeight="1"/>
    <row r="417" spans="13:27" customFormat="1" ht="18" customHeight="1"/>
    <row r="418" spans="13:27" customFormat="1" ht="18" customHeight="1"/>
    <row r="419" spans="13:27" customFormat="1" ht="18" customHeight="1"/>
    <row r="420" spans="13:27" customFormat="1" ht="18" customHeight="1"/>
    <row r="421" spans="13:27" customFormat="1" ht="18" customHeight="1"/>
    <row r="422" spans="13:27" customFormat="1" ht="18" customHeight="1"/>
    <row r="423" spans="13:27" customFormat="1" ht="18" customHeight="1"/>
    <row r="424" spans="13:27" customFormat="1" ht="18" customHeight="1"/>
    <row r="425" spans="13:27" customFormat="1" ht="18" customHeight="1"/>
    <row r="426" spans="13:27" customFormat="1" ht="18" customHeight="1"/>
    <row r="427" spans="13:27" customFormat="1" ht="18" customHeight="1"/>
    <row r="428" spans="13:27" customFormat="1" ht="18" customHeight="1"/>
    <row r="429" spans="13:27" customFormat="1" ht="18" customHeight="1"/>
    <row r="430" spans="13:27" customFormat="1" ht="18" customHeight="1"/>
    <row r="431" spans="13:27" customFormat="1" ht="18" customHeight="1"/>
    <row r="432" spans="13:27" customFormat="1" ht="18" customHeight="1"/>
    <row r="433" spans="12:13" customFormat="1" ht="18" customHeight="1"/>
    <row r="434" spans="12:13" customFormat="1" ht="18" customHeight="1"/>
    <row r="435" spans="12:13" customFormat="1" ht="18" customHeight="1"/>
    <row r="436" spans="12:13" customFormat="1" ht="18" customHeight="1"/>
    <row r="437" spans="12:13" customFormat="1" ht="18" customHeight="1"/>
    <row r="438" spans="12:13" customFormat="1" ht="18" customHeight="1"/>
    <row r="439" spans="12:13" customFormat="1" ht="18" customHeight="1"/>
    <row r="440" spans="12:13" customFormat="1" ht="18" customHeight="1"/>
    <row r="441" spans="12:13" customFormat="1" ht="18" customHeight="1"/>
    <row r="442" spans="12:13" customFormat="1" ht="18" customHeight="1"/>
    <row r="443" spans="12:13" customFormat="1" ht="18" customHeight="1"/>
    <row r="444" spans="12:13" customFormat="1" ht="18" customHeight="1"/>
    <row r="445" spans="12:13" customFormat="1" ht="18" customHeight="1"/>
    <row r="446" spans="12:13" customFormat="1" ht="18" customHeight="1"/>
    <row r="447" spans="12:13" customFormat="1" ht="18" customHeight="1"/>
    <row r="448" spans="12:13" customFormat="1" ht="18" customHeight="1"/>
    <row r="449" spans="12:12" customFormat="1" ht="18" customHeight="1"/>
    <row r="450" spans="12:12" customFormat="1" ht="18" customHeight="1"/>
    <row r="451" spans="12:12" customFormat="1" ht="18" customHeight="1"/>
    <row r="452" spans="12:12" customFormat="1" ht="18" customHeight="1"/>
    <row r="453" spans="12:12" customFormat="1" ht="18" customHeight="1"/>
    <row r="454" spans="12:12" customFormat="1" ht="18" customHeight="1"/>
    <row r="455" spans="12:12" customFormat="1" ht="18" customHeight="1"/>
    <row r="456" spans="12:12" customFormat="1" ht="18" customHeight="1"/>
    <row r="457" spans="12:12" customFormat="1" ht="18" customHeight="1"/>
    <row r="458" spans="12:12" customFormat="1" ht="18" customHeight="1"/>
    <row r="459" spans="12:12" customFormat="1" ht="18" customHeight="1"/>
    <row r="460" spans="12:12" customFormat="1" ht="18" customHeight="1"/>
    <row r="461" spans="12:12" customFormat="1" ht="18" customHeight="1"/>
    <row r="462" spans="12:12" customFormat="1" ht="18" customHeight="1"/>
    <row r="463" spans="12:12" customFormat="1" ht="18" customHeight="1"/>
    <row r="464" spans="12:12" customFormat="1" ht="18" customHeight="1"/>
    <row r="465" spans="12:12" customFormat="1" ht="18" customHeight="1"/>
    <row r="466" spans="12:12" customFormat="1" ht="18" customHeight="1"/>
    <row r="467" spans="12:12" customFormat="1" ht="18" customHeight="1"/>
    <row r="468" spans="12:12" customFormat="1" ht="18" customHeight="1"/>
    <row r="469" spans="12:12" customFormat="1" ht="18" customHeight="1"/>
    <row r="470" spans="12:12" customFormat="1" ht="18" customHeight="1"/>
    <row r="471" spans="12:12" customFormat="1" ht="18" customHeight="1"/>
    <row r="472" spans="12:12" customFormat="1" ht="18" customHeight="1"/>
    <row r="473" spans="12:12" customFormat="1" ht="18" customHeight="1"/>
    <row r="474" spans="12:12" customFormat="1" ht="18" customHeight="1"/>
    <row r="475" spans="12:12" customFormat="1" ht="18" customHeight="1"/>
    <row r="476" spans="12:12" customFormat="1" ht="18" customHeight="1"/>
    <row r="477" spans="12:12" customFormat="1" ht="18" customHeight="1"/>
    <row r="478" spans="12:12" customFormat="1" ht="18" customHeight="1"/>
    <row r="479" spans="12:12" customFormat="1" ht="18" customHeight="1"/>
    <row r="480" spans="12:12" customFormat="1" ht="18" customHeight="1"/>
    <row r="481" spans="12:13" customFormat="1" ht="18" customHeight="1"/>
    <row r="482" spans="12:13" customFormat="1" ht="18" customHeight="1"/>
    <row r="483" spans="12:13" customFormat="1" ht="18" customHeight="1"/>
    <row r="484" spans="12:13" customFormat="1" ht="18" customHeight="1"/>
    <row r="485" spans="12:13" customFormat="1" ht="18" customHeight="1"/>
    <row r="486" spans="12:13" customFormat="1" ht="18" customHeight="1"/>
    <row r="487" spans="12:13" customFormat="1" ht="18" customHeight="1"/>
    <row r="488" spans="12:13" customFormat="1" ht="18" customHeight="1"/>
    <row r="489" spans="12:13" customFormat="1" ht="18" customHeight="1"/>
    <row r="490" spans="12:13" customFormat="1" ht="18" customHeight="1"/>
    <row r="491" spans="12:13" customFormat="1" ht="18" customHeight="1"/>
    <row r="492" spans="12:13" customFormat="1" ht="18" customHeight="1"/>
    <row r="493" spans="12:13" customFormat="1" ht="18" customHeight="1"/>
    <row r="494" spans="12:13" customFormat="1" ht="18" customHeight="1"/>
    <row r="495" spans="12:13" customFormat="1" ht="18" customHeight="1"/>
    <row r="496" spans="12:13" customFormat="1" ht="18" customHeight="1"/>
    <row r="497" customFormat="1" ht="18" customHeight="1"/>
    <row r="498" customFormat="1" ht="18" customHeight="1"/>
    <row r="499" customFormat="1" ht="18" customHeight="1"/>
    <row r="500" customFormat="1" ht="18" customHeight="1"/>
    <row r="501" customFormat="1" ht="18" customHeight="1"/>
    <row r="502" customFormat="1" ht="18" customHeight="1"/>
    <row r="503" customFormat="1" ht="18" customHeight="1"/>
    <row r="504" customFormat="1" ht="18" customHeight="1"/>
    <row r="505" customFormat="1" ht="18" customHeight="1"/>
    <row r="506" customFormat="1" ht="18" customHeight="1"/>
    <row r="507" customFormat="1" ht="18" customHeight="1"/>
    <row r="508" customFormat="1" ht="18" customHeight="1"/>
    <row r="509" customFormat="1" ht="18" customHeight="1"/>
    <row r="510" customFormat="1" ht="18" customHeight="1"/>
    <row r="511" customFormat="1" ht="18" customHeight="1"/>
    <row r="512" customFormat="1" ht="18" customHeight="1"/>
    <row r="513" customFormat="1" ht="18" customHeight="1"/>
    <row r="514" customFormat="1" ht="18" customHeight="1"/>
    <row r="515" customFormat="1" ht="18" customHeight="1"/>
    <row r="516" customFormat="1" ht="18" customHeight="1"/>
    <row r="517" customFormat="1" ht="18" customHeight="1"/>
    <row r="518" customFormat="1" ht="18" customHeight="1"/>
    <row r="519" customFormat="1" ht="18" customHeight="1"/>
    <row r="520" customFormat="1" ht="18" customHeight="1"/>
    <row r="521" customFormat="1" ht="18" customHeight="1"/>
    <row r="522" customFormat="1" ht="18" customHeight="1"/>
    <row r="523" customFormat="1" ht="18" customHeight="1"/>
    <row r="524" customFormat="1" ht="18" customHeight="1"/>
    <row r="525" customFormat="1" ht="18" customHeight="1"/>
    <row r="526" customFormat="1" ht="18" customHeight="1"/>
    <row r="527" customFormat="1" ht="18" customHeight="1"/>
    <row r="528" customFormat="1" ht="18" customHeight="1"/>
    <row r="529" spans="13:13" customFormat="1" ht="18" customHeight="1"/>
    <row r="530" spans="13:13" customFormat="1" ht="18" customHeight="1"/>
    <row r="531" spans="13:13" customFormat="1" ht="18" customHeight="1"/>
    <row r="532" spans="13:13" customFormat="1" ht="18" customHeight="1"/>
    <row r="533" spans="13:13" customFormat="1" ht="18" customHeight="1"/>
    <row r="534" spans="13:13" customFormat="1" ht="18" customHeight="1"/>
    <row r="535" spans="13:13" customFormat="1" ht="18" customHeight="1"/>
    <row r="536" spans="13:13" customFormat="1" ht="18" customHeight="1"/>
    <row r="537" spans="13:13" customFormat="1" ht="18" customHeight="1"/>
    <row r="538" spans="13:13" customFormat="1" ht="18" customHeight="1"/>
    <row r="539" spans="13:13" customFormat="1" ht="18" customHeight="1"/>
    <row r="540" spans="13:13" customFormat="1" ht="18" customHeight="1"/>
    <row r="541" spans="13:13" customFormat="1" ht="18" customHeight="1"/>
    <row r="542" spans="13:13" customFormat="1" ht="18" customHeight="1"/>
    <row r="543" spans="13:13" customFormat="1" ht="18" customHeight="1"/>
    <row r="544" spans="13:13" customFormat="1" ht="18" customHeight="1"/>
    <row r="545" customFormat="1" ht="18" customHeight="1"/>
    <row r="546" customFormat="1" ht="18" customHeight="1"/>
    <row r="547" customFormat="1" ht="18" customHeight="1"/>
    <row r="548" customFormat="1" ht="18" customHeight="1"/>
    <row r="549" customFormat="1" ht="18" customHeight="1"/>
    <row r="550" customFormat="1" ht="18" customHeight="1"/>
    <row r="551" customFormat="1" ht="18" customHeight="1"/>
    <row r="552" customFormat="1" ht="18" customHeight="1"/>
    <row r="553" customFormat="1" ht="18" customHeight="1"/>
    <row r="554" customFormat="1" ht="18" customHeight="1"/>
    <row r="555" customFormat="1" ht="18" customHeight="1"/>
    <row r="556" customFormat="1" ht="18" customHeight="1"/>
    <row r="557" customFormat="1" ht="18" customHeight="1"/>
    <row r="558" customFormat="1" ht="18" customHeight="1"/>
    <row r="559" customFormat="1" ht="18" customHeight="1"/>
    <row r="560" customFormat="1" ht="18" customHeight="1"/>
    <row r="561" customFormat="1" ht="18" customHeight="1"/>
    <row r="562" customFormat="1" ht="18" customHeight="1"/>
    <row r="563" customFormat="1" ht="18" customHeight="1"/>
    <row r="564" customFormat="1" ht="18" customHeight="1"/>
    <row r="565" customFormat="1" ht="18" customHeight="1"/>
    <row r="566" customFormat="1" ht="18" customHeight="1"/>
    <row r="567" customFormat="1" ht="18" customHeight="1"/>
    <row r="568" customFormat="1" ht="18" customHeight="1"/>
    <row r="569" customFormat="1" ht="18" customHeight="1"/>
    <row r="570" customFormat="1" ht="18" customHeight="1"/>
    <row r="571" customFormat="1" ht="18" customHeight="1"/>
    <row r="572" customFormat="1" ht="18" customHeight="1"/>
    <row r="573" customFormat="1" ht="18" customHeight="1"/>
    <row r="574" customFormat="1" ht="18" customHeight="1"/>
    <row r="575" customFormat="1" ht="18" customHeight="1"/>
    <row r="576" customFormat="1" ht="18" customHeight="1"/>
    <row r="577" spans="13:13" customFormat="1" ht="18" customHeight="1"/>
    <row r="578" spans="13:13" customFormat="1" ht="18" customHeight="1"/>
    <row r="579" spans="13:13" customFormat="1" ht="18" customHeight="1"/>
    <row r="580" spans="13:13" customFormat="1" ht="18" customHeight="1"/>
    <row r="581" spans="13:13" customFormat="1" ht="18" customHeight="1"/>
    <row r="582" spans="13:13" customFormat="1" ht="18" customHeight="1"/>
    <row r="583" spans="13:13" customFormat="1" ht="18" customHeight="1"/>
    <row r="584" spans="13:13" customFormat="1" ht="18" customHeight="1"/>
    <row r="585" spans="13:13" customFormat="1" ht="18" customHeight="1"/>
    <row r="586" spans="13:13" customFormat="1" ht="18" customHeight="1"/>
    <row r="587" spans="13:13" customFormat="1" ht="18" customHeight="1"/>
    <row r="588" spans="13:13" customFormat="1" ht="18" customHeight="1"/>
    <row r="589" spans="13:13" customFormat="1" ht="18" customHeight="1"/>
    <row r="590" spans="13:13" customFormat="1" ht="18" customHeight="1"/>
    <row r="591" spans="13:13" customFormat="1" ht="18" customHeight="1"/>
    <row r="592" spans="13:13" customFormat="1" ht="18" customHeight="1"/>
    <row r="593" spans="12:13" customFormat="1" ht="18" customHeight="1"/>
    <row r="594" spans="12:13" customFormat="1" ht="18" customHeight="1"/>
    <row r="595" spans="12:13" customFormat="1" ht="18" customHeight="1"/>
    <row r="596" spans="12:13" customFormat="1" ht="18" customHeight="1"/>
    <row r="597" spans="12:13" customFormat="1" ht="18" customHeight="1"/>
    <row r="598" spans="12:13" customFormat="1" ht="18" customHeight="1"/>
    <row r="599" spans="12:13" customFormat="1" ht="18" customHeight="1"/>
    <row r="600" spans="12:13" customFormat="1" ht="18" customHeight="1"/>
    <row r="601" spans="12:13" customFormat="1" ht="18" customHeight="1"/>
    <row r="602" spans="12:13" customFormat="1" ht="18" customHeight="1"/>
    <row r="603" spans="12:13" customFormat="1" ht="18" customHeight="1"/>
    <row r="604" spans="12:13" customFormat="1" ht="18" customHeight="1"/>
    <row r="605" spans="12:13" customFormat="1" ht="18" customHeight="1"/>
    <row r="606" spans="12:13" customFormat="1" ht="18" customHeight="1"/>
    <row r="607" spans="12:13" customFormat="1" ht="18" customHeight="1"/>
    <row r="608" spans="12:13" customFormat="1" ht="18" customHeight="1"/>
    <row r="609" spans="13:13" customFormat="1" ht="18" customHeight="1"/>
    <row r="610" spans="13:13" customFormat="1" ht="18" customHeight="1"/>
    <row r="611" spans="13:13" customFormat="1" ht="18" customHeight="1"/>
    <row r="612" spans="13:13" customFormat="1" ht="18" customHeight="1"/>
    <row r="613" spans="13:13" customFormat="1" ht="18" customHeight="1"/>
    <row r="614" spans="13:13" customFormat="1" ht="18" customHeight="1"/>
    <row r="615" spans="13:13" customFormat="1" ht="18" customHeight="1"/>
    <row r="616" spans="13:13" customFormat="1" ht="18" customHeight="1"/>
    <row r="617" spans="13:13" customFormat="1" ht="18" customHeight="1"/>
    <row r="618" spans="13:13" customFormat="1" ht="18" customHeight="1"/>
    <row r="619" spans="13:13" customFormat="1" ht="18" customHeight="1"/>
    <row r="620" spans="13:13" customFormat="1" ht="18" customHeight="1"/>
    <row r="621" spans="13:13" customFormat="1" ht="18" customHeight="1"/>
    <row r="622" spans="13:13" customFormat="1" ht="18" customHeight="1"/>
    <row r="623" spans="13:13" customFormat="1" ht="18" customHeight="1"/>
    <row r="624" spans="13:13" customFormat="1" ht="18" customHeight="1"/>
    <row r="625" spans="13:13" customFormat="1" ht="18" customHeight="1"/>
    <row r="626" spans="13:13" customFormat="1" ht="18" customHeight="1"/>
    <row r="627" spans="13:13" customFormat="1" ht="18" customHeight="1"/>
    <row r="628" spans="13:13" customFormat="1" ht="18" customHeight="1"/>
    <row r="629" spans="13:13" customFormat="1" ht="18" customHeight="1"/>
    <row r="630" spans="13:13" customFormat="1" ht="18" customHeight="1"/>
    <row r="631" spans="13:13" customFormat="1" ht="18" customHeight="1"/>
    <row r="632" spans="13:13" customFormat="1" ht="18" customHeight="1"/>
    <row r="633" spans="13:13" customFormat="1" ht="18" customHeight="1"/>
    <row r="634" spans="13:13" customFormat="1" ht="18" customHeight="1"/>
    <row r="635" spans="13:13" customFormat="1" ht="18" customHeight="1"/>
    <row r="636" spans="13:13" customFormat="1" ht="18" customHeight="1"/>
    <row r="637" spans="13:13" customFormat="1" ht="18" customHeight="1"/>
    <row r="638" spans="13:13" customFormat="1" ht="18" customHeight="1"/>
    <row r="639" spans="13:13" customFormat="1" ht="18" customHeight="1"/>
    <row r="640" spans="13:13" customFormat="1" ht="18" customHeight="1"/>
    <row r="641" spans="13:13" customFormat="1" ht="18" customHeight="1"/>
    <row r="642" spans="13:13" customFormat="1" ht="18" customHeight="1"/>
    <row r="643" spans="13:13" customFormat="1" ht="18" customHeight="1"/>
    <row r="644" spans="13:13" customFormat="1" ht="18" customHeight="1"/>
    <row r="645" spans="13:13" customFormat="1" ht="18" customHeight="1"/>
    <row r="646" spans="13:13" customFormat="1" ht="18" customHeight="1"/>
    <row r="647" spans="13:13" customFormat="1" ht="18" customHeight="1"/>
    <row r="648" spans="13:13" customFormat="1" ht="18" customHeight="1"/>
    <row r="649" spans="13:13" customFormat="1" ht="18" customHeight="1"/>
    <row r="650" spans="13:13" customFormat="1" ht="18" customHeight="1"/>
    <row r="651" spans="13:13" customFormat="1" ht="18" customHeight="1"/>
    <row r="652" spans="13:13" customFormat="1" ht="18" customHeight="1"/>
    <row r="653" spans="13:13" customFormat="1" ht="18" customHeight="1"/>
    <row r="654" spans="13:13" customFormat="1" ht="18" customHeight="1"/>
    <row r="655" spans="13:13" customFormat="1" ht="18" customHeight="1"/>
    <row r="656" spans="13:13" customFormat="1" ht="18" customHeight="1"/>
    <row r="657" spans="13:22" customFormat="1" ht="18" customHeight="1"/>
    <row r="658" spans="13:22" customFormat="1" ht="18" customHeight="1"/>
    <row r="659" spans="13:22" customFormat="1" ht="18" customHeight="1"/>
    <row r="660" spans="13:22" customFormat="1" ht="18" customHeight="1"/>
    <row r="661" spans="13:22" customFormat="1" ht="18" customHeight="1"/>
    <row r="662" spans="13:22" customFormat="1" ht="18" customHeight="1"/>
    <row r="663" spans="13:22" customFormat="1" ht="18" customHeight="1"/>
    <row r="664" spans="13:22" customFormat="1" ht="18" customHeight="1"/>
    <row r="665" spans="13:22" customFormat="1" ht="18" customHeight="1"/>
    <row r="666" spans="13:22" customFormat="1" ht="18" customHeight="1"/>
    <row r="667" spans="13:22" customFormat="1" ht="18" customHeight="1"/>
    <row r="668" spans="13:22" customFormat="1" ht="18" customHeight="1"/>
    <row r="669" spans="13:22" customFormat="1" ht="18" customHeight="1"/>
    <row r="670" spans="13:22" customFormat="1" ht="18" customHeight="1"/>
    <row r="671" spans="13:22" customFormat="1" ht="18" customHeight="1"/>
    <row r="672" spans="13:22" customFormat="1" ht="18" customHeight="1"/>
    <row r="673" spans="12:13" customFormat="1" ht="18" customHeight="1"/>
    <row r="674" spans="12:13" customFormat="1" ht="18" customHeight="1"/>
    <row r="675" spans="12:13" customFormat="1" ht="18" customHeight="1"/>
    <row r="676" spans="12:13" customFormat="1" ht="18" customHeight="1"/>
    <row r="677" spans="12:13" customFormat="1" ht="18" customHeight="1"/>
    <row r="678" spans="12:13" customFormat="1" ht="18" customHeight="1"/>
    <row r="679" spans="12:13" customFormat="1" ht="18" customHeight="1"/>
    <row r="680" spans="12:13" customFormat="1" ht="18" customHeight="1"/>
    <row r="681" spans="12:13" customFormat="1" ht="18" customHeight="1"/>
    <row r="682" spans="12:13" customFormat="1" ht="18" customHeight="1"/>
    <row r="683" spans="12:13" customFormat="1" ht="18" customHeight="1"/>
    <row r="684" spans="12:13" customFormat="1" ht="18" customHeight="1"/>
    <row r="685" spans="12:13" customFormat="1" ht="14.4"/>
    <row r="686" spans="12:13" customFormat="1" ht="14.4"/>
    <row r="687" spans="12:13" customFormat="1" ht="14.4"/>
    <row r="688" spans="12:13" customFormat="1" ht="16.5" customHeight="1"/>
    <row r="689" spans="12:13" customFormat="1" ht="14.4"/>
    <row r="690" spans="12:13" customFormat="1" ht="14.4"/>
    <row r="691" spans="12:13" customFormat="1" ht="14.4"/>
    <row r="692" spans="12:13" customFormat="1" ht="15" customHeight="1"/>
    <row r="693" spans="12:13" customFormat="1" ht="15" customHeight="1"/>
    <row r="694" spans="12:13" customFormat="1" ht="15" customHeight="1"/>
    <row r="695" spans="12:13" customFormat="1" ht="15" customHeight="1"/>
    <row r="696" spans="12:13" customFormat="1" ht="15" customHeight="1"/>
    <row r="697" spans="12:13" customFormat="1" ht="15" customHeight="1"/>
    <row r="698" spans="12:13" customFormat="1" ht="15" customHeight="1"/>
    <row r="699" spans="12:13" customFormat="1" ht="15" customHeight="1"/>
    <row r="700" spans="12:13" customFormat="1" ht="15" customHeight="1"/>
    <row r="701" spans="12:13" customFormat="1" ht="15" customHeight="1"/>
    <row r="702" spans="12:13" customFormat="1" ht="15" customHeight="1"/>
    <row r="703" spans="12:13" customFormat="1" ht="15" customHeight="1"/>
    <row r="704" spans="12:13" customFormat="1" ht="15" customHeight="1"/>
    <row r="705" customFormat="1" ht="15" customHeight="1"/>
    <row r="706" customFormat="1" ht="15" customHeight="1"/>
    <row r="707" customFormat="1" ht="15" customHeight="1"/>
    <row r="708" customFormat="1" ht="15" customHeight="1"/>
    <row r="709" customFormat="1" ht="15" customHeight="1"/>
    <row r="710" customFormat="1" ht="15" customHeight="1"/>
    <row r="711" customFormat="1" ht="15" customHeight="1"/>
    <row r="712" customFormat="1" ht="15" customHeight="1"/>
    <row r="713" customFormat="1" ht="15" customHeight="1"/>
    <row r="714" customFormat="1" ht="15" customHeight="1"/>
    <row r="715" customFormat="1" ht="15" customHeight="1"/>
    <row r="716" customFormat="1" ht="15" customHeight="1"/>
    <row r="717" customFormat="1" ht="15" customHeight="1"/>
    <row r="718" customFormat="1" ht="15" customHeight="1"/>
    <row r="719" customFormat="1" ht="15" customHeight="1"/>
    <row r="720" customFormat="1" ht="15" customHeight="1"/>
    <row r="721" spans="12:13" customFormat="1" ht="15" customHeight="1"/>
    <row r="722" spans="12:13" customFormat="1" ht="15" customHeight="1"/>
    <row r="723" spans="12:13" customFormat="1" ht="15" customHeight="1"/>
    <row r="724" spans="12:13" customFormat="1" ht="15" customHeight="1"/>
    <row r="725" spans="12:13" customFormat="1" ht="15" customHeight="1"/>
    <row r="726" spans="12:13" customFormat="1" ht="15" customHeight="1"/>
    <row r="727" spans="12:13" customFormat="1" ht="15" customHeight="1"/>
    <row r="728" spans="12:13" customFormat="1" ht="15" customHeight="1"/>
    <row r="729" spans="12:13" customFormat="1" ht="15" customHeight="1"/>
    <row r="730" spans="12:13" customFormat="1" ht="15" customHeight="1"/>
    <row r="731" spans="12:13" customFormat="1" ht="15" customHeight="1"/>
    <row r="732" spans="12:13" customFormat="1" ht="15" customHeight="1"/>
    <row r="733" spans="12:13" customFormat="1" ht="15" customHeight="1"/>
    <row r="734" spans="12:13" customFormat="1" ht="15" customHeight="1"/>
    <row r="735" spans="12:13" customFormat="1" ht="15" customHeight="1"/>
    <row r="736" spans="12:13" customFormat="1" ht="15" customHeight="1"/>
    <row r="737" spans="12:13" customFormat="1" ht="15" customHeight="1"/>
    <row r="738" spans="12:13" customFormat="1" ht="15" customHeight="1"/>
    <row r="739" spans="12:13" customFormat="1" ht="15" customHeight="1"/>
    <row r="740" spans="12:13" customFormat="1" ht="15" customHeight="1"/>
    <row r="741" spans="12:13" customFormat="1" ht="15" customHeight="1"/>
    <row r="742" spans="12:13" customFormat="1" ht="15" customHeight="1"/>
    <row r="743" spans="12:13" customFormat="1" ht="15" customHeight="1"/>
    <row r="744" spans="12:13" customFormat="1" ht="15" customHeight="1"/>
    <row r="745" spans="12:13" customFormat="1" ht="15" customHeight="1"/>
    <row r="746" spans="12:13" customFormat="1" ht="15" customHeight="1"/>
    <row r="747" spans="12:13" customFormat="1" ht="15" customHeight="1"/>
    <row r="748" spans="12:13" customFormat="1" ht="15" customHeight="1"/>
    <row r="749" spans="12:13" customFormat="1" ht="15" customHeight="1"/>
    <row r="750" spans="12:13" customFormat="1" ht="15" customHeight="1"/>
    <row r="751" spans="12:13" customFormat="1" ht="15" customHeight="1"/>
    <row r="752" spans="12:13" customFormat="1" ht="15" customHeight="1"/>
    <row r="753" spans="12:31" customFormat="1" ht="15" customHeight="1"/>
    <row r="754" spans="12:31" customFormat="1" ht="15" customHeight="1"/>
    <row r="755" spans="12:31" customFormat="1" ht="15" customHeight="1"/>
    <row r="756" spans="12:31" customFormat="1" ht="15" customHeight="1"/>
    <row r="757" spans="12:31" customFormat="1" ht="15" customHeight="1"/>
    <row r="758" spans="12:31" customFormat="1" ht="15" customHeight="1"/>
    <row r="759" spans="12:31" customFormat="1" ht="15" customHeight="1"/>
    <row r="760" spans="12:31" customFormat="1" ht="15" customHeight="1"/>
    <row r="761" spans="12:31" customFormat="1" ht="15" customHeight="1"/>
    <row r="762" spans="12:31" customFormat="1" ht="15" customHeight="1"/>
    <row r="763" spans="12:31" customFormat="1" ht="15" customHeight="1"/>
    <row r="764" spans="12:31" customFormat="1" ht="15" customHeight="1"/>
    <row r="765" spans="12:31" customFormat="1" ht="15" customHeight="1"/>
    <row r="766" spans="12:31" customFormat="1" ht="15" customHeight="1"/>
    <row r="767" spans="12:31" customFormat="1" ht="15" customHeight="1"/>
    <row r="768" spans="12:31" customFormat="1" ht="15" customHeight="1"/>
    <row r="769" spans="12:13" customFormat="1" ht="15" customHeight="1"/>
    <row r="770" spans="12:13" customFormat="1" ht="15" customHeight="1"/>
    <row r="771" spans="12:13" customFormat="1" ht="15" customHeight="1"/>
    <row r="772" spans="12:13" customFormat="1" ht="15" customHeight="1"/>
    <row r="773" spans="12:13" customFormat="1" ht="15" customHeight="1"/>
    <row r="774" spans="12:13" customFormat="1" ht="15" customHeight="1"/>
    <row r="775" spans="12:13" customFormat="1" ht="15" customHeight="1"/>
    <row r="776" spans="12:13" customFormat="1" ht="15" customHeight="1"/>
    <row r="777" spans="12:13" customFormat="1" ht="15" customHeight="1"/>
    <row r="778" spans="12:13" customFormat="1" ht="15" customHeight="1"/>
    <row r="779" spans="12:13" customFormat="1" ht="15" customHeight="1"/>
    <row r="780" spans="12:13" customFormat="1" ht="15" customHeight="1"/>
    <row r="781" spans="12:13" customFormat="1" ht="15" customHeight="1"/>
    <row r="782" spans="12:13" customFormat="1" ht="15" customHeight="1"/>
    <row r="783" spans="12:13" customFormat="1" ht="15" customHeight="1"/>
    <row r="784" spans="12:13" customFormat="1" ht="15" customHeight="1"/>
    <row r="785" spans="1:40" ht="15" customHeight="1">
      <c r="G785"/>
      <c r="H785"/>
      <c r="AA785"/>
      <c r="AC785"/>
      <c r="AD785"/>
      <c r="AG785"/>
      <c r="AJ785"/>
      <c r="AM785"/>
      <c r="AN785"/>
    </row>
    <row r="786" spans="1:40" ht="15" customHeight="1">
      <c r="G786"/>
      <c r="H786"/>
      <c r="AA786"/>
      <c r="AC786"/>
      <c r="AD786"/>
      <c r="AG786"/>
      <c r="AJ786"/>
      <c r="AM786"/>
      <c r="AN786"/>
    </row>
    <row r="787" spans="1:40" ht="15" customHeight="1">
      <c r="G787"/>
      <c r="H787"/>
      <c r="AA787"/>
      <c r="AC787"/>
      <c r="AD787"/>
      <c r="AG787"/>
      <c r="AJ787"/>
      <c r="AM787"/>
      <c r="AN787"/>
    </row>
    <row r="788" spans="1:40" ht="15" customHeight="1">
      <c r="G788"/>
      <c r="H788"/>
      <c r="AA788"/>
      <c r="AC788"/>
      <c r="AD788"/>
      <c r="AG788"/>
      <c r="AJ788"/>
      <c r="AM788"/>
      <c r="AN788"/>
    </row>
    <row r="789" spans="1:40" ht="15" customHeight="1">
      <c r="G789"/>
      <c r="H789"/>
      <c r="AA789"/>
      <c r="AC789"/>
      <c r="AD789"/>
      <c r="AG789"/>
      <c r="AJ789"/>
      <c r="AM789"/>
      <c r="AN789"/>
    </row>
    <row r="790" spans="1:40" ht="15" customHeight="1">
      <c r="G790"/>
      <c r="H790"/>
      <c r="AA790"/>
      <c r="AC790"/>
      <c r="AD790"/>
      <c r="AG790"/>
      <c r="AJ790"/>
      <c r="AM790"/>
      <c r="AN790"/>
    </row>
    <row r="791" spans="1:40" ht="15" customHeight="1">
      <c r="G791"/>
      <c r="H791"/>
      <c r="AA791"/>
      <c r="AC791"/>
      <c r="AD791"/>
      <c r="AG791"/>
      <c r="AJ791"/>
      <c r="AM791"/>
      <c r="AN791"/>
    </row>
    <row r="792" spans="1:40" ht="15" customHeight="1">
      <c r="G792"/>
      <c r="H792"/>
      <c r="AA792"/>
      <c r="AC792"/>
      <c r="AD792"/>
      <c r="AG792"/>
      <c r="AJ792"/>
      <c r="AM792"/>
      <c r="AN792"/>
    </row>
    <row r="793" spans="1:40" ht="15" customHeight="1">
      <c r="G793"/>
      <c r="H793"/>
      <c r="AA793"/>
      <c r="AC793"/>
      <c r="AD793"/>
      <c r="AG793"/>
      <c r="AJ793"/>
      <c r="AM793"/>
      <c r="AN793"/>
    </row>
    <row r="794" spans="1:40" ht="15" customHeight="1">
      <c r="G794"/>
      <c r="H794"/>
      <c r="AA794"/>
      <c r="AC794"/>
      <c r="AD794"/>
      <c r="AG794"/>
      <c r="AJ794"/>
      <c r="AM794"/>
      <c r="AN794"/>
    </row>
    <row r="795" spans="1:40" ht="15" customHeight="1">
      <c r="G795"/>
      <c r="H795"/>
      <c r="AA795"/>
      <c r="AC795"/>
      <c r="AD795"/>
      <c r="AG795"/>
      <c r="AJ795"/>
      <c r="AM795"/>
      <c r="AN795"/>
    </row>
    <row r="796" spans="1:40" ht="15" customHeight="1">
      <c r="G796"/>
      <c r="H796"/>
      <c r="AA796"/>
      <c r="AC796"/>
      <c r="AD796"/>
      <c r="AG796"/>
      <c r="AJ796"/>
      <c r="AM796"/>
      <c r="AN796"/>
    </row>
    <row r="797" spans="1:40" ht="15" customHeight="1">
      <c r="G797"/>
      <c r="H797"/>
      <c r="AA797"/>
      <c r="AC797"/>
      <c r="AD797"/>
      <c r="AG797"/>
      <c r="AJ797"/>
      <c r="AM797"/>
      <c r="AN797"/>
    </row>
    <row r="798" spans="1:40" ht="15" customHeight="1">
      <c r="G798"/>
      <c r="H798"/>
      <c r="AA798"/>
      <c r="AC798"/>
      <c r="AD798"/>
      <c r="AG798"/>
      <c r="AJ798"/>
      <c r="AM798"/>
      <c r="AN798"/>
    </row>
    <row r="799" spans="1:40" ht="15" customHeight="1">
      <c r="A799" s="159"/>
      <c r="B799" s="159"/>
      <c r="C799" s="159"/>
      <c r="D799" s="159"/>
      <c r="E799" s="159"/>
      <c r="F799" s="159"/>
      <c r="G799" s="232"/>
      <c r="H799" s="232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226"/>
      <c r="AB799" s="159"/>
      <c r="AC799" s="226"/>
      <c r="AD799" s="337"/>
      <c r="AE799" s="159"/>
      <c r="AF799" s="159"/>
      <c r="AG799" s="235"/>
      <c r="AH799" s="159"/>
      <c r="AI799" s="159"/>
      <c r="AJ799" s="235"/>
      <c r="AK799" s="159"/>
      <c r="AL799" s="159"/>
      <c r="AM799" s="235"/>
      <c r="AN799" s="235"/>
    </row>
    <row r="800" spans="1:40" ht="15" customHeight="1">
      <c r="A800" s="159"/>
      <c r="B800" s="159"/>
      <c r="C800" s="159"/>
      <c r="D800" s="159"/>
      <c r="E800" s="159"/>
      <c r="F800" s="159"/>
      <c r="G800" s="232"/>
      <c r="H800" s="232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226"/>
      <c r="AB800" s="159"/>
      <c r="AC800" s="226"/>
      <c r="AD800" s="337"/>
      <c r="AE800" s="159"/>
      <c r="AF800" s="159"/>
      <c r="AG800" s="235"/>
      <c r="AH800" s="159"/>
      <c r="AI800" s="159"/>
      <c r="AJ800" s="235"/>
      <c r="AK800" s="159"/>
      <c r="AL800" s="159"/>
      <c r="AM800" s="235"/>
      <c r="AN800" s="235"/>
    </row>
    <row r="801" spans="1:40" ht="15" customHeight="1">
      <c r="A801" s="159"/>
      <c r="B801" s="159"/>
      <c r="C801" s="159"/>
      <c r="D801" s="159"/>
      <c r="E801" s="159"/>
      <c r="F801" s="159"/>
      <c r="G801" s="232"/>
      <c r="H801" s="232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226"/>
      <c r="AB801" s="159"/>
      <c r="AC801" s="226"/>
      <c r="AD801" s="337"/>
      <c r="AE801" s="159"/>
      <c r="AF801" s="159"/>
      <c r="AG801" s="235"/>
      <c r="AH801" s="159"/>
      <c r="AI801" s="159"/>
      <c r="AJ801" s="235"/>
      <c r="AK801" s="159"/>
      <c r="AL801" s="159"/>
      <c r="AM801" s="235"/>
      <c r="AN801" s="235"/>
    </row>
    <row r="802" spans="1:40" ht="15" customHeight="1">
      <c r="A802" s="159"/>
      <c r="B802" s="159"/>
      <c r="C802" s="159"/>
      <c r="D802" s="159"/>
      <c r="E802" s="159"/>
      <c r="F802" s="159"/>
      <c r="G802" s="232"/>
      <c r="H802" s="232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226"/>
      <c r="AB802" s="159"/>
      <c r="AC802" s="226"/>
      <c r="AD802" s="337"/>
      <c r="AE802" s="159"/>
      <c r="AF802" s="159"/>
      <c r="AG802" s="235"/>
      <c r="AH802" s="159"/>
      <c r="AI802" s="159"/>
      <c r="AJ802" s="235"/>
      <c r="AK802" s="159"/>
      <c r="AL802" s="159"/>
      <c r="AM802" s="235"/>
      <c r="AN802" s="235"/>
    </row>
    <row r="803" spans="1:40" ht="15" customHeight="1">
      <c r="A803" s="159"/>
      <c r="B803" s="159"/>
      <c r="C803" s="159"/>
      <c r="D803" s="159"/>
      <c r="E803" s="159"/>
      <c r="F803" s="159"/>
      <c r="G803" s="232"/>
      <c r="H803" s="232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226"/>
      <c r="AB803" s="159"/>
      <c r="AC803" s="226"/>
      <c r="AD803" s="337"/>
      <c r="AE803" s="159"/>
      <c r="AF803" s="159"/>
      <c r="AG803" s="235"/>
      <c r="AH803" s="159"/>
      <c r="AI803" s="159"/>
      <c r="AJ803" s="235"/>
      <c r="AK803" s="159"/>
      <c r="AL803" s="159"/>
      <c r="AM803" s="235"/>
      <c r="AN803" s="235"/>
    </row>
    <row r="804" spans="1:40" ht="15" customHeight="1">
      <c r="A804" s="159"/>
      <c r="B804" s="159"/>
      <c r="C804" s="159"/>
      <c r="D804" s="159"/>
      <c r="E804" s="159"/>
      <c r="F804" s="159"/>
      <c r="G804" s="232"/>
      <c r="H804" s="232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226"/>
      <c r="AB804" s="159"/>
      <c r="AC804" s="226"/>
      <c r="AD804" s="337"/>
      <c r="AE804" s="159"/>
      <c r="AF804" s="159"/>
      <c r="AG804" s="235"/>
      <c r="AH804" s="159"/>
      <c r="AI804" s="159"/>
      <c r="AJ804" s="235"/>
      <c r="AK804" s="159"/>
      <c r="AL804" s="159"/>
      <c r="AM804" s="235"/>
      <c r="AN804" s="235"/>
    </row>
    <row r="805" spans="1:40" ht="15" customHeight="1">
      <c r="A805" s="159"/>
      <c r="B805" s="159"/>
      <c r="C805" s="159"/>
      <c r="D805" s="159"/>
      <c r="E805" s="159"/>
      <c r="F805" s="159"/>
      <c r="G805" s="232"/>
      <c r="H805" s="232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226"/>
      <c r="AB805" s="159"/>
      <c r="AC805" s="226"/>
      <c r="AD805" s="337"/>
      <c r="AE805" s="159"/>
      <c r="AF805" s="159"/>
      <c r="AG805" s="235"/>
      <c r="AH805" s="159"/>
      <c r="AI805" s="159"/>
      <c r="AJ805" s="235"/>
      <c r="AK805" s="159"/>
      <c r="AL805" s="159"/>
      <c r="AM805" s="235"/>
      <c r="AN805" s="235"/>
    </row>
    <row r="806" spans="1:40" ht="15" customHeight="1">
      <c r="A806" s="159"/>
      <c r="B806" s="159"/>
      <c r="C806" s="159"/>
      <c r="D806" s="159"/>
      <c r="E806" s="159"/>
      <c r="F806" s="159"/>
      <c r="G806" s="232"/>
      <c r="H806" s="232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226"/>
      <c r="AB806" s="159"/>
      <c r="AC806" s="226"/>
      <c r="AD806" s="337"/>
      <c r="AE806" s="159"/>
      <c r="AF806" s="159"/>
      <c r="AG806" s="235"/>
      <c r="AH806" s="159"/>
      <c r="AI806" s="159"/>
      <c r="AJ806" s="235"/>
      <c r="AK806" s="159"/>
      <c r="AL806" s="159"/>
      <c r="AM806" s="235"/>
      <c r="AN806" s="235"/>
    </row>
    <row r="807" spans="1:40" ht="15" customHeight="1">
      <c r="A807" s="159"/>
      <c r="B807" s="159"/>
      <c r="C807" s="159"/>
      <c r="D807" s="159"/>
      <c r="E807" s="159"/>
      <c r="F807" s="159"/>
      <c r="G807" s="232"/>
      <c r="H807" s="232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226"/>
      <c r="AB807" s="159"/>
      <c r="AC807" s="226"/>
      <c r="AD807" s="337"/>
      <c r="AE807" s="159"/>
      <c r="AF807" s="159"/>
      <c r="AG807" s="235"/>
      <c r="AH807" s="159"/>
      <c r="AI807" s="159"/>
      <c r="AJ807" s="235"/>
      <c r="AK807" s="159"/>
      <c r="AL807" s="159"/>
      <c r="AM807" s="235"/>
      <c r="AN807" s="235"/>
    </row>
    <row r="808" spans="1:40" ht="15" customHeight="1">
      <c r="A808" s="159"/>
      <c r="B808" s="159"/>
      <c r="C808" s="159"/>
      <c r="D808" s="159"/>
      <c r="E808" s="159"/>
      <c r="F808" s="159"/>
      <c r="G808" s="232"/>
      <c r="H808" s="232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226"/>
      <c r="AB808" s="159"/>
      <c r="AC808" s="226"/>
      <c r="AD808" s="337"/>
      <c r="AE808" s="159"/>
      <c r="AF808" s="159"/>
      <c r="AG808" s="235"/>
      <c r="AH808" s="159"/>
      <c r="AI808" s="159"/>
      <c r="AJ808" s="235"/>
      <c r="AK808" s="159"/>
      <c r="AL808" s="159"/>
      <c r="AM808" s="235"/>
      <c r="AN808" s="235"/>
    </row>
    <row r="809" spans="1:40" ht="15" customHeight="1">
      <c r="A809" s="159"/>
      <c r="B809" s="159"/>
      <c r="C809" s="159"/>
      <c r="D809" s="159"/>
      <c r="E809" s="159"/>
      <c r="F809" s="159"/>
      <c r="G809" s="232"/>
      <c r="H809" s="232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226"/>
      <c r="AB809" s="159"/>
      <c r="AC809" s="226"/>
      <c r="AD809" s="337"/>
      <c r="AE809" s="159"/>
      <c r="AF809" s="159"/>
      <c r="AG809" s="235"/>
      <c r="AH809" s="159"/>
      <c r="AI809" s="159"/>
      <c r="AJ809" s="235"/>
      <c r="AK809" s="159"/>
      <c r="AL809" s="159"/>
      <c r="AM809" s="235"/>
      <c r="AN809" s="235"/>
    </row>
    <row r="810" spans="1:40" ht="15" customHeight="1">
      <c r="A810" s="159"/>
      <c r="B810" s="159"/>
      <c r="C810" s="159"/>
      <c r="D810" s="159"/>
      <c r="E810" s="159"/>
      <c r="F810" s="159"/>
      <c r="G810" s="232"/>
      <c r="H810" s="232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226"/>
      <c r="AB810" s="159"/>
      <c r="AC810" s="226"/>
      <c r="AD810" s="337"/>
      <c r="AE810" s="159"/>
      <c r="AF810" s="159"/>
      <c r="AG810" s="235"/>
      <c r="AH810" s="159"/>
      <c r="AI810" s="159"/>
      <c r="AJ810" s="235"/>
      <c r="AK810" s="159"/>
      <c r="AL810" s="159"/>
      <c r="AM810" s="235"/>
      <c r="AN810" s="235"/>
    </row>
    <row r="811" spans="1:40" ht="15" customHeight="1">
      <c r="A811" s="159"/>
      <c r="B811" s="159"/>
      <c r="C811" s="159"/>
      <c r="D811" s="159"/>
      <c r="E811" s="159"/>
      <c r="F811" s="159"/>
      <c r="G811" s="232"/>
      <c r="H811" s="232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226"/>
      <c r="AB811" s="159"/>
      <c r="AC811" s="226"/>
      <c r="AD811" s="337"/>
      <c r="AE811" s="159"/>
      <c r="AF811" s="159"/>
      <c r="AG811" s="235"/>
      <c r="AH811" s="159"/>
      <c r="AI811" s="159"/>
      <c r="AJ811" s="235"/>
      <c r="AK811" s="159"/>
      <c r="AL811" s="159"/>
      <c r="AM811" s="235"/>
      <c r="AN811" s="235"/>
    </row>
    <row r="812" spans="1:40" ht="15" customHeight="1">
      <c r="A812" s="159"/>
      <c r="B812" s="159"/>
      <c r="C812" s="159"/>
      <c r="D812" s="159"/>
      <c r="E812" s="159"/>
      <c r="F812" s="159"/>
      <c r="G812" s="232"/>
      <c r="H812" s="232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226"/>
      <c r="AB812" s="159"/>
      <c r="AC812" s="226"/>
      <c r="AD812" s="337"/>
      <c r="AE812" s="159"/>
      <c r="AF812" s="159"/>
      <c r="AG812" s="235"/>
      <c r="AH812" s="159"/>
      <c r="AI812" s="159"/>
      <c r="AJ812" s="235"/>
      <c r="AK812" s="159"/>
      <c r="AL812" s="159"/>
      <c r="AM812" s="235"/>
      <c r="AN812" s="235"/>
    </row>
    <row r="813" spans="1:40" ht="15" customHeight="1">
      <c r="A813" s="159"/>
      <c r="B813" s="159"/>
      <c r="C813" s="159"/>
      <c r="D813" s="159"/>
      <c r="E813" s="159"/>
      <c r="F813" s="159"/>
      <c r="G813" s="232"/>
      <c r="H813" s="232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226"/>
      <c r="AB813" s="159"/>
      <c r="AC813" s="226"/>
      <c r="AD813" s="337"/>
      <c r="AE813" s="159"/>
      <c r="AF813" s="159"/>
      <c r="AG813" s="235"/>
      <c r="AH813" s="159"/>
      <c r="AI813" s="159"/>
      <c r="AJ813" s="235"/>
      <c r="AK813" s="159"/>
      <c r="AL813" s="159"/>
      <c r="AM813" s="235"/>
      <c r="AN813" s="235"/>
    </row>
    <row r="814" spans="1:40" ht="15" customHeight="1">
      <c r="A814" s="159"/>
      <c r="B814" s="159"/>
      <c r="C814" s="159"/>
      <c r="D814" s="159"/>
      <c r="E814" s="159"/>
      <c r="F814" s="159"/>
      <c r="G814" s="232"/>
      <c r="H814" s="232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226"/>
      <c r="AB814" s="159"/>
      <c r="AC814" s="226"/>
      <c r="AD814" s="337"/>
      <c r="AE814" s="159"/>
      <c r="AF814" s="159"/>
      <c r="AG814" s="235"/>
      <c r="AH814" s="159"/>
      <c r="AI814" s="159"/>
      <c r="AJ814" s="235"/>
      <c r="AK814" s="159"/>
      <c r="AL814" s="159"/>
      <c r="AM814" s="235"/>
      <c r="AN814" s="235"/>
    </row>
    <row r="815" spans="1:40" ht="15" customHeight="1">
      <c r="A815" s="159"/>
      <c r="B815" s="159"/>
      <c r="C815" s="159"/>
      <c r="D815" s="159"/>
      <c r="E815" s="159"/>
      <c r="F815" s="159"/>
      <c r="G815" s="232"/>
      <c r="H815" s="232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226"/>
      <c r="AB815" s="159"/>
      <c r="AC815" s="226"/>
      <c r="AD815" s="337"/>
      <c r="AE815" s="159"/>
      <c r="AF815" s="159"/>
      <c r="AG815" s="235"/>
      <c r="AH815" s="159"/>
      <c r="AI815" s="159"/>
      <c r="AJ815" s="235"/>
      <c r="AK815" s="159"/>
      <c r="AL815" s="159"/>
      <c r="AM815" s="235"/>
      <c r="AN815" s="235"/>
    </row>
    <row r="816" spans="1:40" ht="15" customHeight="1">
      <c r="A816" s="159"/>
      <c r="B816" s="159"/>
      <c r="C816" s="159"/>
      <c r="D816" s="159"/>
      <c r="E816" s="159"/>
      <c r="F816" s="159"/>
      <c r="G816" s="232"/>
      <c r="H816" s="232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226"/>
      <c r="AB816" s="159"/>
      <c r="AC816" s="226"/>
      <c r="AD816" s="337"/>
      <c r="AE816" s="159"/>
      <c r="AF816" s="159"/>
      <c r="AG816" s="235"/>
      <c r="AH816" s="159"/>
      <c r="AI816" s="159"/>
      <c r="AJ816" s="235"/>
      <c r="AK816" s="159"/>
      <c r="AL816" s="159"/>
      <c r="AM816" s="235"/>
      <c r="AN816" s="235"/>
    </row>
    <row r="817" spans="1:40" ht="15" customHeight="1">
      <c r="A817" s="159"/>
      <c r="B817" s="159"/>
      <c r="C817" s="159"/>
      <c r="D817" s="159"/>
      <c r="E817" s="159"/>
      <c r="F817" s="159"/>
      <c r="G817" s="232"/>
      <c r="H817" s="232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226"/>
      <c r="AB817" s="159"/>
      <c r="AC817" s="226"/>
      <c r="AD817" s="337"/>
      <c r="AE817" s="159"/>
      <c r="AF817" s="159"/>
      <c r="AG817" s="235"/>
      <c r="AH817" s="159"/>
      <c r="AI817" s="159"/>
      <c r="AJ817" s="235"/>
      <c r="AK817" s="159"/>
      <c r="AL817" s="159"/>
      <c r="AM817" s="235"/>
      <c r="AN817" s="235"/>
    </row>
    <row r="818" spans="1:40" ht="15" customHeight="1">
      <c r="A818" s="159"/>
      <c r="B818" s="159"/>
      <c r="C818" s="159"/>
      <c r="D818" s="159"/>
      <c r="E818" s="159"/>
      <c r="F818" s="159"/>
      <c r="G818" s="232"/>
      <c r="H818" s="232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226"/>
      <c r="AB818" s="159"/>
      <c r="AC818" s="226"/>
      <c r="AD818" s="337"/>
      <c r="AE818" s="159"/>
      <c r="AF818" s="159"/>
      <c r="AG818" s="235"/>
      <c r="AH818" s="159"/>
      <c r="AI818" s="159"/>
      <c r="AJ818" s="235"/>
      <c r="AK818" s="159"/>
      <c r="AL818" s="159"/>
      <c r="AM818" s="235"/>
      <c r="AN818" s="235"/>
    </row>
    <row r="819" spans="1:40" ht="15" customHeight="1">
      <c r="A819" s="159"/>
      <c r="B819" s="159"/>
      <c r="C819" s="159"/>
      <c r="D819" s="159"/>
      <c r="E819" s="159"/>
      <c r="F819" s="159"/>
      <c r="G819" s="232"/>
      <c r="H819" s="232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226"/>
      <c r="AB819" s="159"/>
      <c r="AC819" s="226"/>
      <c r="AD819" s="337"/>
      <c r="AE819" s="159"/>
      <c r="AF819" s="159"/>
      <c r="AG819" s="235"/>
      <c r="AH819" s="159"/>
      <c r="AI819" s="159"/>
      <c r="AJ819" s="235"/>
      <c r="AK819" s="159"/>
      <c r="AL819" s="159"/>
      <c r="AM819" s="235"/>
      <c r="AN819" s="235"/>
    </row>
    <row r="820" spans="1:40" ht="15" customHeight="1">
      <c r="A820" s="159"/>
      <c r="B820" s="159"/>
      <c r="C820" s="159"/>
      <c r="D820" s="159"/>
      <c r="E820" s="159"/>
      <c r="F820" s="159"/>
      <c r="G820" s="232"/>
      <c r="H820" s="232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226"/>
      <c r="AB820" s="159"/>
      <c r="AC820" s="226"/>
      <c r="AD820" s="337"/>
      <c r="AE820" s="159"/>
      <c r="AF820" s="159"/>
      <c r="AG820" s="235"/>
      <c r="AH820" s="159"/>
      <c r="AI820" s="159"/>
      <c r="AJ820" s="235"/>
      <c r="AK820" s="159"/>
      <c r="AL820" s="159"/>
      <c r="AM820" s="235"/>
      <c r="AN820" s="235"/>
    </row>
    <row r="821" spans="1:40" ht="15" customHeight="1">
      <c r="A821" s="159"/>
      <c r="B821" s="159"/>
      <c r="C821" s="159"/>
      <c r="D821" s="159"/>
      <c r="E821" s="159"/>
      <c r="F821" s="159"/>
      <c r="G821" s="232"/>
      <c r="H821" s="232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226"/>
      <c r="AB821" s="159"/>
      <c r="AC821" s="226"/>
      <c r="AD821" s="337"/>
      <c r="AE821" s="159"/>
      <c r="AF821" s="159"/>
      <c r="AG821" s="235"/>
      <c r="AH821" s="159"/>
      <c r="AI821" s="159"/>
      <c r="AJ821" s="235"/>
      <c r="AK821" s="159"/>
      <c r="AL821" s="159"/>
      <c r="AM821" s="235"/>
      <c r="AN821" s="235"/>
    </row>
    <row r="822" spans="1:40" ht="15" customHeight="1">
      <c r="A822" s="159"/>
      <c r="B822" s="159"/>
      <c r="C822" s="159"/>
      <c r="D822" s="159"/>
      <c r="E822" s="159"/>
      <c r="F822" s="159"/>
      <c r="G822" s="232"/>
      <c r="H822" s="232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226"/>
      <c r="AB822" s="159"/>
      <c r="AC822" s="226"/>
      <c r="AD822" s="337"/>
      <c r="AE822" s="159"/>
      <c r="AF822" s="159"/>
      <c r="AG822" s="235"/>
      <c r="AH822" s="159"/>
      <c r="AI822" s="159"/>
      <c r="AJ822" s="235"/>
      <c r="AK822" s="159"/>
      <c r="AL822" s="159"/>
      <c r="AM822" s="235"/>
      <c r="AN822" s="235"/>
    </row>
    <row r="823" spans="1:40" ht="15" customHeight="1">
      <c r="A823" s="159"/>
      <c r="B823" s="159"/>
      <c r="C823" s="159"/>
      <c r="D823" s="159"/>
      <c r="E823" s="159"/>
      <c r="F823" s="159"/>
      <c r="G823" s="232"/>
      <c r="H823" s="232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226"/>
      <c r="AB823" s="159"/>
      <c r="AC823" s="226"/>
      <c r="AD823" s="337"/>
      <c r="AE823" s="159"/>
      <c r="AF823" s="159"/>
      <c r="AG823" s="235"/>
      <c r="AH823" s="159"/>
      <c r="AI823" s="159"/>
      <c r="AJ823" s="235"/>
      <c r="AK823" s="159"/>
      <c r="AL823" s="159"/>
      <c r="AM823" s="235"/>
      <c r="AN823" s="235"/>
    </row>
    <row r="824" spans="1:40" ht="15" customHeight="1">
      <c r="A824" s="159"/>
      <c r="B824" s="159"/>
      <c r="C824" s="159"/>
      <c r="D824" s="159"/>
      <c r="E824" s="159"/>
      <c r="F824" s="159"/>
      <c r="G824" s="232"/>
      <c r="H824" s="232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226"/>
      <c r="AB824" s="159"/>
      <c r="AC824" s="226"/>
      <c r="AD824" s="337"/>
      <c r="AE824" s="159"/>
      <c r="AF824" s="159"/>
      <c r="AG824" s="235"/>
      <c r="AH824" s="159"/>
      <c r="AI824" s="159"/>
      <c r="AJ824" s="235"/>
      <c r="AK824" s="159"/>
      <c r="AL824" s="159"/>
      <c r="AM824" s="235"/>
      <c r="AN824" s="235"/>
    </row>
    <row r="825" spans="1:40" ht="15" customHeight="1">
      <c r="A825" s="159"/>
      <c r="B825" s="159"/>
      <c r="C825" s="159"/>
      <c r="D825" s="159"/>
      <c r="E825" s="159"/>
      <c r="F825" s="159"/>
      <c r="G825" s="232"/>
      <c r="H825" s="232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226"/>
      <c r="AB825" s="159"/>
      <c r="AC825" s="226"/>
      <c r="AD825" s="337"/>
      <c r="AE825" s="159"/>
      <c r="AF825" s="159"/>
      <c r="AG825" s="235"/>
      <c r="AH825" s="159"/>
      <c r="AI825" s="159"/>
      <c r="AJ825" s="235"/>
      <c r="AK825" s="159"/>
      <c r="AL825" s="159"/>
      <c r="AM825" s="235"/>
      <c r="AN825" s="235"/>
    </row>
    <row r="826" spans="1:40" ht="15" customHeight="1">
      <c r="A826" s="159"/>
      <c r="B826" s="159"/>
      <c r="C826" s="159"/>
      <c r="D826" s="159"/>
      <c r="E826" s="159"/>
      <c r="F826" s="159"/>
      <c r="G826" s="232"/>
      <c r="H826" s="232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226"/>
      <c r="AB826" s="159"/>
      <c r="AC826" s="226"/>
      <c r="AD826" s="337"/>
      <c r="AE826" s="159"/>
      <c r="AF826" s="159"/>
      <c r="AG826" s="235"/>
      <c r="AH826" s="159"/>
      <c r="AI826" s="159"/>
      <c r="AJ826" s="235"/>
      <c r="AK826" s="159"/>
      <c r="AL826" s="159"/>
      <c r="AM826" s="235"/>
      <c r="AN826" s="235"/>
    </row>
    <row r="827" spans="1:40" ht="15" customHeight="1">
      <c r="A827" s="159"/>
      <c r="B827" s="159"/>
      <c r="C827" s="159"/>
      <c r="D827" s="159"/>
      <c r="E827" s="159"/>
      <c r="F827" s="159"/>
      <c r="G827" s="232"/>
      <c r="H827" s="232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226"/>
      <c r="AB827" s="159"/>
      <c r="AC827" s="226"/>
      <c r="AD827" s="337"/>
      <c r="AE827" s="159"/>
      <c r="AF827" s="159"/>
      <c r="AG827" s="235"/>
      <c r="AH827" s="159"/>
      <c r="AI827" s="159"/>
      <c r="AJ827" s="235"/>
      <c r="AK827" s="159"/>
      <c r="AL827" s="159"/>
      <c r="AM827" s="235"/>
      <c r="AN827" s="235"/>
    </row>
    <row r="828" spans="1:40" ht="15" customHeight="1">
      <c r="A828" s="159"/>
      <c r="B828" s="159"/>
      <c r="C828" s="159"/>
      <c r="D828" s="159"/>
      <c r="E828" s="159"/>
      <c r="F828" s="159"/>
      <c r="G828" s="232"/>
      <c r="H828" s="232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226"/>
      <c r="AB828" s="159"/>
      <c r="AC828" s="226"/>
      <c r="AD828" s="337"/>
      <c r="AE828" s="159"/>
      <c r="AF828" s="159"/>
      <c r="AG828" s="235"/>
      <c r="AH828" s="159"/>
      <c r="AI828" s="159"/>
      <c r="AJ828" s="235"/>
      <c r="AK828" s="159"/>
      <c r="AL828" s="159"/>
      <c r="AM828" s="235"/>
      <c r="AN828" s="235"/>
    </row>
    <row r="829" spans="1:40" ht="15" customHeight="1">
      <c r="A829" s="159"/>
      <c r="B829" s="159"/>
      <c r="C829" s="159"/>
      <c r="D829" s="159"/>
      <c r="E829" s="159"/>
      <c r="F829" s="159"/>
      <c r="G829" s="232"/>
      <c r="H829" s="232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226"/>
      <c r="AB829" s="159"/>
      <c r="AC829" s="226"/>
      <c r="AD829" s="337"/>
      <c r="AE829" s="159"/>
      <c r="AF829" s="159"/>
      <c r="AG829" s="235"/>
      <c r="AH829" s="159"/>
      <c r="AI829" s="159"/>
      <c r="AJ829" s="235"/>
      <c r="AK829" s="159"/>
      <c r="AL829" s="159"/>
      <c r="AM829" s="235"/>
      <c r="AN829" s="235"/>
    </row>
    <row r="830" spans="1:40" ht="15" customHeight="1">
      <c r="A830" s="159"/>
      <c r="B830" s="159"/>
      <c r="C830" s="159"/>
      <c r="D830" s="159"/>
      <c r="E830" s="159"/>
      <c r="F830" s="159"/>
      <c r="G830" s="232"/>
      <c r="H830" s="232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226"/>
      <c r="AB830" s="159"/>
      <c r="AC830" s="226"/>
      <c r="AD830" s="337"/>
      <c r="AE830" s="159"/>
      <c r="AF830" s="159"/>
      <c r="AG830" s="235"/>
      <c r="AH830" s="159"/>
      <c r="AI830" s="159"/>
      <c r="AJ830" s="235"/>
      <c r="AK830" s="159"/>
      <c r="AL830" s="159"/>
      <c r="AM830" s="235"/>
      <c r="AN830" s="235"/>
    </row>
    <row r="831" spans="1:40" ht="15" customHeight="1">
      <c r="A831" s="159"/>
      <c r="B831" s="159"/>
      <c r="C831" s="159"/>
      <c r="D831" s="159"/>
      <c r="E831" s="159"/>
      <c r="F831" s="159"/>
      <c r="G831" s="232"/>
      <c r="H831" s="232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226"/>
      <c r="AB831" s="159"/>
      <c r="AC831" s="226"/>
      <c r="AD831" s="337"/>
      <c r="AE831" s="159"/>
      <c r="AF831" s="159"/>
      <c r="AG831" s="235"/>
      <c r="AH831" s="159"/>
      <c r="AI831" s="159"/>
      <c r="AJ831" s="235"/>
      <c r="AK831" s="159"/>
      <c r="AL831" s="159"/>
      <c r="AM831" s="235"/>
      <c r="AN831" s="235"/>
    </row>
    <row r="832" spans="1:40" ht="15" customHeight="1">
      <c r="A832" s="159"/>
      <c r="B832" s="159"/>
      <c r="C832" s="159"/>
      <c r="D832" s="159"/>
      <c r="E832" s="159"/>
      <c r="F832" s="159"/>
      <c r="G832" s="232"/>
      <c r="H832" s="232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226"/>
      <c r="AB832" s="159"/>
      <c r="AC832" s="226"/>
      <c r="AD832" s="337"/>
      <c r="AE832" s="159"/>
      <c r="AF832" s="159"/>
      <c r="AG832" s="235"/>
      <c r="AH832" s="159"/>
      <c r="AI832" s="159"/>
      <c r="AJ832" s="235"/>
      <c r="AK832" s="159"/>
      <c r="AL832" s="159"/>
      <c r="AM832" s="235"/>
      <c r="AN832" s="235"/>
    </row>
    <row r="833" spans="1:40" ht="15" customHeight="1">
      <c r="A833" s="159"/>
      <c r="B833" s="159"/>
      <c r="C833" s="159"/>
      <c r="D833" s="159"/>
      <c r="E833" s="159"/>
      <c r="F833" s="159"/>
      <c r="G833" s="232"/>
      <c r="H833" s="232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226"/>
      <c r="AB833" s="159"/>
      <c r="AC833" s="226"/>
      <c r="AD833" s="337"/>
      <c r="AE833" s="159"/>
      <c r="AF833" s="159"/>
      <c r="AG833" s="235"/>
      <c r="AH833" s="159"/>
      <c r="AI833" s="159"/>
      <c r="AJ833" s="235"/>
      <c r="AK833" s="159"/>
      <c r="AL833" s="159"/>
      <c r="AM833" s="235"/>
      <c r="AN833" s="235"/>
    </row>
    <row r="834" spans="1:40" ht="15" customHeight="1">
      <c r="A834" s="159"/>
      <c r="B834" s="159"/>
      <c r="C834" s="159"/>
      <c r="D834" s="159"/>
      <c r="E834" s="159"/>
      <c r="F834" s="159"/>
      <c r="G834" s="232"/>
      <c r="H834" s="232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226"/>
      <c r="AB834" s="159"/>
      <c r="AC834" s="226"/>
      <c r="AD834" s="337"/>
      <c r="AE834" s="159"/>
      <c r="AF834" s="159"/>
      <c r="AG834" s="235"/>
      <c r="AH834" s="159"/>
      <c r="AI834" s="159"/>
      <c r="AJ834" s="235"/>
      <c r="AK834" s="159"/>
      <c r="AL834" s="159"/>
      <c r="AM834" s="235"/>
      <c r="AN834" s="235"/>
    </row>
    <row r="835" spans="1:40" ht="15" customHeight="1">
      <c r="A835" s="159"/>
      <c r="B835" s="159"/>
      <c r="C835" s="159"/>
      <c r="D835" s="159"/>
      <c r="E835" s="159"/>
      <c r="F835" s="159"/>
      <c r="G835" s="232"/>
      <c r="H835" s="232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226"/>
      <c r="AB835" s="159"/>
      <c r="AC835" s="226"/>
      <c r="AD835" s="337"/>
      <c r="AE835" s="159"/>
      <c r="AF835" s="159"/>
      <c r="AG835" s="235"/>
      <c r="AH835" s="159"/>
      <c r="AI835" s="159"/>
      <c r="AJ835" s="235"/>
      <c r="AK835" s="159"/>
      <c r="AL835" s="159"/>
      <c r="AM835" s="235"/>
      <c r="AN835" s="235"/>
    </row>
    <row r="836" spans="1:40" ht="15" customHeight="1">
      <c r="A836" s="159"/>
      <c r="B836" s="159"/>
      <c r="C836" s="159"/>
      <c r="D836" s="159"/>
      <c r="E836" s="159"/>
      <c r="F836" s="159"/>
      <c r="G836" s="232"/>
      <c r="H836" s="232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226"/>
      <c r="AB836" s="159"/>
      <c r="AC836" s="226"/>
      <c r="AD836" s="337"/>
      <c r="AE836" s="159"/>
      <c r="AF836" s="159"/>
      <c r="AG836" s="235"/>
      <c r="AH836" s="159"/>
      <c r="AI836" s="159"/>
      <c r="AJ836" s="235"/>
      <c r="AK836" s="159"/>
      <c r="AL836" s="159"/>
      <c r="AM836" s="235"/>
      <c r="AN836" s="235"/>
    </row>
    <row r="837" spans="1:40" ht="15" customHeight="1">
      <c r="A837" s="159"/>
      <c r="B837" s="159"/>
      <c r="C837" s="159"/>
      <c r="D837" s="159"/>
      <c r="E837" s="159"/>
      <c r="F837" s="159"/>
      <c r="G837" s="232"/>
      <c r="H837" s="232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226"/>
      <c r="AB837" s="159"/>
      <c r="AC837" s="226"/>
      <c r="AD837" s="337"/>
      <c r="AE837" s="159"/>
      <c r="AF837" s="159"/>
      <c r="AG837" s="235"/>
      <c r="AH837" s="159"/>
      <c r="AI837" s="159"/>
      <c r="AJ837" s="235"/>
      <c r="AK837" s="159"/>
      <c r="AL837" s="159"/>
      <c r="AM837" s="235"/>
      <c r="AN837" s="235"/>
    </row>
    <row r="838" spans="1:40" ht="15" customHeight="1">
      <c r="A838" s="159"/>
      <c r="B838" s="159"/>
      <c r="C838" s="159"/>
      <c r="D838" s="159"/>
      <c r="E838" s="159"/>
      <c r="F838" s="159"/>
      <c r="G838" s="232"/>
      <c r="H838" s="232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226"/>
      <c r="AB838" s="159"/>
      <c r="AC838" s="226"/>
      <c r="AD838" s="337"/>
      <c r="AE838" s="159"/>
      <c r="AF838" s="159"/>
      <c r="AG838" s="235"/>
      <c r="AH838" s="159"/>
      <c r="AI838" s="159"/>
      <c r="AJ838" s="235"/>
      <c r="AK838" s="159"/>
      <c r="AL838" s="159"/>
      <c r="AM838" s="235"/>
      <c r="AN838" s="235"/>
    </row>
    <row r="839" spans="1:40" ht="15" customHeight="1">
      <c r="A839" s="159"/>
      <c r="B839" s="159"/>
      <c r="C839" s="159"/>
      <c r="D839" s="159"/>
      <c r="E839" s="159"/>
      <c r="F839" s="159"/>
      <c r="G839" s="232"/>
      <c r="H839" s="232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226"/>
      <c r="AB839" s="159"/>
      <c r="AC839" s="226"/>
      <c r="AD839" s="337"/>
      <c r="AE839" s="159"/>
      <c r="AF839" s="159"/>
      <c r="AG839" s="235"/>
      <c r="AH839" s="159"/>
      <c r="AI839" s="159"/>
      <c r="AJ839" s="235"/>
      <c r="AK839" s="159"/>
      <c r="AL839" s="159"/>
      <c r="AM839" s="235"/>
      <c r="AN839" s="235"/>
    </row>
    <row r="840" spans="1:40" ht="15" customHeight="1">
      <c r="A840" s="159"/>
      <c r="B840" s="159"/>
      <c r="C840" s="159"/>
      <c r="D840" s="159"/>
      <c r="E840" s="159"/>
      <c r="F840" s="159"/>
      <c r="G840" s="232"/>
      <c r="H840" s="232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226"/>
      <c r="AB840" s="159"/>
      <c r="AC840" s="226"/>
      <c r="AD840" s="337"/>
      <c r="AE840" s="159"/>
      <c r="AF840" s="159"/>
      <c r="AG840" s="235"/>
      <c r="AH840" s="159"/>
      <c r="AI840" s="159"/>
      <c r="AJ840" s="235"/>
      <c r="AK840" s="159"/>
      <c r="AL840" s="159"/>
      <c r="AM840" s="235"/>
      <c r="AN840" s="235"/>
    </row>
    <row r="841" spans="1:40" ht="15" customHeight="1">
      <c r="A841" s="159"/>
      <c r="B841" s="159"/>
      <c r="C841" s="159"/>
      <c r="D841" s="159"/>
      <c r="E841" s="159"/>
      <c r="F841" s="159"/>
      <c r="G841" s="232"/>
      <c r="H841" s="232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226"/>
      <c r="AB841" s="159"/>
      <c r="AC841" s="226"/>
      <c r="AD841" s="337"/>
      <c r="AE841" s="159"/>
      <c r="AF841" s="159"/>
      <c r="AG841" s="235"/>
      <c r="AH841" s="159"/>
      <c r="AI841" s="159"/>
      <c r="AJ841" s="235"/>
      <c r="AK841" s="159"/>
      <c r="AL841" s="159"/>
      <c r="AM841" s="235"/>
      <c r="AN841" s="235"/>
    </row>
    <row r="842" spans="1:40" ht="15" customHeight="1">
      <c r="A842" s="159"/>
      <c r="B842" s="159"/>
      <c r="C842" s="159"/>
      <c r="D842" s="159"/>
      <c r="E842" s="159"/>
      <c r="F842" s="159"/>
      <c r="G842" s="232"/>
      <c r="H842" s="232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226"/>
      <c r="AB842" s="159"/>
      <c r="AC842" s="226"/>
      <c r="AD842" s="337"/>
      <c r="AE842" s="159"/>
      <c r="AF842" s="159"/>
      <c r="AG842" s="235"/>
      <c r="AH842" s="159"/>
      <c r="AI842" s="159"/>
      <c r="AJ842" s="235"/>
      <c r="AK842" s="159"/>
      <c r="AL842" s="159"/>
      <c r="AM842" s="235"/>
      <c r="AN842" s="235"/>
    </row>
    <row r="843" spans="1:40" ht="15" customHeight="1">
      <c r="A843" s="159"/>
      <c r="B843" s="159"/>
      <c r="C843" s="159"/>
      <c r="D843" s="159"/>
      <c r="E843" s="159"/>
      <c r="F843" s="159"/>
      <c r="G843" s="232"/>
      <c r="H843" s="232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226"/>
      <c r="AB843" s="159"/>
      <c r="AC843" s="226"/>
      <c r="AD843" s="337"/>
      <c r="AE843" s="159"/>
      <c r="AF843" s="159"/>
      <c r="AG843" s="235"/>
      <c r="AH843" s="159"/>
      <c r="AI843" s="159"/>
      <c r="AJ843" s="235"/>
      <c r="AK843" s="159"/>
      <c r="AL843" s="159"/>
      <c r="AM843" s="235"/>
      <c r="AN843" s="235"/>
    </row>
    <row r="844" spans="1:40" ht="15" customHeight="1">
      <c r="A844" s="159"/>
      <c r="B844" s="159"/>
      <c r="C844" s="159"/>
      <c r="D844" s="159"/>
      <c r="E844" s="159"/>
      <c r="F844" s="159"/>
      <c r="G844" s="232"/>
      <c r="H844" s="232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226"/>
      <c r="AB844" s="159"/>
      <c r="AC844" s="226"/>
      <c r="AD844" s="337"/>
      <c r="AE844" s="159"/>
      <c r="AF844" s="159"/>
      <c r="AG844" s="235"/>
      <c r="AH844" s="159"/>
      <c r="AI844" s="159"/>
      <c r="AJ844" s="235"/>
      <c r="AK844" s="159"/>
      <c r="AL844" s="159"/>
      <c r="AM844" s="235"/>
      <c r="AN844" s="235"/>
    </row>
    <row r="845" spans="1:40" ht="15" customHeight="1">
      <c r="A845" s="159"/>
      <c r="B845" s="159"/>
      <c r="C845" s="159"/>
      <c r="D845" s="159"/>
      <c r="E845" s="159"/>
      <c r="F845" s="159"/>
      <c r="G845" s="232"/>
      <c r="H845" s="232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226"/>
      <c r="AB845" s="159"/>
      <c r="AC845" s="226"/>
      <c r="AD845" s="337"/>
      <c r="AE845" s="159"/>
      <c r="AF845" s="159"/>
      <c r="AG845" s="235"/>
      <c r="AH845" s="159"/>
      <c r="AI845" s="159"/>
      <c r="AJ845" s="235"/>
      <c r="AK845" s="159"/>
      <c r="AL845" s="159"/>
      <c r="AM845" s="235"/>
      <c r="AN845" s="235"/>
    </row>
    <row r="846" spans="1:40" ht="15" customHeight="1">
      <c r="A846" s="159"/>
      <c r="B846" s="159"/>
      <c r="C846" s="159"/>
      <c r="D846" s="159"/>
      <c r="E846" s="159"/>
      <c r="F846" s="159"/>
      <c r="G846" s="232"/>
      <c r="H846" s="232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226"/>
      <c r="AB846" s="159"/>
      <c r="AC846" s="226"/>
      <c r="AD846" s="337"/>
      <c r="AE846" s="159"/>
      <c r="AF846" s="159"/>
      <c r="AG846" s="235"/>
      <c r="AH846" s="159"/>
      <c r="AI846" s="159"/>
      <c r="AJ846" s="235"/>
      <c r="AK846" s="159"/>
      <c r="AL846" s="159"/>
      <c r="AM846" s="235"/>
      <c r="AN846" s="235"/>
    </row>
    <row r="847" spans="1:40" ht="15" customHeight="1">
      <c r="A847" s="159"/>
      <c r="B847" s="159"/>
      <c r="C847" s="159"/>
      <c r="D847" s="159"/>
      <c r="E847" s="159"/>
      <c r="F847" s="159"/>
      <c r="G847" s="232"/>
      <c r="H847" s="232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226"/>
      <c r="AB847" s="159"/>
      <c r="AC847" s="226"/>
      <c r="AD847" s="337"/>
      <c r="AE847" s="159"/>
      <c r="AF847" s="159"/>
      <c r="AG847" s="235"/>
      <c r="AH847" s="159"/>
      <c r="AI847" s="159"/>
      <c r="AJ847" s="235"/>
      <c r="AK847" s="159"/>
      <c r="AL847" s="159"/>
      <c r="AM847" s="235"/>
      <c r="AN847" s="235"/>
    </row>
    <row r="848" spans="1:40" ht="15" customHeight="1">
      <c r="A848" s="159"/>
      <c r="B848" s="159"/>
      <c r="C848" s="159"/>
      <c r="D848" s="159"/>
      <c r="E848" s="159"/>
      <c r="F848" s="159"/>
      <c r="G848" s="232"/>
      <c r="H848" s="232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226"/>
      <c r="AB848" s="159"/>
      <c r="AC848" s="226"/>
      <c r="AD848" s="337"/>
      <c r="AE848" s="159"/>
      <c r="AF848" s="159"/>
      <c r="AG848" s="235"/>
      <c r="AH848" s="159"/>
      <c r="AI848" s="159"/>
      <c r="AJ848" s="235"/>
      <c r="AK848" s="159"/>
      <c r="AL848" s="159"/>
      <c r="AM848" s="235"/>
      <c r="AN848" s="235"/>
    </row>
    <row r="849" spans="1:40" ht="15" customHeight="1">
      <c r="A849" s="159"/>
      <c r="B849" s="159"/>
      <c r="C849" s="159"/>
      <c r="D849" s="159"/>
      <c r="E849" s="159"/>
      <c r="F849" s="159"/>
      <c r="G849" s="232"/>
      <c r="H849" s="232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226"/>
      <c r="AB849" s="159"/>
      <c r="AC849" s="226"/>
      <c r="AD849" s="337"/>
      <c r="AE849" s="159"/>
      <c r="AF849" s="159"/>
      <c r="AG849" s="235"/>
      <c r="AH849" s="159"/>
      <c r="AI849" s="159"/>
      <c r="AJ849" s="235"/>
      <c r="AK849" s="159"/>
      <c r="AL849" s="159"/>
      <c r="AM849" s="235"/>
      <c r="AN849" s="235"/>
    </row>
    <row r="850" spans="1:40" ht="15" customHeight="1">
      <c r="A850" s="159"/>
      <c r="B850" s="159"/>
      <c r="C850" s="159"/>
      <c r="D850" s="159"/>
      <c r="E850" s="159"/>
      <c r="F850" s="159"/>
      <c r="G850" s="232"/>
      <c r="H850" s="232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226"/>
      <c r="AB850" s="159"/>
      <c r="AC850" s="226"/>
      <c r="AD850" s="337"/>
      <c r="AE850" s="159"/>
      <c r="AF850" s="159"/>
      <c r="AG850" s="235"/>
      <c r="AH850" s="159"/>
      <c r="AI850" s="159"/>
      <c r="AJ850" s="235"/>
      <c r="AK850" s="159"/>
      <c r="AL850" s="159"/>
      <c r="AM850" s="235"/>
      <c r="AN850" s="235"/>
    </row>
    <row r="851" spans="1:40" ht="15" customHeight="1">
      <c r="A851" s="159"/>
      <c r="B851" s="159"/>
      <c r="C851" s="159"/>
      <c r="D851" s="159"/>
      <c r="E851" s="159"/>
      <c r="F851" s="159"/>
      <c r="G851" s="232"/>
      <c r="H851" s="232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226"/>
      <c r="AB851" s="159"/>
      <c r="AC851" s="226"/>
      <c r="AD851" s="337"/>
      <c r="AE851" s="159"/>
      <c r="AF851" s="159"/>
      <c r="AG851" s="235"/>
      <c r="AH851" s="159"/>
      <c r="AI851" s="159"/>
      <c r="AJ851" s="235"/>
      <c r="AK851" s="159"/>
      <c r="AL851" s="159"/>
      <c r="AM851" s="235"/>
      <c r="AN851" s="235"/>
    </row>
    <row r="852" spans="1:40" ht="15" customHeight="1">
      <c r="A852" s="159"/>
      <c r="B852" s="159"/>
      <c r="C852" s="159"/>
      <c r="D852" s="159"/>
      <c r="E852" s="159"/>
      <c r="F852" s="159"/>
      <c r="G852" s="232"/>
      <c r="H852" s="232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226"/>
      <c r="AB852" s="159"/>
      <c r="AC852" s="226"/>
      <c r="AD852" s="337"/>
      <c r="AE852" s="159"/>
      <c r="AF852" s="159"/>
      <c r="AG852" s="235"/>
      <c r="AH852" s="159"/>
      <c r="AI852" s="159"/>
      <c r="AJ852" s="235"/>
      <c r="AK852" s="159"/>
      <c r="AL852" s="159"/>
      <c r="AM852" s="235"/>
      <c r="AN852" s="235"/>
    </row>
    <row r="853" spans="1:40" ht="15" customHeight="1">
      <c r="A853" s="159"/>
      <c r="B853" s="159"/>
      <c r="C853" s="159"/>
      <c r="D853" s="159"/>
      <c r="E853" s="159"/>
      <c r="F853" s="159"/>
      <c r="G853" s="232"/>
      <c r="H853" s="232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226"/>
      <c r="AB853" s="159"/>
      <c r="AC853" s="226"/>
      <c r="AD853" s="337"/>
      <c r="AE853" s="159"/>
      <c r="AF853" s="159"/>
      <c r="AG853" s="235"/>
      <c r="AH853" s="159"/>
      <c r="AI853" s="159"/>
      <c r="AJ853" s="235"/>
      <c r="AK853" s="159"/>
      <c r="AL853" s="159"/>
      <c r="AM853" s="235"/>
      <c r="AN853" s="235"/>
    </row>
    <row r="854" spans="1:40" ht="15" customHeight="1">
      <c r="A854" s="159"/>
      <c r="B854" s="159"/>
      <c r="C854" s="159"/>
      <c r="D854" s="159"/>
      <c r="E854" s="159"/>
      <c r="F854" s="159"/>
      <c r="G854" s="232"/>
      <c r="H854" s="232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226"/>
      <c r="AB854" s="159"/>
      <c r="AC854" s="226"/>
      <c r="AD854" s="337"/>
      <c r="AE854" s="159"/>
      <c r="AF854" s="159"/>
      <c r="AG854" s="235"/>
      <c r="AH854" s="159"/>
      <c r="AI854" s="159"/>
      <c r="AJ854" s="235"/>
      <c r="AK854" s="159"/>
      <c r="AL854" s="159"/>
      <c r="AM854" s="235"/>
      <c r="AN854" s="235"/>
    </row>
    <row r="855" spans="1:40" ht="15" customHeight="1">
      <c r="A855" s="159"/>
      <c r="B855" s="159"/>
      <c r="C855" s="159"/>
      <c r="D855" s="159"/>
      <c r="E855" s="159"/>
      <c r="F855" s="159"/>
      <c r="G855" s="232"/>
      <c r="H855" s="232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226"/>
      <c r="AB855" s="159"/>
      <c r="AC855" s="226"/>
      <c r="AD855" s="337"/>
      <c r="AE855" s="159"/>
      <c r="AF855" s="159"/>
      <c r="AG855" s="235"/>
      <c r="AH855" s="159"/>
      <c r="AI855" s="159"/>
      <c r="AJ855" s="235"/>
      <c r="AK855" s="159"/>
      <c r="AL855" s="159"/>
      <c r="AM855" s="235"/>
      <c r="AN855" s="235"/>
    </row>
    <row r="856" spans="1:40" ht="15" customHeight="1">
      <c r="A856" s="159"/>
      <c r="B856" s="159"/>
      <c r="C856" s="159"/>
      <c r="D856" s="159"/>
      <c r="E856" s="159"/>
      <c r="F856" s="159"/>
      <c r="G856" s="232"/>
      <c r="H856" s="232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226"/>
      <c r="AB856" s="159"/>
      <c r="AC856" s="226"/>
      <c r="AD856" s="337"/>
      <c r="AE856" s="159"/>
      <c r="AF856" s="159"/>
      <c r="AG856" s="235"/>
      <c r="AH856" s="159"/>
      <c r="AI856" s="159"/>
      <c r="AJ856" s="235"/>
      <c r="AK856" s="159"/>
      <c r="AL856" s="159"/>
      <c r="AM856" s="235"/>
      <c r="AN856" s="235"/>
    </row>
    <row r="857" spans="1:40" ht="15" customHeight="1">
      <c r="A857" s="159"/>
      <c r="B857" s="159"/>
      <c r="C857" s="159"/>
      <c r="D857" s="159"/>
      <c r="E857" s="159"/>
      <c r="F857" s="159"/>
      <c r="G857" s="232"/>
      <c r="H857" s="232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226"/>
      <c r="AB857" s="159"/>
      <c r="AC857" s="226"/>
      <c r="AD857" s="337"/>
      <c r="AE857" s="159"/>
      <c r="AF857" s="159"/>
      <c r="AG857" s="235"/>
      <c r="AH857" s="159"/>
      <c r="AI857" s="159"/>
      <c r="AJ857" s="235"/>
      <c r="AK857" s="159"/>
      <c r="AL857" s="159"/>
      <c r="AM857" s="235"/>
      <c r="AN857" s="235"/>
    </row>
    <row r="858" spans="1:40" ht="15" customHeight="1">
      <c r="A858" s="159"/>
      <c r="B858" s="159"/>
      <c r="C858" s="159"/>
      <c r="D858" s="159"/>
      <c r="E858" s="159"/>
      <c r="F858" s="159"/>
      <c r="G858" s="232"/>
      <c r="H858" s="232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226"/>
      <c r="AB858" s="159"/>
      <c r="AC858" s="226"/>
      <c r="AD858" s="337"/>
      <c r="AE858" s="159"/>
      <c r="AF858" s="159"/>
      <c r="AG858" s="235"/>
      <c r="AH858" s="159"/>
      <c r="AI858" s="159"/>
      <c r="AJ858" s="235"/>
      <c r="AK858" s="159"/>
      <c r="AL858" s="159"/>
      <c r="AM858" s="235"/>
      <c r="AN858" s="235"/>
    </row>
    <row r="859" spans="1:40" ht="15" customHeight="1">
      <c r="A859" s="159"/>
      <c r="B859" s="159"/>
      <c r="C859" s="159"/>
      <c r="D859" s="159"/>
      <c r="E859" s="159"/>
      <c r="F859" s="159"/>
      <c r="G859" s="232"/>
      <c r="H859" s="232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226"/>
      <c r="AB859" s="159"/>
      <c r="AC859" s="226"/>
      <c r="AD859" s="337"/>
      <c r="AE859" s="159"/>
      <c r="AF859" s="159"/>
      <c r="AG859" s="235"/>
      <c r="AH859" s="159"/>
      <c r="AI859" s="159"/>
      <c r="AJ859" s="235"/>
      <c r="AK859" s="159"/>
      <c r="AL859" s="159"/>
      <c r="AM859" s="235"/>
      <c r="AN859" s="235"/>
    </row>
    <row r="860" spans="1:40" ht="15" customHeight="1">
      <c r="A860" s="159"/>
      <c r="B860" s="159"/>
      <c r="C860" s="159"/>
      <c r="D860" s="159"/>
      <c r="E860" s="159"/>
      <c r="F860" s="159"/>
      <c r="G860" s="232"/>
      <c r="H860" s="232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226"/>
      <c r="AB860" s="159"/>
      <c r="AC860" s="226"/>
      <c r="AD860" s="337"/>
      <c r="AE860" s="159"/>
      <c r="AF860" s="159"/>
      <c r="AG860" s="235"/>
      <c r="AH860" s="159"/>
      <c r="AI860" s="159"/>
      <c r="AJ860" s="235"/>
      <c r="AK860" s="159"/>
      <c r="AL860" s="159"/>
      <c r="AM860" s="235"/>
      <c r="AN860" s="235"/>
    </row>
    <row r="861" spans="1:40" ht="15" customHeight="1">
      <c r="A861" s="159"/>
      <c r="B861" s="159"/>
      <c r="C861" s="159"/>
      <c r="D861" s="159"/>
      <c r="E861" s="159"/>
      <c r="F861" s="159"/>
      <c r="G861" s="232"/>
      <c r="H861" s="232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226"/>
      <c r="AB861" s="159"/>
      <c r="AC861" s="226"/>
      <c r="AD861" s="337"/>
      <c r="AE861" s="159"/>
      <c r="AF861" s="159"/>
      <c r="AG861" s="235"/>
      <c r="AH861" s="159"/>
      <c r="AI861" s="159"/>
      <c r="AJ861" s="235"/>
      <c r="AK861" s="159"/>
      <c r="AL861" s="159"/>
      <c r="AM861" s="235"/>
      <c r="AN861" s="235"/>
    </row>
    <row r="862" spans="1:40" ht="15" customHeight="1">
      <c r="A862" s="159"/>
      <c r="B862" s="159"/>
      <c r="C862" s="159"/>
      <c r="D862" s="159"/>
      <c r="E862" s="159"/>
      <c r="F862" s="159"/>
      <c r="G862" s="232"/>
      <c r="H862" s="232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226"/>
      <c r="AB862" s="159"/>
      <c r="AC862" s="226"/>
      <c r="AD862" s="337"/>
      <c r="AE862" s="159"/>
      <c r="AF862" s="159"/>
      <c r="AG862" s="235"/>
      <c r="AH862" s="159"/>
      <c r="AI862" s="159"/>
      <c r="AJ862" s="235"/>
      <c r="AK862" s="159"/>
      <c r="AL862" s="159"/>
      <c r="AM862" s="235"/>
      <c r="AN862" s="235"/>
    </row>
    <row r="863" spans="1:40" ht="15" customHeight="1">
      <c r="A863" s="159"/>
      <c r="B863" s="159"/>
      <c r="C863" s="159"/>
      <c r="D863" s="159"/>
      <c r="E863" s="159"/>
      <c r="F863" s="159"/>
      <c r="G863" s="232"/>
      <c r="H863" s="232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226"/>
      <c r="AB863" s="159"/>
      <c r="AC863" s="226"/>
      <c r="AD863" s="337"/>
      <c r="AE863" s="159"/>
      <c r="AF863" s="159"/>
      <c r="AG863" s="235"/>
      <c r="AH863" s="159"/>
      <c r="AI863" s="159"/>
      <c r="AJ863" s="235"/>
      <c r="AK863" s="159"/>
      <c r="AL863" s="159"/>
      <c r="AM863" s="235"/>
      <c r="AN863" s="235"/>
    </row>
    <row r="864" spans="1:40" ht="15" customHeight="1">
      <c r="A864" s="159"/>
      <c r="B864" s="159"/>
      <c r="C864" s="159"/>
      <c r="D864" s="159"/>
      <c r="E864" s="159"/>
      <c r="F864" s="159"/>
      <c r="G864" s="232"/>
      <c r="H864" s="232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226"/>
      <c r="AB864" s="159"/>
      <c r="AC864" s="226"/>
      <c r="AD864" s="337"/>
      <c r="AE864" s="159"/>
      <c r="AF864" s="159"/>
      <c r="AG864" s="235"/>
      <c r="AH864" s="159"/>
      <c r="AI864" s="159"/>
      <c r="AJ864" s="235"/>
      <c r="AK864" s="159"/>
      <c r="AL864" s="159"/>
      <c r="AM864" s="235"/>
      <c r="AN864" s="235"/>
    </row>
    <row r="865" spans="1:40" ht="15" customHeight="1">
      <c r="A865" s="159"/>
      <c r="B865" s="159"/>
      <c r="C865" s="159"/>
      <c r="D865" s="159"/>
      <c r="E865" s="159"/>
      <c r="F865" s="159"/>
      <c r="G865" s="232"/>
      <c r="H865" s="232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226"/>
      <c r="AB865" s="159"/>
      <c r="AC865" s="226"/>
      <c r="AD865" s="337"/>
      <c r="AE865" s="159"/>
      <c r="AF865" s="159"/>
      <c r="AG865" s="235"/>
      <c r="AH865" s="159"/>
      <c r="AI865" s="159"/>
      <c r="AJ865" s="235"/>
      <c r="AK865" s="159"/>
      <c r="AL865" s="159"/>
      <c r="AM865" s="235"/>
      <c r="AN865" s="235"/>
    </row>
    <row r="866" spans="1:40" ht="15" customHeight="1">
      <c r="A866" s="159"/>
      <c r="B866" s="159"/>
      <c r="C866" s="159"/>
      <c r="D866" s="159"/>
      <c r="E866" s="159"/>
      <c r="F866" s="159"/>
      <c r="G866" s="232"/>
      <c r="H866" s="232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226"/>
      <c r="AB866" s="159"/>
      <c r="AC866" s="226"/>
      <c r="AD866" s="337"/>
      <c r="AE866" s="159"/>
      <c r="AF866" s="159"/>
      <c r="AG866" s="235"/>
      <c r="AH866" s="159"/>
      <c r="AI866" s="159"/>
      <c r="AJ866" s="235"/>
      <c r="AK866" s="159"/>
      <c r="AL866" s="159"/>
      <c r="AM866" s="235"/>
      <c r="AN866" s="235"/>
    </row>
    <row r="867" spans="1:40" ht="15" customHeight="1">
      <c r="A867" s="159"/>
      <c r="B867" s="159"/>
      <c r="C867" s="159"/>
      <c r="D867" s="159"/>
      <c r="E867" s="159"/>
      <c r="F867" s="159"/>
      <c r="G867" s="232"/>
      <c r="H867" s="232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226"/>
      <c r="AB867" s="159"/>
      <c r="AC867" s="226"/>
      <c r="AD867" s="337"/>
      <c r="AE867" s="159"/>
      <c r="AF867" s="159"/>
      <c r="AG867" s="235"/>
      <c r="AH867" s="159"/>
      <c r="AI867" s="159"/>
      <c r="AJ867" s="235"/>
      <c r="AK867" s="159"/>
      <c r="AL867" s="159"/>
      <c r="AM867" s="235"/>
      <c r="AN867" s="235"/>
    </row>
    <row r="868" spans="1:40" ht="15" customHeight="1">
      <c r="A868" s="159"/>
      <c r="B868" s="159"/>
      <c r="C868" s="159"/>
      <c r="D868" s="159"/>
      <c r="E868" s="159"/>
      <c r="F868" s="159"/>
      <c r="G868" s="232"/>
      <c r="H868" s="232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226"/>
      <c r="AB868" s="159"/>
      <c r="AC868" s="226"/>
      <c r="AD868" s="337"/>
      <c r="AE868" s="159"/>
      <c r="AF868" s="159"/>
      <c r="AG868" s="235"/>
      <c r="AH868" s="159"/>
      <c r="AI868" s="159"/>
      <c r="AJ868" s="235"/>
      <c r="AK868" s="159"/>
      <c r="AL868" s="159"/>
      <c r="AM868" s="235"/>
      <c r="AN868" s="235"/>
    </row>
    <row r="869" spans="1:40" ht="15" customHeight="1">
      <c r="A869" s="159"/>
      <c r="B869" s="159"/>
      <c r="C869" s="159"/>
      <c r="D869" s="159"/>
      <c r="E869" s="159"/>
      <c r="F869" s="159"/>
      <c r="G869" s="232"/>
      <c r="H869" s="232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226"/>
      <c r="AB869" s="159"/>
      <c r="AC869" s="226"/>
      <c r="AD869" s="337"/>
      <c r="AE869" s="159"/>
      <c r="AF869" s="159"/>
      <c r="AG869" s="235"/>
      <c r="AH869" s="159"/>
      <c r="AI869" s="159"/>
      <c r="AJ869" s="235"/>
      <c r="AK869" s="159"/>
      <c r="AL869" s="159"/>
      <c r="AM869" s="235"/>
      <c r="AN869" s="235"/>
    </row>
    <row r="870" spans="1:40" ht="15" customHeight="1">
      <c r="A870" s="159"/>
      <c r="B870" s="159"/>
      <c r="C870" s="159"/>
      <c r="D870" s="159"/>
      <c r="E870" s="159"/>
      <c r="F870" s="159"/>
      <c r="G870" s="232"/>
      <c r="H870" s="232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226"/>
      <c r="AB870" s="159"/>
      <c r="AC870" s="226"/>
      <c r="AD870" s="337"/>
      <c r="AE870" s="159"/>
      <c r="AF870" s="159"/>
      <c r="AG870" s="235"/>
      <c r="AH870" s="159"/>
      <c r="AI870" s="159"/>
      <c r="AJ870" s="235"/>
      <c r="AK870" s="159"/>
      <c r="AL870" s="159"/>
      <c r="AM870" s="235"/>
      <c r="AN870" s="235"/>
    </row>
    <row r="871" spans="1:40" ht="15" customHeight="1">
      <c r="A871" s="159"/>
      <c r="B871" s="159"/>
      <c r="C871" s="159"/>
      <c r="D871" s="159"/>
      <c r="E871" s="159"/>
      <c r="F871" s="159"/>
      <c r="G871" s="232"/>
      <c r="H871" s="232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226"/>
      <c r="AB871" s="159"/>
      <c r="AC871" s="226"/>
      <c r="AD871" s="337"/>
      <c r="AE871" s="159"/>
      <c r="AF871" s="159"/>
      <c r="AG871" s="235"/>
      <c r="AH871" s="159"/>
      <c r="AI871" s="159"/>
      <c r="AJ871" s="235"/>
      <c r="AK871" s="159"/>
      <c r="AL871" s="159"/>
      <c r="AM871" s="235"/>
      <c r="AN871" s="235"/>
    </row>
    <row r="872" spans="1:40" ht="15" customHeight="1">
      <c r="A872" s="159"/>
      <c r="B872" s="159"/>
      <c r="C872" s="159"/>
      <c r="D872" s="159"/>
      <c r="E872" s="159"/>
      <c r="F872" s="159"/>
      <c r="G872" s="232"/>
      <c r="H872" s="232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226"/>
      <c r="AB872" s="159"/>
      <c r="AC872" s="226"/>
      <c r="AD872" s="337"/>
      <c r="AE872" s="159"/>
      <c r="AF872" s="159"/>
      <c r="AG872" s="235"/>
      <c r="AH872" s="159"/>
      <c r="AI872" s="159"/>
      <c r="AJ872" s="235"/>
      <c r="AK872" s="159"/>
      <c r="AL872" s="159"/>
      <c r="AM872" s="235"/>
      <c r="AN872" s="235"/>
    </row>
    <row r="873" spans="1:40" ht="15" customHeight="1">
      <c r="A873" s="159"/>
      <c r="B873" s="159"/>
      <c r="C873" s="159"/>
      <c r="D873" s="159"/>
      <c r="E873" s="159"/>
      <c r="F873" s="159"/>
      <c r="G873" s="232"/>
      <c r="H873" s="232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226"/>
      <c r="AB873" s="159"/>
      <c r="AC873" s="226"/>
      <c r="AD873" s="337"/>
      <c r="AE873" s="159"/>
      <c r="AF873" s="159"/>
      <c r="AG873" s="235"/>
      <c r="AH873" s="159"/>
      <c r="AI873" s="159"/>
      <c r="AJ873" s="235"/>
      <c r="AK873" s="159"/>
      <c r="AL873" s="159"/>
      <c r="AM873" s="235"/>
      <c r="AN873" s="235"/>
    </row>
    <row r="874" spans="1:40" ht="15" customHeight="1">
      <c r="A874" s="159"/>
      <c r="B874" s="159"/>
      <c r="C874" s="159"/>
      <c r="D874" s="159"/>
      <c r="E874" s="159"/>
      <c r="F874" s="159"/>
      <c r="G874" s="232"/>
      <c r="H874" s="232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226"/>
      <c r="AB874" s="159"/>
      <c r="AC874" s="226"/>
      <c r="AD874" s="337"/>
      <c r="AE874" s="159"/>
      <c r="AF874" s="159"/>
      <c r="AG874" s="235"/>
      <c r="AH874" s="159"/>
      <c r="AI874" s="159"/>
      <c r="AJ874" s="235"/>
      <c r="AK874" s="159"/>
      <c r="AL874" s="159"/>
      <c r="AM874" s="235"/>
      <c r="AN874" s="235"/>
    </row>
    <row r="875" spans="1:40" ht="15" customHeight="1">
      <c r="A875" s="159"/>
      <c r="B875" s="159"/>
      <c r="C875" s="159"/>
      <c r="D875" s="159"/>
      <c r="E875" s="159"/>
      <c r="F875" s="159"/>
      <c r="G875" s="232"/>
      <c r="H875" s="232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226"/>
      <c r="AB875" s="159"/>
      <c r="AC875" s="226"/>
      <c r="AD875" s="337"/>
      <c r="AE875" s="159"/>
      <c r="AF875" s="159"/>
      <c r="AG875" s="235"/>
      <c r="AH875" s="159"/>
      <c r="AI875" s="159"/>
      <c r="AJ875" s="235"/>
      <c r="AK875" s="159"/>
      <c r="AL875" s="159"/>
      <c r="AM875" s="235"/>
      <c r="AN875" s="235"/>
    </row>
    <row r="876" spans="1:40" ht="15" customHeight="1">
      <c r="A876" s="159"/>
      <c r="B876" s="159"/>
      <c r="C876" s="159"/>
      <c r="D876" s="159"/>
      <c r="E876" s="159"/>
      <c r="F876" s="159"/>
      <c r="G876" s="232"/>
      <c r="H876" s="232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226"/>
      <c r="AB876" s="159"/>
      <c r="AC876" s="226"/>
      <c r="AD876" s="337"/>
      <c r="AE876" s="159"/>
      <c r="AF876" s="159"/>
      <c r="AG876" s="235"/>
      <c r="AH876" s="159"/>
      <c r="AI876" s="159"/>
      <c r="AJ876" s="235"/>
      <c r="AK876" s="159"/>
      <c r="AL876" s="159"/>
      <c r="AM876" s="235"/>
      <c r="AN876" s="235"/>
    </row>
    <row r="877" spans="1:40" ht="15" customHeight="1">
      <c r="A877" s="159"/>
      <c r="B877" s="159"/>
      <c r="C877" s="159"/>
      <c r="D877" s="159"/>
      <c r="E877" s="159"/>
      <c r="F877" s="159"/>
      <c r="G877" s="232"/>
      <c r="H877" s="232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226"/>
      <c r="AB877" s="159"/>
      <c r="AC877" s="226"/>
      <c r="AD877" s="337"/>
      <c r="AE877" s="159"/>
      <c r="AF877" s="159"/>
      <c r="AG877" s="235"/>
      <c r="AH877" s="159"/>
      <c r="AI877" s="159"/>
      <c r="AJ877" s="235"/>
      <c r="AK877" s="159"/>
      <c r="AL877" s="159"/>
      <c r="AM877" s="235"/>
      <c r="AN877" s="235"/>
    </row>
    <row r="878" spans="1:40" ht="15" customHeight="1">
      <c r="A878" s="159"/>
      <c r="B878" s="159"/>
      <c r="C878" s="159"/>
      <c r="D878" s="159"/>
      <c r="E878" s="159"/>
      <c r="F878" s="159"/>
      <c r="G878" s="232"/>
      <c r="H878" s="232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226"/>
      <c r="AB878" s="159"/>
      <c r="AC878" s="226"/>
      <c r="AD878" s="337"/>
      <c r="AE878" s="159"/>
      <c r="AF878" s="159"/>
      <c r="AG878" s="235"/>
      <c r="AH878" s="159"/>
      <c r="AI878" s="159"/>
      <c r="AJ878" s="235"/>
      <c r="AK878" s="159"/>
      <c r="AL878" s="159"/>
      <c r="AM878" s="235"/>
      <c r="AN878" s="235"/>
    </row>
    <row r="879" spans="1:40" ht="15" customHeight="1">
      <c r="A879" s="159"/>
      <c r="B879" s="159"/>
      <c r="C879" s="159"/>
      <c r="D879" s="159"/>
      <c r="E879" s="159"/>
      <c r="F879" s="159"/>
      <c r="G879" s="232"/>
      <c r="H879" s="232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226"/>
      <c r="AB879" s="159"/>
      <c r="AC879" s="226"/>
      <c r="AD879" s="337"/>
      <c r="AE879" s="159"/>
      <c r="AF879" s="159"/>
      <c r="AG879" s="235"/>
      <c r="AH879" s="159"/>
      <c r="AI879" s="159"/>
      <c r="AJ879" s="235"/>
      <c r="AK879" s="159"/>
      <c r="AL879" s="159"/>
      <c r="AM879" s="235"/>
      <c r="AN879" s="235"/>
    </row>
    <row r="880" spans="1:40" ht="15" customHeight="1">
      <c r="A880" s="159"/>
      <c r="B880" s="159"/>
      <c r="C880" s="159"/>
      <c r="D880" s="159"/>
      <c r="E880" s="159"/>
      <c r="F880" s="159"/>
      <c r="G880" s="232"/>
      <c r="H880" s="232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226"/>
      <c r="AB880" s="159"/>
      <c r="AC880" s="226"/>
      <c r="AD880" s="337"/>
      <c r="AE880" s="159"/>
      <c r="AF880" s="159"/>
      <c r="AG880" s="235"/>
      <c r="AH880" s="159"/>
      <c r="AI880" s="159"/>
      <c r="AJ880" s="235"/>
      <c r="AK880" s="159"/>
      <c r="AL880" s="159"/>
      <c r="AM880" s="235"/>
      <c r="AN880" s="235"/>
    </row>
    <row r="881" spans="1:40" ht="15" customHeight="1">
      <c r="A881" s="159"/>
      <c r="B881" s="159"/>
      <c r="C881" s="159"/>
      <c r="D881" s="159"/>
      <c r="E881" s="159"/>
      <c r="F881" s="159"/>
      <c r="G881" s="232"/>
      <c r="H881" s="232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226"/>
      <c r="AB881" s="159"/>
      <c r="AC881" s="226"/>
      <c r="AD881" s="337"/>
      <c r="AE881" s="159"/>
      <c r="AF881" s="159"/>
      <c r="AG881" s="235"/>
      <c r="AH881" s="159"/>
      <c r="AI881" s="159"/>
      <c r="AJ881" s="235"/>
      <c r="AK881" s="159"/>
      <c r="AL881" s="159"/>
      <c r="AM881" s="235"/>
      <c r="AN881" s="235"/>
    </row>
    <row r="882" spans="1:40" ht="15" customHeight="1">
      <c r="A882" s="159"/>
      <c r="B882" s="159"/>
      <c r="C882" s="159"/>
      <c r="D882" s="159"/>
      <c r="E882" s="159"/>
      <c r="F882" s="159"/>
      <c r="G882" s="232"/>
      <c r="H882" s="232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226"/>
      <c r="AB882" s="159"/>
      <c r="AC882" s="226"/>
      <c r="AD882" s="337"/>
      <c r="AE882" s="159"/>
      <c r="AF882" s="159"/>
      <c r="AG882" s="235"/>
      <c r="AH882" s="159"/>
      <c r="AI882" s="159"/>
      <c r="AJ882" s="235"/>
      <c r="AK882" s="159"/>
      <c r="AL882" s="159"/>
      <c r="AM882" s="235"/>
      <c r="AN882" s="235"/>
    </row>
    <row r="883" spans="1:40" ht="15" customHeight="1">
      <c r="A883" s="159"/>
      <c r="B883" s="159"/>
      <c r="C883" s="159"/>
      <c r="D883" s="159"/>
      <c r="E883" s="159"/>
      <c r="F883" s="159"/>
      <c r="G883" s="232"/>
      <c r="H883" s="232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226"/>
      <c r="AB883" s="159"/>
      <c r="AC883" s="226"/>
      <c r="AD883" s="337"/>
      <c r="AE883" s="159"/>
      <c r="AF883" s="159"/>
      <c r="AG883" s="235"/>
      <c r="AH883" s="159"/>
      <c r="AI883" s="159"/>
      <c r="AJ883" s="235"/>
      <c r="AK883" s="159"/>
      <c r="AL883" s="159"/>
      <c r="AM883" s="235"/>
      <c r="AN883" s="235"/>
    </row>
    <row r="884" spans="1:40" ht="15" customHeight="1">
      <c r="A884" s="159"/>
      <c r="B884" s="159"/>
      <c r="C884" s="159"/>
      <c r="D884" s="159"/>
      <c r="E884" s="159"/>
      <c r="F884" s="159"/>
      <c r="G884" s="232"/>
      <c r="H884" s="232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226"/>
      <c r="AB884" s="159"/>
      <c r="AC884" s="226"/>
      <c r="AD884" s="337"/>
      <c r="AE884" s="159"/>
      <c r="AF884" s="159"/>
      <c r="AG884" s="235"/>
      <c r="AH884" s="159"/>
      <c r="AI884" s="159"/>
      <c r="AJ884" s="235"/>
      <c r="AK884" s="159"/>
      <c r="AL884" s="159"/>
      <c r="AM884" s="235"/>
      <c r="AN884" s="235"/>
    </row>
    <row r="885" spans="1:40" ht="15" customHeight="1">
      <c r="A885" s="159"/>
      <c r="B885" s="159"/>
      <c r="C885" s="159"/>
      <c r="D885" s="159"/>
      <c r="E885" s="159"/>
      <c r="F885" s="159"/>
      <c r="G885" s="232"/>
      <c r="H885" s="232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226"/>
      <c r="AB885" s="159"/>
      <c r="AC885" s="226"/>
      <c r="AD885" s="337"/>
      <c r="AE885" s="159"/>
      <c r="AF885" s="159"/>
      <c r="AG885" s="235"/>
      <c r="AH885" s="159"/>
      <c r="AI885" s="159"/>
      <c r="AJ885" s="235"/>
      <c r="AK885" s="159"/>
      <c r="AL885" s="159"/>
      <c r="AM885" s="235"/>
      <c r="AN885" s="235"/>
    </row>
    <row r="886" spans="1:40" ht="15" customHeight="1">
      <c r="A886" s="159"/>
      <c r="B886" s="159"/>
      <c r="C886" s="159"/>
      <c r="D886" s="159"/>
      <c r="E886" s="159"/>
      <c r="F886" s="159"/>
      <c r="G886" s="232"/>
      <c r="H886" s="232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226"/>
      <c r="AB886" s="159"/>
      <c r="AC886" s="226"/>
      <c r="AD886" s="337"/>
      <c r="AE886" s="159"/>
      <c r="AF886" s="159"/>
      <c r="AG886" s="235"/>
      <c r="AH886" s="159"/>
      <c r="AI886" s="159"/>
      <c r="AJ886" s="235"/>
      <c r="AK886" s="159"/>
      <c r="AL886" s="159"/>
      <c r="AM886" s="235"/>
      <c r="AN886" s="235"/>
    </row>
    <row r="887" spans="1:40" ht="15" customHeight="1">
      <c r="A887" s="159"/>
      <c r="B887" s="159"/>
      <c r="C887" s="159"/>
      <c r="D887" s="159"/>
      <c r="E887" s="159"/>
      <c r="F887" s="159"/>
      <c r="G887" s="232"/>
      <c r="H887" s="232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226"/>
      <c r="AB887" s="159"/>
      <c r="AC887" s="226"/>
      <c r="AD887" s="337"/>
      <c r="AE887" s="159"/>
      <c r="AF887" s="159"/>
      <c r="AG887" s="235"/>
      <c r="AH887" s="159"/>
      <c r="AI887" s="159"/>
      <c r="AJ887" s="235"/>
      <c r="AK887" s="159"/>
      <c r="AL887" s="159"/>
      <c r="AM887" s="235"/>
      <c r="AN887" s="235"/>
    </row>
    <row r="888" spans="1:40" ht="15" customHeight="1">
      <c r="A888" s="159"/>
      <c r="B888" s="159"/>
      <c r="C888" s="159"/>
      <c r="D888" s="159"/>
      <c r="E888" s="159"/>
      <c r="F888" s="159"/>
      <c r="G888" s="232"/>
      <c r="H888" s="232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226"/>
      <c r="AB888" s="159"/>
      <c r="AC888" s="226"/>
      <c r="AD888" s="337"/>
      <c r="AE888" s="159"/>
      <c r="AF888" s="159"/>
      <c r="AG888" s="235"/>
      <c r="AH888" s="159"/>
      <c r="AI888" s="159"/>
      <c r="AJ888" s="235"/>
      <c r="AK888" s="159"/>
      <c r="AL888" s="159"/>
      <c r="AM888" s="235"/>
      <c r="AN888" s="235"/>
    </row>
    <row r="889" spans="1:40" ht="15" customHeight="1">
      <c r="A889" s="159"/>
      <c r="B889" s="159"/>
      <c r="C889" s="159"/>
      <c r="D889" s="159"/>
      <c r="E889" s="159"/>
      <c r="F889" s="159"/>
      <c r="G889" s="232"/>
      <c r="H889" s="232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226"/>
      <c r="AB889" s="159"/>
      <c r="AC889" s="226"/>
      <c r="AD889" s="337"/>
      <c r="AE889" s="159"/>
      <c r="AF889" s="159"/>
      <c r="AG889" s="235"/>
      <c r="AH889" s="159"/>
      <c r="AI889" s="159"/>
      <c r="AJ889" s="235"/>
      <c r="AK889" s="159"/>
      <c r="AL889" s="159"/>
      <c r="AM889" s="235"/>
      <c r="AN889" s="235"/>
    </row>
    <row r="890" spans="1:40" ht="15" customHeight="1">
      <c r="A890" s="159"/>
      <c r="B890" s="159"/>
      <c r="C890" s="159"/>
      <c r="D890" s="159"/>
      <c r="E890" s="159"/>
      <c r="F890" s="159"/>
      <c r="G890" s="232"/>
      <c r="H890" s="232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226"/>
      <c r="AB890" s="159"/>
      <c r="AC890" s="226"/>
      <c r="AD890" s="337"/>
      <c r="AE890" s="159"/>
      <c r="AF890" s="159"/>
      <c r="AG890" s="235"/>
      <c r="AH890" s="159"/>
      <c r="AI890" s="159"/>
      <c r="AJ890" s="235"/>
      <c r="AK890" s="159"/>
      <c r="AL890" s="159"/>
      <c r="AM890" s="235"/>
      <c r="AN890" s="235"/>
    </row>
    <row r="891" spans="1:40" ht="15" customHeight="1">
      <c r="A891" s="159"/>
      <c r="B891" s="159"/>
      <c r="C891" s="159"/>
      <c r="D891" s="159"/>
      <c r="E891" s="159"/>
      <c r="F891" s="159"/>
      <c r="G891" s="232"/>
      <c r="H891" s="232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226"/>
      <c r="AB891" s="159"/>
      <c r="AC891" s="226"/>
      <c r="AD891" s="337"/>
      <c r="AE891" s="159"/>
      <c r="AF891" s="159"/>
      <c r="AG891" s="235"/>
      <c r="AH891" s="159"/>
      <c r="AI891" s="159"/>
      <c r="AJ891" s="235"/>
      <c r="AK891" s="159"/>
      <c r="AL891" s="159"/>
      <c r="AM891" s="235"/>
      <c r="AN891" s="235"/>
    </row>
    <row r="892" spans="1:40" ht="15" customHeight="1">
      <c r="A892" s="159"/>
      <c r="B892" s="159"/>
      <c r="C892" s="159"/>
      <c r="D892" s="159"/>
      <c r="E892" s="159"/>
      <c r="F892" s="159"/>
      <c r="G892" s="232"/>
      <c r="H892" s="232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226"/>
      <c r="AB892" s="159"/>
      <c r="AC892" s="226"/>
      <c r="AD892" s="337"/>
      <c r="AE892" s="159"/>
      <c r="AF892" s="159"/>
      <c r="AG892" s="235"/>
      <c r="AH892" s="159"/>
      <c r="AI892" s="159"/>
      <c r="AJ892" s="235"/>
      <c r="AK892" s="159"/>
      <c r="AL892" s="159"/>
      <c r="AM892" s="235"/>
      <c r="AN892" s="235"/>
    </row>
    <row r="893" spans="1:40" ht="15" customHeight="1">
      <c r="A893" s="159"/>
      <c r="B893" s="159"/>
      <c r="C893" s="159"/>
      <c r="D893" s="159"/>
      <c r="E893" s="159"/>
      <c r="F893" s="159"/>
      <c r="G893" s="232"/>
      <c r="H893" s="232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226"/>
      <c r="AB893" s="159"/>
      <c r="AC893" s="226"/>
      <c r="AD893" s="337"/>
      <c r="AE893" s="159"/>
      <c r="AF893" s="159"/>
      <c r="AG893" s="235"/>
      <c r="AH893" s="159"/>
      <c r="AI893" s="159"/>
      <c r="AJ893" s="235"/>
      <c r="AK893" s="159"/>
      <c r="AL893" s="159"/>
      <c r="AM893" s="235"/>
      <c r="AN893" s="235"/>
    </row>
    <row r="894" spans="1:40" ht="15" customHeight="1">
      <c r="A894" s="159"/>
      <c r="B894" s="159"/>
      <c r="C894" s="159"/>
      <c r="D894" s="159"/>
      <c r="E894" s="159"/>
      <c r="F894" s="159"/>
      <c r="G894" s="232"/>
      <c r="H894" s="232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226"/>
      <c r="AB894" s="159"/>
      <c r="AC894" s="226"/>
      <c r="AD894" s="337"/>
      <c r="AE894" s="159"/>
      <c r="AF894" s="159"/>
      <c r="AG894" s="235"/>
      <c r="AH894" s="159"/>
      <c r="AI894" s="159"/>
      <c r="AJ894" s="235"/>
      <c r="AK894" s="159"/>
      <c r="AL894" s="159"/>
      <c r="AM894" s="235"/>
      <c r="AN894" s="235"/>
    </row>
    <row r="895" spans="1:40" ht="15" customHeight="1">
      <c r="A895" s="159"/>
      <c r="B895" s="159"/>
      <c r="C895" s="159"/>
      <c r="D895" s="159"/>
      <c r="E895" s="159"/>
      <c r="F895" s="159"/>
      <c r="G895" s="232"/>
      <c r="H895" s="232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226"/>
      <c r="AB895" s="159"/>
      <c r="AC895" s="226"/>
      <c r="AD895" s="337"/>
      <c r="AE895" s="159"/>
      <c r="AF895" s="159"/>
      <c r="AG895" s="235"/>
      <c r="AH895" s="159"/>
      <c r="AI895" s="159"/>
      <c r="AJ895" s="235"/>
      <c r="AK895" s="159"/>
      <c r="AL895" s="159"/>
      <c r="AM895" s="235"/>
      <c r="AN895" s="235"/>
    </row>
    <row r="896" spans="1:40" ht="15" customHeight="1">
      <c r="A896" s="159"/>
      <c r="B896" s="159"/>
      <c r="C896" s="159"/>
      <c r="D896" s="159"/>
      <c r="E896" s="159"/>
      <c r="F896" s="159"/>
      <c r="G896" s="232"/>
      <c r="H896" s="232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226"/>
      <c r="AB896" s="159"/>
      <c r="AC896" s="226"/>
      <c r="AD896" s="337"/>
      <c r="AE896" s="159"/>
      <c r="AF896" s="159"/>
      <c r="AG896" s="235"/>
      <c r="AH896" s="159"/>
      <c r="AI896" s="159"/>
      <c r="AJ896" s="235"/>
      <c r="AK896" s="159"/>
      <c r="AL896" s="159"/>
      <c r="AM896" s="235"/>
      <c r="AN896" s="235"/>
    </row>
    <row r="897" spans="1:40" ht="15" customHeight="1">
      <c r="A897" s="159"/>
      <c r="B897" s="159"/>
      <c r="C897" s="159"/>
      <c r="D897" s="159"/>
      <c r="E897" s="159"/>
      <c r="F897" s="159"/>
      <c r="G897" s="232"/>
      <c r="H897" s="232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226"/>
      <c r="AB897" s="159"/>
      <c r="AC897" s="226"/>
      <c r="AD897" s="337"/>
      <c r="AE897" s="159"/>
      <c r="AF897" s="159"/>
      <c r="AG897" s="235"/>
      <c r="AH897" s="159"/>
      <c r="AI897" s="159"/>
      <c r="AJ897" s="235"/>
      <c r="AK897" s="159"/>
      <c r="AL897" s="159"/>
      <c r="AM897" s="235"/>
      <c r="AN897" s="235"/>
    </row>
    <row r="898" spans="1:40" ht="15" customHeight="1">
      <c r="A898" s="159"/>
      <c r="B898" s="159"/>
      <c r="C898" s="159"/>
      <c r="D898" s="159"/>
      <c r="E898" s="159"/>
      <c r="F898" s="159"/>
      <c r="G898" s="232"/>
      <c r="H898" s="232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226"/>
      <c r="AB898" s="159"/>
      <c r="AC898" s="226"/>
      <c r="AD898" s="337"/>
      <c r="AE898" s="159"/>
      <c r="AF898" s="159"/>
      <c r="AG898" s="235"/>
      <c r="AH898" s="159"/>
      <c r="AI898" s="159"/>
      <c r="AJ898" s="235"/>
      <c r="AK898" s="159"/>
      <c r="AL898" s="159"/>
      <c r="AM898" s="235"/>
      <c r="AN898" s="235"/>
    </row>
    <row r="899" spans="1:40" ht="15" customHeight="1">
      <c r="A899" s="159"/>
      <c r="B899" s="159"/>
      <c r="C899" s="159"/>
      <c r="D899" s="159"/>
      <c r="E899" s="159"/>
      <c r="F899" s="159"/>
      <c r="G899" s="232"/>
      <c r="H899" s="232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226"/>
      <c r="AB899" s="159"/>
      <c r="AC899" s="226"/>
      <c r="AD899" s="337"/>
      <c r="AE899" s="159"/>
      <c r="AF899" s="159"/>
      <c r="AG899" s="235"/>
      <c r="AH899" s="159"/>
      <c r="AI899" s="159"/>
      <c r="AJ899" s="235"/>
      <c r="AK899" s="159"/>
      <c r="AL899" s="159"/>
      <c r="AM899" s="235"/>
      <c r="AN899" s="235"/>
    </row>
    <row r="900" spans="1:40" ht="15" customHeight="1">
      <c r="A900" s="159"/>
      <c r="B900" s="159"/>
      <c r="C900" s="159"/>
      <c r="D900" s="159"/>
      <c r="E900" s="159"/>
      <c r="F900" s="159"/>
      <c r="G900" s="232"/>
      <c r="H900" s="232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226"/>
      <c r="AB900" s="159"/>
      <c r="AC900" s="226"/>
      <c r="AD900" s="337"/>
      <c r="AE900" s="159"/>
      <c r="AF900" s="159"/>
      <c r="AG900" s="235"/>
      <c r="AH900" s="159"/>
      <c r="AI900" s="159"/>
      <c r="AJ900" s="235"/>
      <c r="AK900" s="159"/>
      <c r="AL900" s="159"/>
      <c r="AM900" s="235"/>
      <c r="AN900" s="235"/>
    </row>
    <row r="901" spans="1:40" ht="15" customHeight="1">
      <c r="A901" s="159"/>
      <c r="B901" s="159"/>
      <c r="C901" s="159"/>
      <c r="D901" s="159"/>
      <c r="E901" s="159"/>
      <c r="F901" s="159"/>
      <c r="G901" s="232"/>
      <c r="H901" s="232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226"/>
      <c r="AB901" s="159"/>
      <c r="AC901" s="226"/>
      <c r="AD901" s="337"/>
      <c r="AE901" s="159"/>
      <c r="AF901" s="159"/>
      <c r="AG901" s="235"/>
      <c r="AH901" s="159"/>
      <c r="AI901" s="159"/>
      <c r="AJ901" s="235"/>
      <c r="AK901" s="159"/>
      <c r="AL901" s="159"/>
      <c r="AM901" s="235"/>
      <c r="AN901" s="235"/>
    </row>
    <row r="902" spans="1:40" ht="15" customHeight="1">
      <c r="A902" s="159"/>
      <c r="B902" s="159"/>
      <c r="C902" s="159"/>
      <c r="D902" s="159"/>
      <c r="E902" s="159"/>
      <c r="F902" s="159"/>
      <c r="G902" s="232"/>
      <c r="H902" s="232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226"/>
      <c r="AB902" s="159"/>
      <c r="AC902" s="226"/>
      <c r="AD902" s="337"/>
      <c r="AE902" s="159"/>
      <c r="AF902" s="159"/>
      <c r="AG902" s="235"/>
      <c r="AH902" s="159"/>
      <c r="AI902" s="159"/>
      <c r="AJ902" s="235"/>
      <c r="AK902" s="159"/>
      <c r="AL902" s="159"/>
      <c r="AM902" s="235"/>
      <c r="AN902" s="235"/>
    </row>
    <row r="903" spans="1:40" ht="15" customHeight="1">
      <c r="A903" s="159"/>
      <c r="B903" s="159"/>
      <c r="C903" s="159"/>
      <c r="D903" s="159"/>
      <c r="E903" s="159"/>
      <c r="F903" s="159"/>
      <c r="G903" s="232"/>
      <c r="H903" s="232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226"/>
      <c r="AB903" s="159"/>
      <c r="AC903" s="226"/>
      <c r="AD903" s="337"/>
      <c r="AE903" s="159"/>
      <c r="AF903" s="159"/>
      <c r="AG903" s="235"/>
      <c r="AH903" s="159"/>
      <c r="AI903" s="159"/>
      <c r="AJ903" s="235"/>
      <c r="AK903" s="159"/>
      <c r="AL903" s="159"/>
      <c r="AM903" s="235"/>
      <c r="AN903" s="235"/>
    </row>
    <row r="904" spans="1:40" ht="15" customHeight="1">
      <c r="A904" s="159"/>
      <c r="B904" s="159"/>
      <c r="C904" s="159"/>
      <c r="D904" s="159"/>
      <c r="E904" s="159"/>
      <c r="F904" s="159"/>
      <c r="G904" s="232"/>
      <c r="H904" s="232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226"/>
      <c r="AB904" s="159"/>
      <c r="AC904" s="226"/>
      <c r="AD904" s="337"/>
      <c r="AE904" s="159"/>
      <c r="AF904" s="159"/>
      <c r="AG904" s="235"/>
      <c r="AH904" s="159"/>
      <c r="AI904" s="159"/>
      <c r="AJ904" s="235"/>
      <c r="AK904" s="159"/>
      <c r="AL904" s="159"/>
      <c r="AM904" s="235"/>
      <c r="AN904" s="235"/>
    </row>
    <row r="905" spans="1:40" ht="15" customHeight="1">
      <c r="A905" s="159"/>
      <c r="B905" s="159"/>
      <c r="C905" s="159"/>
      <c r="D905" s="159"/>
      <c r="E905" s="159"/>
      <c r="F905" s="159"/>
      <c r="G905" s="232"/>
      <c r="H905" s="232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226"/>
      <c r="AB905" s="159"/>
      <c r="AC905" s="226"/>
      <c r="AD905" s="337"/>
      <c r="AE905" s="159"/>
      <c r="AF905" s="159"/>
      <c r="AG905" s="235"/>
      <c r="AH905" s="159"/>
      <c r="AI905" s="159"/>
      <c r="AJ905" s="235"/>
      <c r="AK905" s="159"/>
      <c r="AL905" s="159"/>
      <c r="AM905" s="235"/>
      <c r="AN905" s="235"/>
    </row>
    <row r="906" spans="1:40" ht="15" customHeight="1">
      <c r="A906" s="159"/>
      <c r="B906" s="159"/>
      <c r="C906" s="159"/>
      <c r="D906" s="159"/>
      <c r="E906" s="159"/>
      <c r="F906" s="159"/>
      <c r="G906" s="232"/>
      <c r="H906" s="232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226"/>
      <c r="AB906" s="159"/>
      <c r="AC906" s="226"/>
      <c r="AD906" s="337"/>
      <c r="AE906" s="159"/>
      <c r="AF906" s="159"/>
      <c r="AG906" s="235"/>
      <c r="AH906" s="159"/>
      <c r="AI906" s="159"/>
      <c r="AJ906" s="235"/>
      <c r="AK906" s="159"/>
      <c r="AL906" s="159"/>
      <c r="AM906" s="235"/>
      <c r="AN906" s="235"/>
    </row>
    <row r="907" spans="1:40" ht="15" customHeight="1">
      <c r="A907" s="159"/>
      <c r="B907" s="159"/>
      <c r="C907" s="159"/>
      <c r="D907" s="159"/>
      <c r="E907" s="159"/>
      <c r="F907" s="159"/>
      <c r="G907" s="232"/>
      <c r="H907" s="232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226"/>
      <c r="AB907" s="159"/>
      <c r="AC907" s="226"/>
      <c r="AD907" s="337"/>
      <c r="AE907" s="159"/>
      <c r="AF907" s="159"/>
      <c r="AG907" s="235"/>
      <c r="AH907" s="159"/>
      <c r="AI907" s="159"/>
      <c r="AJ907" s="235"/>
      <c r="AK907" s="159"/>
      <c r="AL907" s="159"/>
      <c r="AM907" s="235"/>
      <c r="AN907" s="235"/>
    </row>
    <row r="908" spans="1:40" ht="15" customHeight="1">
      <c r="A908" s="159"/>
      <c r="B908" s="159"/>
      <c r="C908" s="159"/>
      <c r="D908" s="159"/>
      <c r="E908" s="159"/>
      <c r="F908" s="159"/>
      <c r="G908" s="232"/>
      <c r="H908" s="232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226"/>
      <c r="AB908" s="159"/>
      <c r="AC908" s="226"/>
      <c r="AD908" s="337"/>
      <c r="AE908" s="159"/>
      <c r="AF908" s="159"/>
      <c r="AG908" s="235"/>
      <c r="AH908" s="159"/>
      <c r="AI908" s="159"/>
      <c r="AJ908" s="235"/>
      <c r="AK908" s="159"/>
      <c r="AL908" s="159"/>
      <c r="AM908" s="235"/>
      <c r="AN908" s="235"/>
    </row>
    <row r="909" spans="1:40" ht="15" customHeight="1">
      <c r="A909" s="159"/>
      <c r="B909" s="159"/>
      <c r="C909" s="159"/>
      <c r="D909" s="159"/>
      <c r="E909" s="159"/>
      <c r="F909" s="159"/>
      <c r="G909" s="232"/>
      <c r="H909" s="232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226"/>
      <c r="AB909" s="159"/>
      <c r="AC909" s="226"/>
      <c r="AD909" s="337"/>
      <c r="AE909" s="159"/>
      <c r="AF909" s="159"/>
      <c r="AG909" s="235"/>
      <c r="AH909" s="159"/>
      <c r="AI909" s="159"/>
      <c r="AJ909" s="235"/>
      <c r="AK909" s="159"/>
      <c r="AL909" s="159"/>
      <c r="AM909" s="235"/>
      <c r="AN909" s="235"/>
    </row>
    <row r="910" spans="1:40" ht="15" customHeight="1">
      <c r="A910" s="159"/>
      <c r="B910" s="159"/>
      <c r="C910" s="159"/>
      <c r="D910" s="159"/>
      <c r="E910" s="159"/>
      <c r="F910" s="159"/>
      <c r="G910" s="232"/>
      <c r="H910" s="232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226"/>
      <c r="AB910" s="159"/>
      <c r="AC910" s="226"/>
      <c r="AD910" s="337"/>
      <c r="AE910" s="159"/>
      <c r="AF910" s="159"/>
      <c r="AG910" s="235"/>
      <c r="AH910" s="159"/>
      <c r="AI910" s="159"/>
      <c r="AJ910" s="235"/>
      <c r="AK910" s="159"/>
      <c r="AL910" s="159"/>
      <c r="AM910" s="235"/>
      <c r="AN910" s="235"/>
    </row>
  </sheetData>
  <autoFilter ref="A1:AN76" xr:uid="{4CBD5CCC-281A-4A0D-AC54-17650BE2574A}"/>
  <sortState xmlns:xlrd2="http://schemas.microsoft.com/office/spreadsheetml/2017/richdata2" ref="D2:AM676">
    <sortCondition ref="H2:H676"/>
    <sortCondition ref="I2:I676"/>
  </sortState>
  <conditionalFormatting sqref="L1:L76">
    <cfRule type="containsText" dxfId="10" priority="15" operator="containsText" text="REZERVE">
      <formula>NOT(ISERROR(SEARCH("REZERVE",L1)))</formula>
    </cfRule>
  </conditionalFormatting>
  <conditionalFormatting sqref="L799:L1048576">
    <cfRule type="containsText" dxfId="9" priority="4" operator="containsText" text="REZERVE">
      <formula>NOT(ISERROR(SEARCH("REZERVE",L799)))</formula>
    </cfRule>
  </conditionalFormatting>
  <dataValidations count="7">
    <dataValidation type="list" allowBlank="1" showInputMessage="1" showErrorMessage="1" sqref="L799:L1048576 L2:L76" xr:uid="{CE77F84D-DD83-40CF-8C6C-30D8402C5CEC}">
      <formula1>"İLAN BEKLİYOR, İLANDA, REZERVE, SATILDI, SATIŞ KAPANDI"</formula1>
    </dataValidation>
    <dataValidation type="list" allowBlank="1" showInputMessage="1" showErrorMessage="1" sqref="L799:L1048576 L2:L76" xr:uid="{19D08A11-5E48-4A29-85A1-F5E02AE9D471}">
      <formula1>"İLAN BEKLİYOR; İLANDA; REZERVE; SATILDI; SATIŞ KAPANDI"</formula1>
    </dataValidation>
    <dataValidation allowBlank="1" showInputMessage="1" showErrorMessage="1" sqref="M1 K799:K1048576 K1:K76 X1:AA76 X799:AA1048576" xr:uid="{5128A7E0-FB17-4612-BD2F-066D38874E8F}"/>
    <dataValidation type="list" allowBlank="1" showInputMessage="1" showErrorMessage="1" sqref="M2:M76 M799:M1048576" xr:uid="{88D3C078-B367-4E3B-918E-8627781651C2}">
      <formula1>"STOKTA, KONSİNYE, REZERVE, SATILDI/2. SATIŞTA, SATIŞ KAPANDI, MÜŞTERİ YERİ, STOKTA/İPOTEKLİ"</formula1>
    </dataValidation>
    <dataValidation type="list" allowBlank="1" showInputMessage="1" showErrorMessage="1" sqref="B2:B76" xr:uid="{18F842B2-6A96-4955-9BAC-47C6E30EA0D4}">
      <formula1>#REF!</formula1>
    </dataValidation>
    <dataValidation type="list" allowBlank="1" showInputMessage="1" showErrorMessage="1" sqref="C2:C76" xr:uid="{1647F91B-2FC2-48DE-8A5F-BDA6FB55B6C3}">
      <formula1>"ÖNCELİKLİ"</formula1>
    </dataValidation>
    <dataValidation type="list" allowBlank="1" showInputMessage="1" showErrorMessage="1" sqref="AL799:AL1048576 AI799:AI1048576 AI2:AI76 AL2:AL76 AF51:AF76 AF799:AF1048576" xr:uid="{CA1CCEEA-3529-4084-BC46-6C225C848061}">
      <formula1>"VAR, YOK"</formula1>
    </dataValidation>
  </dataValidations>
  <hyperlinks>
    <hyperlink ref="H48" r:id="rId1" location="ara/idari/171369/105/16/1695926074591" display="https://parselsorgu.tkgm.gov.tr/ - ara/idari/171369/105/16/1695926074591" xr:uid="{61AEA628-C990-407A-A29D-CEE18185DEC7}"/>
    <hyperlink ref="H37" r:id="rId2" location="ara/idari/171368/102/3/1695925942365" display="https://parselsorgu.tkgm.gov.tr/ - ara/idari/171368/102/3/1695925942365" xr:uid="{8F8FBFAF-BF0B-438F-AB9E-8956C5DD5606}"/>
    <hyperlink ref="H53" r:id="rId3" location="ara/idari/166925/180/13/1681761532340" display="https://parselsorgu.tkgm.gov.tr/ - ara/idari/166925/180/13/1681761532340" xr:uid="{58826D9C-38F2-4093-965F-56149A24D72E}"/>
    <hyperlink ref="H32" r:id="rId4" location="ara/idari/150139/149/9/1681934500175" display="https://parselsorgu.tkgm.gov.tr/ - ara/idari/150139/149/9/1681934500175" xr:uid="{8C827072-E38E-4FF1-8486-CC7526F6DE6B}"/>
    <hyperlink ref="H51" r:id="rId5" location="ara/idari/149101/128/2/1681761287349" display="https://parselsorgu.tkgm.gov.tr/ - ara/idari/149101/128/2/1681761287349" xr:uid="{F516D8FC-853D-47A7-9B65-3F44AAA0E7CE}"/>
    <hyperlink ref="H49" r:id="rId6" location="ara/idari/149568/106/3/1681761212808" display="https://parselsorgu.tkgm.gov.tr/ - ara/idari/149568/106/3/1681761212808" xr:uid="{7DB22323-2C8A-4720-87ED-E849C6975BE9}"/>
    <hyperlink ref="H75" r:id="rId7" location="ara/idari/37964/0/1710/1681761150197" display="https://parselsorgu.tkgm.gov.tr/ - ara/idari/37964/0/1710/1681761150197" xr:uid="{C1C4E406-F375-4C88-9CFB-A5545B341770}"/>
    <hyperlink ref="H61" r:id="rId8" location="ara/idari/167773/315/13/1681935809498" display="https://parselsorgu.tkgm.gov.tr/ - ara/idari/167773/315/13/1681935809498" xr:uid="{FD541C4E-96D9-4A1E-84B0-AB9B8F7CCF84}"/>
    <hyperlink ref="H2" r:id="rId9" location="ara/idari/147569/108/6/1681932067923" display="https://parselsorgu.tkgm.gov.tr/ - ara/idari/147569/108/6/1681932067923" xr:uid="{2DE93FB1-65EF-4165-99DA-4690023E7261}"/>
    <hyperlink ref="H66" r:id="rId10" location="ara/idari/205867/11633/11/1681760282630" display="https://parselsorgu.tkgm.gov.tr/ - ara/idari/205867/11633/11/1681760282630" xr:uid="{5D37A933-3626-46A1-B021-D62EE10B74B5}"/>
    <hyperlink ref="H29" r:id="rId11" location="ara/idari/153183/229/15/1681931959009" display="https://parselsorgu.tkgm.gov.tr/ - ara/idari/153183/229/15/1681931959009" xr:uid="{5F38AF21-4727-411C-83AF-3AA4743C2783}"/>
    <hyperlink ref="H70" r:id="rId12" location="ara/idari/166950/178/18/1681931891617" display="https://parselsorgu.tkgm.gov.tr/ - ara/idari/166950/178/18/1681931891617" xr:uid="{2830CD04-0FD5-4F65-98DB-D7A1D1993CB1}"/>
    <hyperlink ref="H41" r:id="rId13" location="ara/idari/167515/165/58/1681931931421" display="https://parselsorgu.tkgm.gov.tr/ - ara/idari/167515/165/58/1681931931421" xr:uid="{B8A2C74C-183D-4F5E-B795-D37AE84820E4}"/>
    <hyperlink ref="H11" r:id="rId14" location="ara/idari/167590/173/282/1681760861581" display="https://parselsorgu.tkgm.gov.tr/ - ara/idari/167590/173/282/1681760861581" xr:uid="{3DAA3F2E-9EB9-4EE6-AD99-0F90885EF287}"/>
    <hyperlink ref="H45" r:id="rId15" location="ara/idari/181647/446/11/1681760235374" display="https://parselsorgu.tkgm.gov.tr/ - ara/idari/181647/446/11/1681760235374" xr:uid="{35495733-4D2C-4677-80AC-2B57C32333EF}"/>
    <hyperlink ref="AB7" r:id="rId16" xr:uid="{2914639D-3652-48D2-A4B7-0C00490E9795}"/>
    <hyperlink ref="AD7" r:id="rId17" xr:uid="{CA674BFD-13A0-4B60-903A-DC14FB0FDDC2}"/>
    <hyperlink ref="AB14" r:id="rId18" display="241" xr:uid="{72E3E089-66C5-4736-9CBC-FC2E1C4EE19C}"/>
    <hyperlink ref="AB2" r:id="rId19" xr:uid="{6238CE30-AE3F-4577-89C4-95A02B61622E}"/>
    <hyperlink ref="AB22" r:id="rId20" xr:uid="{745A52E1-468A-4950-BB71-92657D0A0FA5}"/>
    <hyperlink ref="AB44" r:id="rId21" xr:uid="{BA6D9CAD-EA09-4DD2-A24B-AAA6911BE2AB}"/>
    <hyperlink ref="AB68" r:id="rId22" xr:uid="{7F9433D0-EE28-4A98-A772-19B1B3D8DEC8}"/>
    <hyperlink ref="AD12" r:id="rId23" xr:uid="{E2723145-A835-46A3-8DC5-9F2AA03BD9D4}"/>
    <hyperlink ref="AD18" r:id="rId24" xr:uid="{8AB5FCD8-C6AA-44F3-8682-034B360F460C}"/>
    <hyperlink ref="AD51" r:id="rId25" xr:uid="{9EF5F8B1-7865-4F9C-964F-C8063AF399DB}"/>
    <hyperlink ref="AD49" r:id="rId26" xr:uid="{FC9B7E36-E7E6-4C75-8C38-A4C263F0799B}"/>
    <hyperlink ref="AD75" r:id="rId27" xr:uid="{37DCA63F-9014-4627-A30E-7146C5052F6F}"/>
    <hyperlink ref="AB53" r:id="rId28" xr:uid="{F09F0929-07F7-46B1-8312-D8604169A850}"/>
    <hyperlink ref="AB66" r:id="rId29" xr:uid="{BEE6E302-3C23-4B23-B6EA-921C79251D7A}"/>
    <hyperlink ref="AB69" r:id="rId30" xr:uid="{386B4722-FD95-4F22-BFDC-465D97D43B01}"/>
    <hyperlink ref="AB70" r:id="rId31" xr:uid="{D566DD4E-C62B-4500-A3F5-7E3E73EFDFD1}"/>
    <hyperlink ref="AB71" r:id="rId32" xr:uid="{E5C77F31-DDEE-4F1F-861D-B3B5991FC2BA}"/>
    <hyperlink ref="AB56" r:id="rId33" xr:uid="{CA09E80A-3070-4B00-ABC9-D97DBDCDAB03}"/>
    <hyperlink ref="AB61" r:id="rId34" xr:uid="{B36212E7-1985-4746-9CB8-EC6EC15E36E4}"/>
    <hyperlink ref="AB19" r:id="rId35" xr:uid="{C73D5F67-BE4D-465A-9FC3-CF17E7BD74B1}"/>
    <hyperlink ref="AB41" r:id="rId36" xr:uid="{225B5062-988A-46C7-A7EF-4DED6AA798B4}"/>
    <hyperlink ref="AB11" r:id="rId37" xr:uid="{5B691869-D694-4B41-938A-507E18E0EB24}"/>
    <hyperlink ref="AB37" r:id="rId38" xr:uid="{071311A2-F639-4991-B61A-77271C3E0079}"/>
    <hyperlink ref="AB48" r:id="rId39" xr:uid="{0303B49F-9A7D-40C0-B77C-0ED1F09325F1}"/>
    <hyperlink ref="AB59" r:id="rId40" xr:uid="{8EB09A2B-69AA-4E4C-BAA2-DC8E2DB263A3}"/>
    <hyperlink ref="AB52" r:id="rId41" xr:uid="{57C02092-3954-4E1D-A191-400553F93110}"/>
    <hyperlink ref="AB51" r:id="rId42" xr:uid="{393FC2DD-6391-4A09-8F58-55CAD033145D}"/>
    <hyperlink ref="AB49" r:id="rId43" xr:uid="{79087162-5996-498E-A862-F380C987F6BD}"/>
    <hyperlink ref="AB45" r:id="rId44" xr:uid="{935EE766-D01F-4489-A694-EDC73C1811F7}"/>
    <hyperlink ref="AB17" r:id="rId45" xr:uid="{65D5D214-7BCE-4CD7-989A-4F27CAFA995C}"/>
    <hyperlink ref="AB8" r:id="rId46" xr:uid="{2AD49041-A345-4471-8211-02F535D15D6C}"/>
    <hyperlink ref="AC11" r:id="rId47" xr:uid="{DD165C1C-16B1-47CC-B2D9-50856455360D}"/>
    <hyperlink ref="AC2" r:id="rId48" display="1232319721" xr:uid="{ADAFDDB6-CD81-4A38-908D-11FA4C26F018}"/>
    <hyperlink ref="AD2" r:id="rId49" xr:uid="{141D8B55-0BF7-4E7A-86E0-FA5F21C69729}"/>
    <hyperlink ref="AD14" r:id="rId50" xr:uid="{15CC050B-CC07-4877-9359-43DFE9973984}"/>
    <hyperlink ref="AD61" r:id="rId51" xr:uid="{6D9645FE-C6A9-4D45-BAAC-F51A9BE362D2}"/>
    <hyperlink ref="AD71" r:id="rId52" xr:uid="{031B9116-92B9-4098-8B26-4CD60B3BAFDC}"/>
    <hyperlink ref="AD41" r:id="rId53" xr:uid="{AB467DC7-B4B1-4914-AC8A-349FD8827B74}"/>
    <hyperlink ref="AD32" r:id="rId54" xr:uid="{27BAC0D2-16F0-4A33-88A9-5CF5A8898CFC}"/>
    <hyperlink ref="AD13" r:id="rId55" xr:uid="{93D6AD6D-6EA9-4EA6-AF79-911ECD20E9E3}"/>
    <hyperlink ref="AD15" r:id="rId56" xr:uid="{F4C0F63D-5CE4-4788-AE91-5E477464DF6F}"/>
    <hyperlink ref="AD22" r:id="rId57" xr:uid="{4F24E81A-ABE5-4D4B-A350-EC6478391DA4}"/>
    <hyperlink ref="AD23" r:id="rId58" xr:uid="{3419CF28-6D18-4D50-BDD2-B4D840503F7D}"/>
    <hyperlink ref="AD69" r:id="rId59" xr:uid="{FDF68780-8E02-45D2-BA1B-85FBB2F2B5B1}"/>
    <hyperlink ref="H59" r:id="rId60" location="ara/idari/152430/215/20/1681761263722" display="https://parselsorgu.tkgm.gov.tr/ - ara/idari/152430/215/20/1681761263722" xr:uid="{29D744F2-FA34-43AD-887F-1081FA34AB69}"/>
    <hyperlink ref="H42" r:id="rId61" location="ara/idari/149985/103/557/1681761354741" display="https://parselsorgu.tkgm.gov.tr/ - ara/idari/149985/103/557/1681761354741" xr:uid="{593FA4B2-0C86-419F-8B15-8AC582C8F25B}"/>
    <hyperlink ref="H52" r:id="rId62" location="ara/idari/149540/169/6/1681761240386" display="https://parselsorgu.tkgm.gov.tr/ - ara/idari/149540/169/6/1681761240386" xr:uid="{3AAFCF6A-5C9A-425B-97CD-E6F767F30B81}"/>
    <hyperlink ref="AD44" r:id="rId63" xr:uid="{3343AA4B-56F0-430B-B2EE-EBA040FB37A4}"/>
    <hyperlink ref="AD45" r:id="rId64" xr:uid="{8B005E5D-D92B-464A-88E3-BE2482280D17}"/>
    <hyperlink ref="AD17" r:id="rId65" xr:uid="{B1D0C355-5EAC-4DC3-B3D7-3BC6C85CA884}"/>
    <hyperlink ref="AC53" r:id="rId66" display="1232382044" xr:uid="{703C2A35-9A4A-4BCC-ADD9-C0057C858C15}"/>
    <hyperlink ref="AD19" r:id="rId67" xr:uid="{48302553-0E5A-4F08-8C77-4621747C67B3}"/>
    <hyperlink ref="AD11" r:id="rId68" xr:uid="{0F943023-1A64-4998-A9E9-5B18B1668A0F}"/>
    <hyperlink ref="AD53" r:id="rId69" xr:uid="{8C69ED10-8B01-41B7-800B-EBB676F7EE1A}"/>
    <hyperlink ref="AD66" r:id="rId70" xr:uid="{FAF68B70-63E5-410C-863D-96B26FD4600C}"/>
    <hyperlink ref="AC19" r:id="rId71" display="1232427636" xr:uid="{024A3FEE-FB6C-47F3-A2F1-5B2B4CB93D38}"/>
    <hyperlink ref="AC14" r:id="rId72" display="1226877731" xr:uid="{E2894EC5-D12E-400A-B524-9324750BCFDE}"/>
    <hyperlink ref="AC61" r:id="rId73" display="1232340780" xr:uid="{957840F9-F463-4A1E-9068-8AED3A1429E0}"/>
    <hyperlink ref="H4" r:id="rId74" location="ara/idari/169549/121/5/1681761597009" display="https://parselsorgu.tkgm.gov.tr/ - ara/idari/169549/121/5/1681761597009" xr:uid="{BB677C67-CDCE-445C-9AD7-4B4C3A50F19F}"/>
    <hyperlink ref="AD46" r:id="rId75" xr:uid="{DFA99A88-9F73-48CC-9DA9-4B85FB30B2F5}"/>
    <hyperlink ref="H24" r:id="rId76" location="ara/idari/153201/588/4/1681931807788" display="https://parselsorgu.tkgm.gov.tr/ - ara/idari/153201/588/4/1681931807788" xr:uid="{8B73C510-EC52-468D-9D44-450DAE4C800D}"/>
    <hyperlink ref="H27" r:id="rId77" location="ara/idari/167753/205/5/1681931778566" display="https://parselsorgu.tkgm.gov.tr/ - ara/idari/167753/205/5/1681931778566" xr:uid="{AF4E9BB4-7FBC-4915-A092-AF2EEE231D91}"/>
    <hyperlink ref="AD27" r:id="rId78" xr:uid="{E9833DB9-74A6-4BA9-B237-177A0D455606}"/>
    <hyperlink ref="AB27" r:id="rId79" xr:uid="{8EBFF006-287C-49B3-9C52-CCAE94013EC9}"/>
    <hyperlink ref="AB50" r:id="rId80" xr:uid="{E1D9AA8C-2197-4031-9611-12794C1A70D4}"/>
    <hyperlink ref="H36" r:id="rId81" location="ara/idari/202565/6404/19/1681760505636" display="https://parselsorgu.tkgm.gov.tr/ - ara/idari/202565/6404/19/1681760505636" xr:uid="{4CBE6EE2-B404-4D83-AE96-0C611475F75A}"/>
    <hyperlink ref="AD62" r:id="rId82" xr:uid="{39EBF3C4-D9C0-4F29-8A17-686FB5A49686}"/>
    <hyperlink ref="AB62" r:id="rId83" xr:uid="{F017137E-C328-471E-A896-3E2CEA70420F}"/>
    <hyperlink ref="H55" r:id="rId84" location="ara/idari/166938/156/1/1681935834473" display="https://parselsorgu.tkgm.gov.tr/ - ara/idari/166938/156/1/1681935834473" xr:uid="{6FAC490C-E11B-42A2-93BF-2B61142BBD50}"/>
    <hyperlink ref="H54" r:id="rId85" location="ara/idari/167593/193/485/1681761036314" display="https://parselsorgu.tkgm.gov.tr/ - ara/idari/167593/193/485/1681761036314" xr:uid="{40F5B67A-721E-4778-8171-017A496DF51B}"/>
    <hyperlink ref="AB40" r:id="rId86" xr:uid="{5F5FC354-3B1B-409B-BF57-56E3EB8679A4}"/>
    <hyperlink ref="H58" r:id="rId87" location="ara/idari/169576/128/2/1681931831056" display="https://parselsorgu.tkgm.gov.tr/ - ara/idari/169576/128/2/1681931831056" xr:uid="{C563581B-89AF-4FE3-9A7D-F102049DFBCD}"/>
    <hyperlink ref="F72" r:id="rId88" xr:uid="{E22464A5-F6F4-4748-86EB-5C2A756E2E8A}"/>
    <hyperlink ref="H65" r:id="rId89" location="ara/idari/171373/313/8/1681934773645" display="https://parselsorgu.tkgm.gov.tr/ - ara/idari/171373/313/8/1681934773645" xr:uid="{2955C9CA-102A-4CDF-A22C-DFAF5E123B2D}"/>
    <hyperlink ref="H76" r:id="rId90" location="ara/idari/166957/141/6/1681934172748" display="https://parselsorgu.tkgm.gov.tr/ - ara/idari/166957/141/6/1681934172748" xr:uid="{ED483D4D-D858-4E96-AFC2-DEDA511C16BC}"/>
    <hyperlink ref="H72" r:id="rId91" location="ara/idari/166963/138/4/1681671516588" display="https://parselsorgu.tkgm.gov.tr/ - ara/idari/166963/138/4/1681671516588" xr:uid="{20B6EC28-699A-4258-A388-E89F2289F288}"/>
    <hyperlink ref="AB65" r:id="rId92" xr:uid="{F03B8A1D-CEA9-44CB-BC88-AAC9C9BB0B3A}"/>
    <hyperlink ref="AC13" r:id="rId93" display="1232329009" xr:uid="{F080198D-0F28-4B4A-A851-E1223768C493}"/>
    <hyperlink ref="AC41" r:id="rId94" display="1232384869" xr:uid="{7802155A-5A03-434F-A228-9191C91018C0}"/>
    <hyperlink ref="AC56" r:id="rId95" display=" 1232386736" xr:uid="{903CA35F-CE8F-4A80-8921-69CA5DC45182}"/>
    <hyperlink ref="AC71" r:id="rId96" display="1232389143" xr:uid="{1FB30BAC-DC3D-482D-8F52-9411AA8C0A37}"/>
    <hyperlink ref="AC26" r:id="rId97" display=" 1232388851" xr:uid="{D8350870-57EE-47AD-A1C2-4BCB126863F1}"/>
    <hyperlink ref="AC32" r:id="rId98" display="1232393664" xr:uid="{4D390157-3B97-45ED-A5B3-2BB330A87D2B}"/>
    <hyperlink ref="AC69" r:id="rId99" display="1232403029" xr:uid="{F65755FC-C97A-4EEC-B121-AFE7819F18EB}"/>
    <hyperlink ref="AC66" r:id="rId100" display="1232403027" xr:uid="{70AF0AAE-A549-4A94-94E0-6964CE1BC34E}"/>
    <hyperlink ref="AC37" r:id="rId101" display="1237613693" xr:uid="{32566DD1-74C3-410E-A939-EE662E05CE94}"/>
    <hyperlink ref="AC22" r:id="rId102" display="1237631783" xr:uid="{B7BEC5AB-9CDE-471A-A143-37E34EAA1EA1}"/>
    <hyperlink ref="AC75" r:id="rId103" display="1237649650" xr:uid="{E62AE564-71E0-4020-9024-F31E6144A72A}"/>
    <hyperlink ref="AC25" r:id="rId104" xr:uid="{F65E00E4-7B0A-4B21-9FA9-8798FEBBAB46}"/>
    <hyperlink ref="AD25" r:id="rId105" xr:uid="{F27EEE6E-1E59-4D08-AA74-0B4460283DFE}"/>
    <hyperlink ref="AC23" r:id="rId106" display="1237644891" xr:uid="{42947BC4-3238-4A0D-B81C-58F637A7C74B}"/>
    <hyperlink ref="AB31" r:id="rId107" xr:uid="{912D110C-4B66-484A-A984-81C3227CD357}"/>
    <hyperlink ref="AC5" r:id="rId108" display="1246780393" xr:uid="{79B4F6A5-E044-406A-A47D-8C2A685A2E03}"/>
    <hyperlink ref="AD34" r:id="rId109" xr:uid="{72DB7C2D-310D-426D-B874-21FAEE0F8C6E}"/>
    <hyperlink ref="AC34" r:id="rId110" display="1248042055" xr:uid="{68D1523F-32DB-4210-87BF-D9673EC9B228}"/>
    <hyperlink ref="AD57" r:id="rId111" xr:uid="{FE6A465E-A4B3-400C-AE68-536906CD0961}"/>
    <hyperlink ref="AC57" r:id="rId112" display="1248750111" xr:uid="{6B368F77-B148-4FE7-AECA-4B44878700DB}"/>
    <hyperlink ref="AC15" r:id="rId113" display="250536976" xr:uid="{B2E08D2E-8FD0-4682-8A9D-9E4C443DE4AB}"/>
    <hyperlink ref="AC31" r:id="rId114" display="1251837434" xr:uid="{4A083C0C-150D-42E0-A9D4-415259E58F96}"/>
    <hyperlink ref="AC17" r:id="rId115" display="1220786730" xr:uid="{1D767604-A9AC-40E7-8EF0-D51240CEAD05}"/>
    <hyperlink ref="AC72" r:id="rId116" display="1253856946" xr:uid="{58061457-F1BF-43F5-AF2C-2A9AA3F02534}"/>
    <hyperlink ref="AC9" r:id="rId117" display="1254034358" xr:uid="{92F5FE0D-1ABB-45D1-90EE-4A871940E57C}"/>
    <hyperlink ref="AB9" r:id="rId118" xr:uid="{561F63DA-B459-4F4A-B2BF-24B5EBFBFA87}"/>
    <hyperlink ref="AD10" r:id="rId119" xr:uid="{0A17E30F-890D-4713-8913-7C24F2DCF3CE}"/>
    <hyperlink ref="AC10" r:id="rId120" display="1250555803" xr:uid="{602C3A6A-45E3-4C97-8026-C3B8FEE1A39C}"/>
    <hyperlink ref="AD72" r:id="rId121" xr:uid="{D972AC81-C1F7-45ED-8027-A1EFF028673C}"/>
    <hyperlink ref="AC16" r:id="rId122" display="1289507920" xr:uid="{D982960D-39AF-4C96-907C-FA3E3B065749}"/>
    <hyperlink ref="AD16" r:id="rId123" display="45778404" xr:uid="{487B43A4-9E39-45C7-BCC4-A956A03A599D}"/>
    <hyperlink ref="AC70" r:id="rId124" display="1294812542" xr:uid="{D8158956-AC2A-4582-8C25-4D975AAE631B}"/>
  </hyperlinks>
  <pageMargins left="0.7" right="0.7" top="0.75" bottom="0.75" header="0.3" footer="0.3"/>
  <pageSetup paperSize="9" fitToHeight="0" orientation="portrait"/>
  <legacyDrawing r:id="rId1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A1B4-16EC-4480-B87E-370F659E7CC3}">
  <sheetPr>
    <tabColor rgb="FFFFFF00"/>
  </sheetPr>
  <dimension ref="A1:I69"/>
  <sheetViews>
    <sheetView topLeftCell="A52" workbookViewId="0">
      <selection activeCell="C45" sqref="C45"/>
    </sheetView>
  </sheetViews>
  <sheetFormatPr defaultRowHeight="14.4"/>
  <cols>
    <col min="1" max="1" width="14.33203125" style="234" customWidth="1"/>
    <col min="2" max="2" width="11.5546875" style="159" customWidth="1"/>
    <col min="3" max="3" width="12" style="159" customWidth="1"/>
    <col min="4" max="4" width="13.88671875" style="159" customWidth="1"/>
    <col min="5" max="5" width="15.33203125" style="159" customWidth="1"/>
    <col min="6" max="7" width="9.109375" style="159"/>
    <col min="8" max="8" width="12.44140625" style="159" customWidth="1"/>
    <col min="9" max="9" width="15.5546875" style="159" customWidth="1"/>
  </cols>
  <sheetData>
    <row r="1" spans="1:9">
      <c r="A1" s="364" t="s">
        <v>330</v>
      </c>
      <c r="B1" s="365" t="s">
        <v>166</v>
      </c>
      <c r="C1" s="366" t="s">
        <v>0</v>
      </c>
      <c r="D1" s="366" t="s">
        <v>1</v>
      </c>
      <c r="E1" s="366" t="s">
        <v>2</v>
      </c>
      <c r="F1" s="366" t="s">
        <v>4</v>
      </c>
      <c r="G1" s="366" t="s">
        <v>5</v>
      </c>
      <c r="H1" s="366" t="s">
        <v>331</v>
      </c>
      <c r="I1" s="366" t="s">
        <v>332</v>
      </c>
    </row>
    <row r="2" spans="1:9">
      <c r="A2" s="363">
        <v>1258765786</v>
      </c>
      <c r="B2" s="357" t="s">
        <v>285</v>
      </c>
      <c r="C2" s="357" t="s">
        <v>333</v>
      </c>
      <c r="D2" s="357" t="s">
        <v>37</v>
      </c>
      <c r="E2" s="357" t="s">
        <v>38</v>
      </c>
      <c r="F2" s="357">
        <v>911</v>
      </c>
      <c r="G2" s="357">
        <v>4</v>
      </c>
      <c r="H2" s="358" t="s">
        <v>334</v>
      </c>
      <c r="I2" s="358" t="s">
        <v>335</v>
      </c>
    </row>
    <row r="3" spans="1:9">
      <c r="A3" s="363">
        <v>1226760223</v>
      </c>
      <c r="B3" s="357" t="s">
        <v>336</v>
      </c>
      <c r="C3" s="357" t="s">
        <v>333</v>
      </c>
      <c r="D3" s="357" t="s">
        <v>37</v>
      </c>
      <c r="E3" s="357" t="s">
        <v>38</v>
      </c>
      <c r="F3" s="357">
        <v>911</v>
      </c>
      <c r="G3" s="357">
        <v>19</v>
      </c>
      <c r="H3" s="358" t="s">
        <v>334</v>
      </c>
      <c r="I3" s="358" t="s">
        <v>335</v>
      </c>
    </row>
    <row r="4" spans="1:9">
      <c r="A4" s="363">
        <v>1250555803</v>
      </c>
      <c r="B4" s="357" t="s">
        <v>337</v>
      </c>
      <c r="C4" s="357" t="s">
        <v>333</v>
      </c>
      <c r="D4" s="357" t="s">
        <v>37</v>
      </c>
      <c r="E4" s="357" t="s">
        <v>38</v>
      </c>
      <c r="F4" s="357">
        <v>911</v>
      </c>
      <c r="G4" s="357">
        <v>20</v>
      </c>
      <c r="H4" s="358" t="s">
        <v>334</v>
      </c>
      <c r="I4" s="358" t="s">
        <v>335</v>
      </c>
    </row>
    <row r="5" spans="1:9">
      <c r="A5" s="363">
        <v>1254031393</v>
      </c>
      <c r="B5" s="357" t="s">
        <v>337</v>
      </c>
      <c r="C5" s="357" t="s">
        <v>30</v>
      </c>
      <c r="D5" s="357" t="s">
        <v>208</v>
      </c>
      <c r="E5" s="357" t="s">
        <v>209</v>
      </c>
      <c r="F5" s="357">
        <v>104</v>
      </c>
      <c r="G5" s="357">
        <v>2</v>
      </c>
      <c r="H5" s="358" t="s">
        <v>334</v>
      </c>
      <c r="I5" s="358" t="s">
        <v>335</v>
      </c>
    </row>
    <row r="6" spans="1:9">
      <c r="A6" s="363">
        <v>1289507920</v>
      </c>
      <c r="B6" s="357" t="s">
        <v>337</v>
      </c>
      <c r="C6" s="357" t="s">
        <v>30</v>
      </c>
      <c r="D6" s="357" t="s">
        <v>234</v>
      </c>
      <c r="E6" s="357" t="s">
        <v>235</v>
      </c>
      <c r="F6" s="357">
        <v>110</v>
      </c>
      <c r="G6" s="357">
        <v>3</v>
      </c>
      <c r="H6" s="358" t="s">
        <v>334</v>
      </c>
      <c r="I6" s="359" t="s">
        <v>236</v>
      </c>
    </row>
    <row r="7" spans="1:9">
      <c r="A7" s="363">
        <v>1294440362</v>
      </c>
      <c r="B7" s="357" t="s">
        <v>285</v>
      </c>
      <c r="C7" s="357" t="s">
        <v>30</v>
      </c>
      <c r="D7" s="357" t="s">
        <v>234</v>
      </c>
      <c r="E7" s="357" t="s">
        <v>235</v>
      </c>
      <c r="F7" s="357">
        <v>110</v>
      </c>
      <c r="G7" s="357">
        <v>13</v>
      </c>
      <c r="H7" s="358" t="s">
        <v>334</v>
      </c>
      <c r="I7" s="359" t="s">
        <v>205</v>
      </c>
    </row>
    <row r="8" spans="1:9">
      <c r="A8" s="363">
        <v>1294495237</v>
      </c>
      <c r="B8" s="357" t="s">
        <v>337</v>
      </c>
      <c r="C8" s="357" t="s">
        <v>30</v>
      </c>
      <c r="D8" s="357" t="s">
        <v>31</v>
      </c>
      <c r="E8" s="357" t="s">
        <v>338</v>
      </c>
      <c r="F8" s="357">
        <v>316</v>
      </c>
      <c r="G8" s="357">
        <v>21</v>
      </c>
      <c r="H8" s="358" t="s">
        <v>334</v>
      </c>
      <c r="I8" s="358" t="s">
        <v>335</v>
      </c>
    </row>
    <row r="9" spans="1:9">
      <c r="A9" s="363">
        <v>1245400157</v>
      </c>
      <c r="B9" s="357" t="s">
        <v>336</v>
      </c>
      <c r="C9" s="357" t="s">
        <v>14</v>
      </c>
      <c r="D9" s="357" t="s">
        <v>28</v>
      </c>
      <c r="E9" s="357" t="s">
        <v>65</v>
      </c>
      <c r="F9" s="357">
        <v>116</v>
      </c>
      <c r="G9" s="357">
        <v>69</v>
      </c>
      <c r="H9" s="358" t="s">
        <v>339</v>
      </c>
      <c r="I9" s="358" t="s">
        <v>335</v>
      </c>
    </row>
    <row r="10" spans="1:9">
      <c r="A10" s="363">
        <v>1289536587</v>
      </c>
      <c r="B10" s="357" t="s">
        <v>285</v>
      </c>
      <c r="C10" s="357" t="s">
        <v>14</v>
      </c>
      <c r="D10" s="357" t="s">
        <v>15</v>
      </c>
      <c r="E10" s="357" t="s">
        <v>275</v>
      </c>
      <c r="F10" s="357">
        <v>101</v>
      </c>
      <c r="G10" s="357">
        <v>4</v>
      </c>
      <c r="H10" s="358" t="s">
        <v>339</v>
      </c>
      <c r="I10" s="358" t="s">
        <v>335</v>
      </c>
    </row>
    <row r="11" spans="1:9">
      <c r="A11" s="363">
        <v>1294646787</v>
      </c>
      <c r="B11" s="357" t="s">
        <v>336</v>
      </c>
      <c r="C11" s="357" t="s">
        <v>14</v>
      </c>
      <c r="D11" s="357" t="s">
        <v>15</v>
      </c>
      <c r="E11" s="357" t="s">
        <v>16</v>
      </c>
      <c r="F11" s="357">
        <v>165</v>
      </c>
      <c r="G11" s="357">
        <v>10</v>
      </c>
      <c r="H11" s="358" t="s">
        <v>339</v>
      </c>
      <c r="I11" s="358" t="s">
        <v>335</v>
      </c>
    </row>
    <row r="12" spans="1:9">
      <c r="A12" s="363">
        <v>1244385254</v>
      </c>
      <c r="B12" s="357" t="s">
        <v>337</v>
      </c>
      <c r="C12" s="357" t="s">
        <v>14</v>
      </c>
      <c r="D12" s="357" t="s">
        <v>15</v>
      </c>
      <c r="E12" s="357" t="s">
        <v>314</v>
      </c>
      <c r="F12" s="357">
        <v>170</v>
      </c>
      <c r="G12" s="357">
        <v>18</v>
      </c>
      <c r="H12" s="358" t="s">
        <v>339</v>
      </c>
      <c r="I12" s="358" t="s">
        <v>335</v>
      </c>
    </row>
    <row r="13" spans="1:9">
      <c r="A13" s="234">
        <v>1296041862</v>
      </c>
      <c r="B13" s="358" t="s">
        <v>337</v>
      </c>
      <c r="C13" s="358" t="s">
        <v>14</v>
      </c>
      <c r="D13" s="358" t="s">
        <v>15</v>
      </c>
      <c r="E13" s="358" t="s">
        <v>275</v>
      </c>
      <c r="F13" s="358">
        <v>101</v>
      </c>
      <c r="G13" s="358">
        <v>9</v>
      </c>
      <c r="H13" s="358" t="s">
        <v>334</v>
      </c>
      <c r="I13" s="358" t="s">
        <v>335</v>
      </c>
    </row>
    <row r="14" spans="1:9">
      <c r="A14" s="234">
        <v>1244410018</v>
      </c>
      <c r="B14" s="357" t="s">
        <v>336</v>
      </c>
      <c r="C14" s="357" t="s">
        <v>14</v>
      </c>
      <c r="D14" s="357" t="s">
        <v>15</v>
      </c>
      <c r="E14" s="357" t="s">
        <v>314</v>
      </c>
      <c r="F14" s="357">
        <v>170</v>
      </c>
      <c r="G14" s="357">
        <v>19</v>
      </c>
      <c r="H14" s="358" t="s">
        <v>339</v>
      </c>
      <c r="I14" s="358" t="s">
        <v>335</v>
      </c>
    </row>
    <row r="15" spans="1:9">
      <c r="A15" s="234">
        <v>1296101081</v>
      </c>
      <c r="B15" s="358" t="s">
        <v>336</v>
      </c>
      <c r="C15" s="358" t="s">
        <v>14</v>
      </c>
      <c r="D15" s="358" t="s">
        <v>28</v>
      </c>
      <c r="E15" s="358" t="s">
        <v>45</v>
      </c>
      <c r="F15" s="358">
        <v>251</v>
      </c>
      <c r="G15" s="358">
        <v>19</v>
      </c>
      <c r="H15" s="358" t="s">
        <v>339</v>
      </c>
      <c r="I15" s="358" t="s">
        <v>335</v>
      </c>
    </row>
    <row r="16" spans="1:9">
      <c r="A16" s="363">
        <v>1251762994</v>
      </c>
      <c r="B16" s="357" t="s">
        <v>337</v>
      </c>
      <c r="C16" s="357" t="s">
        <v>61</v>
      </c>
      <c r="D16" s="357" t="s">
        <v>33</v>
      </c>
      <c r="E16" s="357" t="s">
        <v>34</v>
      </c>
      <c r="F16" s="357">
        <v>106</v>
      </c>
      <c r="G16" s="357">
        <v>2</v>
      </c>
      <c r="H16" s="358" t="s">
        <v>339</v>
      </c>
      <c r="I16" s="358" t="s">
        <v>335</v>
      </c>
    </row>
    <row r="17" spans="1:9">
      <c r="A17" s="363">
        <v>1251419880</v>
      </c>
      <c r="B17" s="357" t="s">
        <v>285</v>
      </c>
      <c r="C17" s="357" t="s">
        <v>61</v>
      </c>
      <c r="D17" s="357" t="s">
        <v>33</v>
      </c>
      <c r="E17" s="357" t="s">
        <v>34</v>
      </c>
      <c r="F17" s="357">
        <v>104</v>
      </c>
      <c r="G17" s="357">
        <v>4</v>
      </c>
      <c r="H17" s="358" t="s">
        <v>339</v>
      </c>
      <c r="I17" s="358" t="s">
        <v>335</v>
      </c>
    </row>
    <row r="18" spans="1:9">
      <c r="A18" s="363">
        <v>1256572384</v>
      </c>
      <c r="B18" s="357" t="s">
        <v>336</v>
      </c>
      <c r="C18" s="357" t="s">
        <v>61</v>
      </c>
      <c r="D18" s="357" t="s">
        <v>33</v>
      </c>
      <c r="E18" s="357" t="s">
        <v>34</v>
      </c>
      <c r="F18" s="357">
        <v>104</v>
      </c>
      <c r="G18" s="357">
        <v>7</v>
      </c>
      <c r="H18" s="358" t="s">
        <v>339</v>
      </c>
      <c r="I18" s="358" t="s">
        <v>335</v>
      </c>
    </row>
    <row r="19" spans="1:9">
      <c r="A19" s="363">
        <v>1294497531</v>
      </c>
      <c r="B19" s="357" t="s">
        <v>285</v>
      </c>
      <c r="C19" s="357" t="s">
        <v>61</v>
      </c>
      <c r="D19" s="357" t="s">
        <v>15</v>
      </c>
      <c r="E19" s="357" t="s">
        <v>192</v>
      </c>
      <c r="F19" s="357">
        <v>194</v>
      </c>
      <c r="G19" s="357">
        <v>34</v>
      </c>
      <c r="H19" s="358" t="s">
        <v>340</v>
      </c>
      <c r="I19" s="358" t="s">
        <v>335</v>
      </c>
    </row>
    <row r="20" spans="1:9">
      <c r="A20" s="363">
        <v>1294648016</v>
      </c>
      <c r="B20" s="357" t="s">
        <v>337</v>
      </c>
      <c r="C20" s="357" t="s">
        <v>61</v>
      </c>
      <c r="D20" s="357" t="s">
        <v>15</v>
      </c>
      <c r="E20" s="357" t="s">
        <v>192</v>
      </c>
      <c r="F20" s="357">
        <v>194</v>
      </c>
      <c r="G20" s="357">
        <v>35</v>
      </c>
      <c r="H20" s="358" t="s">
        <v>340</v>
      </c>
      <c r="I20" s="358" t="s">
        <v>335</v>
      </c>
    </row>
    <row r="21" spans="1:9">
      <c r="A21" s="363">
        <v>1237631783</v>
      </c>
      <c r="B21" s="357" t="s">
        <v>336</v>
      </c>
      <c r="C21" s="357" t="s">
        <v>61</v>
      </c>
      <c r="D21" s="357" t="s">
        <v>23</v>
      </c>
      <c r="E21" s="357" t="s">
        <v>41</v>
      </c>
      <c r="F21" s="357">
        <v>140</v>
      </c>
      <c r="G21" s="357">
        <v>1</v>
      </c>
      <c r="H21" s="358" t="s">
        <v>339</v>
      </c>
      <c r="I21" s="358" t="s">
        <v>335</v>
      </c>
    </row>
    <row r="22" spans="1:9">
      <c r="A22" s="363">
        <v>1294448056</v>
      </c>
      <c r="B22" s="357" t="s">
        <v>285</v>
      </c>
      <c r="C22" s="357" t="s">
        <v>61</v>
      </c>
      <c r="D22" s="357" t="s">
        <v>23</v>
      </c>
      <c r="E22" s="357" t="s">
        <v>41</v>
      </c>
      <c r="F22" s="357">
        <v>135</v>
      </c>
      <c r="G22" s="357">
        <v>12</v>
      </c>
      <c r="H22" s="358" t="s">
        <v>334</v>
      </c>
      <c r="I22" s="358" t="s">
        <v>335</v>
      </c>
    </row>
    <row r="23" spans="1:9">
      <c r="A23" s="363">
        <v>1226757077</v>
      </c>
      <c r="B23" s="357" t="s">
        <v>336</v>
      </c>
      <c r="C23" s="357" t="s">
        <v>61</v>
      </c>
      <c r="D23" s="357" t="s">
        <v>28</v>
      </c>
      <c r="E23" s="357" t="s">
        <v>45</v>
      </c>
      <c r="F23" s="357">
        <v>251</v>
      </c>
      <c r="G23" s="357">
        <v>20</v>
      </c>
      <c r="H23" s="358" t="s">
        <v>339</v>
      </c>
      <c r="I23" s="358" t="s">
        <v>335</v>
      </c>
    </row>
    <row r="24" spans="1:9">
      <c r="A24" s="363">
        <v>1250098154</v>
      </c>
      <c r="B24" s="357" t="s">
        <v>285</v>
      </c>
      <c r="C24" s="357" t="s">
        <v>61</v>
      </c>
      <c r="D24" s="357" t="s">
        <v>28</v>
      </c>
      <c r="E24" s="357" t="s">
        <v>45</v>
      </c>
      <c r="F24" s="357">
        <v>251</v>
      </c>
      <c r="G24" s="357">
        <v>20</v>
      </c>
      <c r="H24" s="358" t="s">
        <v>339</v>
      </c>
      <c r="I24" s="358" t="s">
        <v>335</v>
      </c>
    </row>
    <row r="25" spans="1:9">
      <c r="A25" s="363">
        <v>1250536976</v>
      </c>
      <c r="B25" s="357" t="s">
        <v>337</v>
      </c>
      <c r="C25" s="357" t="s">
        <v>61</v>
      </c>
      <c r="D25" s="357" t="s">
        <v>28</v>
      </c>
      <c r="E25" s="357" t="s">
        <v>45</v>
      </c>
      <c r="F25" s="357">
        <v>251</v>
      </c>
      <c r="G25" s="357">
        <v>21</v>
      </c>
      <c r="H25" s="358" t="s">
        <v>339</v>
      </c>
      <c r="I25" s="358" t="s">
        <v>335</v>
      </c>
    </row>
    <row r="26" spans="1:9">
      <c r="A26" s="363">
        <v>1295928816</v>
      </c>
      <c r="B26" s="357" t="s">
        <v>337</v>
      </c>
      <c r="C26" s="357" t="s">
        <v>61</v>
      </c>
      <c r="D26" s="357" t="s">
        <v>79</v>
      </c>
      <c r="E26" s="357" t="s">
        <v>80</v>
      </c>
      <c r="F26" s="357">
        <v>13131</v>
      </c>
      <c r="G26" s="357">
        <v>6</v>
      </c>
      <c r="H26" s="358" t="s">
        <v>334</v>
      </c>
      <c r="I26" s="358" t="s">
        <v>335</v>
      </c>
    </row>
    <row r="27" spans="1:9">
      <c r="A27" s="363">
        <v>1232377677</v>
      </c>
      <c r="B27" s="357" t="s">
        <v>285</v>
      </c>
      <c r="C27" s="357" t="s">
        <v>61</v>
      </c>
      <c r="D27" s="357" t="s">
        <v>66</v>
      </c>
      <c r="E27" s="357" t="s">
        <v>67</v>
      </c>
      <c r="F27" s="357">
        <v>266</v>
      </c>
      <c r="G27" s="357">
        <v>8</v>
      </c>
      <c r="H27" s="358" t="s">
        <v>334</v>
      </c>
      <c r="I27" s="358" t="s">
        <v>335</v>
      </c>
    </row>
    <row r="28" spans="1:9">
      <c r="A28" s="363">
        <v>1232384869</v>
      </c>
      <c r="B28" s="357" t="s">
        <v>337</v>
      </c>
      <c r="C28" s="357" t="s">
        <v>61</v>
      </c>
      <c r="D28" s="357" t="s">
        <v>66</v>
      </c>
      <c r="E28" s="357" t="s">
        <v>71</v>
      </c>
      <c r="F28" s="357">
        <v>165</v>
      </c>
      <c r="G28" s="357">
        <v>58</v>
      </c>
      <c r="H28" s="358" t="s">
        <v>339</v>
      </c>
      <c r="I28" s="358" t="s">
        <v>335</v>
      </c>
    </row>
    <row r="29" spans="1:9">
      <c r="A29" s="363">
        <v>1294706643</v>
      </c>
      <c r="B29" s="357" t="s">
        <v>336</v>
      </c>
      <c r="C29" s="357" t="s">
        <v>61</v>
      </c>
      <c r="D29" s="357" t="s">
        <v>15</v>
      </c>
      <c r="E29" s="357" t="s">
        <v>63</v>
      </c>
      <c r="F29" s="357">
        <v>105</v>
      </c>
      <c r="G29" s="357">
        <v>28</v>
      </c>
      <c r="H29" s="358" t="s">
        <v>339</v>
      </c>
      <c r="I29" s="358" t="s">
        <v>335</v>
      </c>
    </row>
    <row r="30" spans="1:9">
      <c r="A30" s="363">
        <v>1295598596</v>
      </c>
      <c r="B30" s="357" t="s">
        <v>285</v>
      </c>
      <c r="C30" s="357" t="s">
        <v>61</v>
      </c>
      <c r="D30" s="357" t="s">
        <v>15</v>
      </c>
      <c r="E30" s="357" t="s">
        <v>63</v>
      </c>
      <c r="F30" s="357">
        <v>105</v>
      </c>
      <c r="G30" s="357">
        <v>30</v>
      </c>
      <c r="H30" s="358" t="s">
        <v>339</v>
      </c>
      <c r="I30" s="358" t="s">
        <v>335</v>
      </c>
    </row>
    <row r="31" spans="1:9">
      <c r="A31" s="363">
        <v>1294513103</v>
      </c>
      <c r="B31" s="357" t="s">
        <v>337</v>
      </c>
      <c r="C31" s="357" t="s">
        <v>61</v>
      </c>
      <c r="D31" s="357" t="s">
        <v>15</v>
      </c>
      <c r="E31" s="357" t="s">
        <v>63</v>
      </c>
      <c r="F31" s="357">
        <v>105</v>
      </c>
      <c r="G31" s="357">
        <v>38</v>
      </c>
      <c r="H31" s="358" t="s">
        <v>339</v>
      </c>
      <c r="I31" s="358" t="s">
        <v>335</v>
      </c>
    </row>
    <row r="32" spans="1:9">
      <c r="A32" s="363">
        <v>1237618157</v>
      </c>
      <c r="B32" s="357" t="s">
        <v>341</v>
      </c>
      <c r="C32" s="357" t="s">
        <v>61</v>
      </c>
      <c r="D32" s="357" t="s">
        <v>23</v>
      </c>
      <c r="E32" s="357" t="s">
        <v>24</v>
      </c>
      <c r="F32" s="357">
        <v>101</v>
      </c>
      <c r="G32" s="357">
        <v>6</v>
      </c>
      <c r="H32" s="358" t="s">
        <v>334</v>
      </c>
      <c r="I32" s="358" t="s">
        <v>335</v>
      </c>
    </row>
    <row r="33" spans="1:9">
      <c r="A33" s="363">
        <v>1232374202</v>
      </c>
      <c r="B33" s="357" t="s">
        <v>341</v>
      </c>
      <c r="C33" s="357" t="s">
        <v>61</v>
      </c>
      <c r="D33" s="357" t="s">
        <v>23</v>
      </c>
      <c r="E33" s="357" t="s">
        <v>26</v>
      </c>
      <c r="F33" s="357">
        <v>105</v>
      </c>
      <c r="G33" s="357">
        <v>13</v>
      </c>
      <c r="H33" s="358" t="s">
        <v>339</v>
      </c>
      <c r="I33" s="358" t="s">
        <v>335</v>
      </c>
    </row>
    <row r="34" spans="1:9">
      <c r="A34" s="363">
        <v>1275032978</v>
      </c>
      <c r="B34" s="357" t="s">
        <v>285</v>
      </c>
      <c r="C34" s="357" t="s">
        <v>61</v>
      </c>
      <c r="D34" s="357" t="s">
        <v>43</v>
      </c>
      <c r="E34" s="357" t="s">
        <v>44</v>
      </c>
      <c r="F34" s="357">
        <v>173</v>
      </c>
      <c r="G34" s="357">
        <v>282</v>
      </c>
      <c r="H34" s="358" t="s">
        <v>339</v>
      </c>
      <c r="I34" s="358" t="s">
        <v>335</v>
      </c>
    </row>
    <row r="35" spans="1:9">
      <c r="A35" s="363">
        <v>1227060562</v>
      </c>
      <c r="B35" s="357" t="s">
        <v>336</v>
      </c>
      <c r="C35" s="357" t="s">
        <v>61</v>
      </c>
      <c r="D35" s="357" t="s">
        <v>33</v>
      </c>
      <c r="E35" s="357" t="s">
        <v>342</v>
      </c>
      <c r="F35" s="357">
        <v>315</v>
      </c>
      <c r="G35" s="357">
        <v>13</v>
      </c>
      <c r="H35" s="358" t="s">
        <v>339</v>
      </c>
      <c r="I35" s="358" t="s">
        <v>335</v>
      </c>
    </row>
    <row r="36" spans="1:9">
      <c r="A36" s="363">
        <v>1257880291</v>
      </c>
      <c r="B36" s="357" t="s">
        <v>337</v>
      </c>
      <c r="C36" s="357" t="s">
        <v>61</v>
      </c>
      <c r="D36" s="357" t="s">
        <v>23</v>
      </c>
      <c r="E36" s="357" t="s">
        <v>343</v>
      </c>
      <c r="F36" s="357">
        <v>14236</v>
      </c>
      <c r="G36" s="357">
        <v>20</v>
      </c>
      <c r="H36" s="358" t="s">
        <v>334</v>
      </c>
      <c r="I36" s="358" t="s">
        <v>335</v>
      </c>
    </row>
    <row r="37" spans="1:9">
      <c r="A37" s="363">
        <v>1237648583</v>
      </c>
      <c r="B37" s="357" t="s">
        <v>285</v>
      </c>
      <c r="C37" s="357" t="s">
        <v>61</v>
      </c>
      <c r="D37" s="357" t="s">
        <v>23</v>
      </c>
      <c r="E37" s="357" t="s">
        <v>56</v>
      </c>
      <c r="F37" s="357">
        <v>14236</v>
      </c>
      <c r="G37" s="357">
        <v>16</v>
      </c>
      <c r="H37" s="358" t="s">
        <v>334</v>
      </c>
      <c r="I37" s="358" t="s">
        <v>335</v>
      </c>
    </row>
    <row r="38" spans="1:9">
      <c r="A38" s="363">
        <v>1232403027</v>
      </c>
      <c r="B38" s="357" t="s">
        <v>341</v>
      </c>
      <c r="C38" s="357" t="s">
        <v>61</v>
      </c>
      <c r="D38" s="357" t="s">
        <v>23</v>
      </c>
      <c r="E38" s="357" t="s">
        <v>74</v>
      </c>
      <c r="F38" s="357">
        <v>11633</v>
      </c>
      <c r="G38" s="357">
        <v>5</v>
      </c>
      <c r="H38" s="358" t="s">
        <v>339</v>
      </c>
      <c r="I38" s="358" t="s">
        <v>335</v>
      </c>
    </row>
    <row r="39" spans="1:9">
      <c r="A39" s="363">
        <v>1252791213</v>
      </c>
      <c r="B39" s="357" t="s">
        <v>336</v>
      </c>
      <c r="C39" s="357" t="s">
        <v>61</v>
      </c>
      <c r="D39" s="357" t="s">
        <v>23</v>
      </c>
      <c r="E39" s="357" t="s">
        <v>27</v>
      </c>
      <c r="F39" s="357">
        <v>113</v>
      </c>
      <c r="G39" s="357">
        <v>4</v>
      </c>
      <c r="H39" s="358" t="s">
        <v>334</v>
      </c>
      <c r="I39" s="358" t="s">
        <v>335</v>
      </c>
    </row>
    <row r="40" spans="1:9">
      <c r="A40" s="363">
        <v>1252313245</v>
      </c>
      <c r="B40" s="357" t="s">
        <v>285</v>
      </c>
      <c r="C40" s="357" t="s">
        <v>61</v>
      </c>
      <c r="D40" s="357" t="s">
        <v>23</v>
      </c>
      <c r="E40" s="357" t="s">
        <v>27</v>
      </c>
      <c r="F40" s="357">
        <v>113</v>
      </c>
      <c r="G40" s="357">
        <v>5</v>
      </c>
      <c r="H40" s="358" t="s">
        <v>339</v>
      </c>
      <c r="I40" s="359" t="s">
        <v>205</v>
      </c>
    </row>
    <row r="41" spans="1:9">
      <c r="A41" s="363">
        <v>1220820797</v>
      </c>
      <c r="B41" s="357" t="s">
        <v>337</v>
      </c>
      <c r="C41" s="357" t="s">
        <v>61</v>
      </c>
      <c r="D41" s="357" t="s">
        <v>23</v>
      </c>
      <c r="E41" s="357" t="s">
        <v>27</v>
      </c>
      <c r="F41" s="357">
        <v>122</v>
      </c>
      <c r="G41" s="357">
        <v>8</v>
      </c>
      <c r="H41" s="358" t="s">
        <v>334</v>
      </c>
      <c r="I41" s="358" t="s">
        <v>335</v>
      </c>
    </row>
    <row r="42" spans="1:9">
      <c r="A42" s="363">
        <v>1295892285</v>
      </c>
      <c r="B42" s="357" t="s">
        <v>336</v>
      </c>
      <c r="C42" s="357" t="s">
        <v>61</v>
      </c>
      <c r="D42" s="357" t="s">
        <v>15</v>
      </c>
      <c r="E42" s="357" t="s">
        <v>275</v>
      </c>
      <c r="F42" s="357">
        <v>102</v>
      </c>
      <c r="G42" s="357">
        <v>9</v>
      </c>
      <c r="H42" s="358" t="s">
        <v>334</v>
      </c>
      <c r="I42" s="358" t="s">
        <v>335</v>
      </c>
    </row>
    <row r="43" spans="1:9">
      <c r="A43" s="363">
        <v>1289504786</v>
      </c>
      <c r="B43" s="357" t="s">
        <v>337</v>
      </c>
      <c r="C43" s="357" t="s">
        <v>61</v>
      </c>
      <c r="D43" s="357" t="s">
        <v>15</v>
      </c>
      <c r="E43" s="357" t="s">
        <v>16</v>
      </c>
      <c r="F43" s="357">
        <v>158</v>
      </c>
      <c r="G43" s="357">
        <v>14</v>
      </c>
      <c r="H43" s="358" t="s">
        <v>339</v>
      </c>
      <c r="I43" s="358" t="s">
        <v>335</v>
      </c>
    </row>
    <row r="44" spans="1:9">
      <c r="A44" s="363">
        <v>1294812542</v>
      </c>
      <c r="B44" s="357" t="s">
        <v>337</v>
      </c>
      <c r="C44" s="357" t="s">
        <v>61</v>
      </c>
      <c r="D44" s="357" t="s">
        <v>23</v>
      </c>
      <c r="E44" s="357" t="s">
        <v>72</v>
      </c>
      <c r="F44" s="357">
        <v>178</v>
      </c>
      <c r="G44" s="357">
        <v>18</v>
      </c>
      <c r="H44" s="358" t="s">
        <v>339</v>
      </c>
      <c r="I44" s="358" t="s">
        <v>335</v>
      </c>
    </row>
    <row r="45" spans="1:9">
      <c r="A45" s="363">
        <v>1252919117</v>
      </c>
      <c r="B45" s="357" t="s">
        <v>337</v>
      </c>
      <c r="C45" s="357" t="s">
        <v>61</v>
      </c>
      <c r="D45" s="357" t="s">
        <v>23</v>
      </c>
      <c r="E45" s="357" t="s">
        <v>344</v>
      </c>
      <c r="F45" s="357">
        <v>120</v>
      </c>
      <c r="G45" s="357">
        <v>17</v>
      </c>
      <c r="H45" s="358" t="s">
        <v>339</v>
      </c>
      <c r="I45" s="358" t="s">
        <v>335</v>
      </c>
    </row>
    <row r="46" spans="1:9">
      <c r="A46" s="363">
        <v>1258772544</v>
      </c>
      <c r="B46" s="357" t="s">
        <v>337</v>
      </c>
      <c r="C46" s="357" t="s">
        <v>61</v>
      </c>
      <c r="D46" s="357" t="s">
        <v>23</v>
      </c>
      <c r="E46" s="357" t="s">
        <v>60</v>
      </c>
      <c r="F46" s="357">
        <v>139</v>
      </c>
      <c r="G46" s="357">
        <v>5</v>
      </c>
      <c r="H46" s="358" t="s">
        <v>334</v>
      </c>
      <c r="I46" s="358" t="s">
        <v>335</v>
      </c>
    </row>
    <row r="47" spans="1:9">
      <c r="A47" s="363">
        <v>1251837434</v>
      </c>
      <c r="B47" s="357" t="s">
        <v>337</v>
      </c>
      <c r="C47" s="357" t="s">
        <v>49</v>
      </c>
      <c r="D47" s="357" t="s">
        <v>50</v>
      </c>
      <c r="E47" s="357" t="s">
        <v>51</v>
      </c>
      <c r="F47" s="357">
        <v>0</v>
      </c>
      <c r="G47" s="357">
        <v>816</v>
      </c>
      <c r="H47" s="358" t="s">
        <v>339</v>
      </c>
      <c r="I47" s="358" t="s">
        <v>335</v>
      </c>
    </row>
    <row r="48" spans="1:9">
      <c r="A48" s="363">
        <v>1250694145</v>
      </c>
      <c r="B48" s="357" t="s">
        <v>285</v>
      </c>
      <c r="C48" s="357" t="s">
        <v>49</v>
      </c>
      <c r="D48" s="357" t="s">
        <v>50</v>
      </c>
      <c r="E48" s="357" t="s">
        <v>51</v>
      </c>
      <c r="F48" s="357">
        <v>0</v>
      </c>
      <c r="G48" s="357">
        <v>818</v>
      </c>
      <c r="H48" s="358" t="s">
        <v>339</v>
      </c>
      <c r="I48" s="358" t="s">
        <v>335</v>
      </c>
    </row>
    <row r="49" spans="1:9">
      <c r="A49" s="363">
        <v>1237634491</v>
      </c>
      <c r="B49" s="357" t="s">
        <v>285</v>
      </c>
      <c r="C49" s="357" t="s">
        <v>49</v>
      </c>
      <c r="D49" s="357" t="s">
        <v>68</v>
      </c>
      <c r="E49" s="357" t="s">
        <v>69</v>
      </c>
      <c r="F49" s="357">
        <v>0</v>
      </c>
      <c r="G49" s="357">
        <v>1711</v>
      </c>
      <c r="H49" s="358" t="s">
        <v>339</v>
      </c>
      <c r="I49" s="358" t="s">
        <v>335</v>
      </c>
    </row>
    <row r="50" spans="1:9">
      <c r="A50" s="363">
        <v>1232347701</v>
      </c>
      <c r="B50" s="357" t="s">
        <v>336</v>
      </c>
      <c r="C50" s="357" t="s">
        <v>46</v>
      </c>
      <c r="D50" s="357" t="s">
        <v>47</v>
      </c>
      <c r="E50" s="357" t="s">
        <v>70</v>
      </c>
      <c r="F50" s="357">
        <v>155</v>
      </c>
      <c r="G50" s="357">
        <v>8</v>
      </c>
      <c r="H50" s="358" t="s">
        <v>339</v>
      </c>
      <c r="I50" s="358" t="s">
        <v>335</v>
      </c>
    </row>
    <row r="51" spans="1:9">
      <c r="A51" s="363">
        <v>1251012473</v>
      </c>
      <c r="B51" s="357" t="s">
        <v>337</v>
      </c>
      <c r="C51" s="357" t="s">
        <v>46</v>
      </c>
      <c r="D51" s="357" t="s">
        <v>47</v>
      </c>
      <c r="E51" s="357" t="s">
        <v>70</v>
      </c>
      <c r="F51" s="357">
        <v>149</v>
      </c>
      <c r="G51" s="357">
        <v>10</v>
      </c>
      <c r="H51" s="358" t="s">
        <v>339</v>
      </c>
      <c r="I51" s="358" t="s">
        <v>335</v>
      </c>
    </row>
    <row r="52" spans="1:9">
      <c r="A52" s="363">
        <v>1252291545</v>
      </c>
      <c r="B52" s="357" t="s">
        <v>285</v>
      </c>
      <c r="C52" s="357" t="s">
        <v>46</v>
      </c>
      <c r="D52" s="357" t="s">
        <v>47</v>
      </c>
      <c r="E52" s="357" t="s">
        <v>70</v>
      </c>
      <c r="F52" s="357">
        <v>150</v>
      </c>
      <c r="G52" s="357">
        <v>10</v>
      </c>
      <c r="H52" s="358" t="s">
        <v>339</v>
      </c>
      <c r="I52" s="358" t="s">
        <v>335</v>
      </c>
    </row>
    <row r="53" spans="1:9">
      <c r="A53" s="363">
        <v>1294715694</v>
      </c>
      <c r="B53" s="357" t="s">
        <v>337</v>
      </c>
      <c r="C53" s="357" t="s">
        <v>186</v>
      </c>
      <c r="D53" s="357" t="s">
        <v>187</v>
      </c>
      <c r="E53" s="357" t="s">
        <v>345</v>
      </c>
      <c r="F53" s="357">
        <v>169</v>
      </c>
      <c r="G53" s="357">
        <v>2</v>
      </c>
      <c r="H53" s="358" t="s">
        <v>339</v>
      </c>
      <c r="I53" s="358" t="s">
        <v>335</v>
      </c>
    </row>
    <row r="54" spans="1:9">
      <c r="A54" s="363">
        <v>1237797154</v>
      </c>
      <c r="B54" s="357" t="s">
        <v>285</v>
      </c>
      <c r="C54" s="357" t="s">
        <v>17</v>
      </c>
      <c r="D54" s="357" t="s">
        <v>39</v>
      </c>
      <c r="E54" s="357" t="s">
        <v>40</v>
      </c>
      <c r="F54" s="357">
        <v>104</v>
      </c>
      <c r="G54" s="357">
        <v>1</v>
      </c>
      <c r="H54" s="358" t="s">
        <v>339</v>
      </c>
      <c r="I54" s="358" t="s">
        <v>335</v>
      </c>
    </row>
    <row r="55" spans="1:9">
      <c r="A55" s="363">
        <v>1257875144</v>
      </c>
      <c r="B55" s="357" t="s">
        <v>337</v>
      </c>
      <c r="C55" s="357" t="s">
        <v>17</v>
      </c>
      <c r="D55" s="357" t="s">
        <v>21</v>
      </c>
      <c r="E55" s="357" t="s">
        <v>52</v>
      </c>
      <c r="F55" s="357">
        <v>132</v>
      </c>
      <c r="G55" s="357">
        <v>2</v>
      </c>
      <c r="H55" s="358" t="s">
        <v>339</v>
      </c>
      <c r="I55" s="358" t="s">
        <v>335</v>
      </c>
    </row>
    <row r="56" spans="1:9">
      <c r="A56" s="363">
        <v>1295908282</v>
      </c>
      <c r="B56" s="357" t="s">
        <v>285</v>
      </c>
      <c r="C56" s="357" t="s">
        <v>17</v>
      </c>
      <c r="D56" s="357" t="s">
        <v>21</v>
      </c>
      <c r="E56" s="357" t="s">
        <v>346</v>
      </c>
      <c r="F56" s="357">
        <v>236</v>
      </c>
      <c r="G56" s="357">
        <v>5</v>
      </c>
      <c r="H56" s="358" t="s">
        <v>339</v>
      </c>
      <c r="I56" s="358" t="s">
        <v>335</v>
      </c>
    </row>
    <row r="57" spans="1:9">
      <c r="A57" s="363">
        <v>1237792388</v>
      </c>
      <c r="B57" s="357" t="s">
        <v>285</v>
      </c>
      <c r="C57" s="357" t="s">
        <v>17</v>
      </c>
      <c r="D57" s="357" t="s">
        <v>18</v>
      </c>
      <c r="E57" s="357" t="s">
        <v>140</v>
      </c>
      <c r="F57" s="357">
        <v>108</v>
      </c>
      <c r="G57" s="357">
        <v>7</v>
      </c>
      <c r="H57" s="358" t="s">
        <v>339</v>
      </c>
      <c r="I57" s="358" t="s">
        <v>335</v>
      </c>
    </row>
    <row r="58" spans="1:9">
      <c r="A58" s="363">
        <v>1295914248</v>
      </c>
      <c r="B58" s="357" t="s">
        <v>337</v>
      </c>
      <c r="C58" s="357" t="s">
        <v>17</v>
      </c>
      <c r="D58" s="357" t="s">
        <v>21</v>
      </c>
      <c r="E58" s="357" t="s">
        <v>346</v>
      </c>
      <c r="F58" s="357">
        <v>241</v>
      </c>
      <c r="G58" s="357">
        <v>7</v>
      </c>
      <c r="H58" s="358" t="s">
        <v>339</v>
      </c>
      <c r="I58" s="358" t="s">
        <v>335</v>
      </c>
    </row>
    <row r="59" spans="1:9">
      <c r="A59" s="363">
        <v>1295917241</v>
      </c>
      <c r="B59" s="357" t="s">
        <v>336</v>
      </c>
      <c r="C59" s="357" t="s">
        <v>17</v>
      </c>
      <c r="D59" s="357" t="s">
        <v>21</v>
      </c>
      <c r="E59" s="357" t="s">
        <v>346</v>
      </c>
      <c r="F59" s="357">
        <v>240</v>
      </c>
      <c r="G59" s="357">
        <v>14</v>
      </c>
      <c r="H59" s="358" t="s">
        <v>339</v>
      </c>
      <c r="I59" s="358" t="s">
        <v>335</v>
      </c>
    </row>
    <row r="60" spans="1:9">
      <c r="A60" s="363">
        <v>1250559468</v>
      </c>
      <c r="B60" s="357" t="s">
        <v>285</v>
      </c>
      <c r="C60" s="357" t="s">
        <v>17</v>
      </c>
      <c r="D60" s="357" t="s">
        <v>57</v>
      </c>
      <c r="E60" s="357" t="s">
        <v>347</v>
      </c>
      <c r="F60" s="357">
        <v>0</v>
      </c>
      <c r="G60" s="357">
        <v>969</v>
      </c>
      <c r="H60" s="358" t="s">
        <v>339</v>
      </c>
      <c r="I60" s="358" t="s">
        <v>335</v>
      </c>
    </row>
    <row r="61" spans="1:9">
      <c r="A61" s="363">
        <v>1251028138</v>
      </c>
      <c r="B61" s="357" t="s">
        <v>337</v>
      </c>
      <c r="C61" s="357" t="s">
        <v>17</v>
      </c>
      <c r="D61" s="357" t="s">
        <v>57</v>
      </c>
      <c r="E61" s="357" t="s">
        <v>347</v>
      </c>
      <c r="F61" s="357">
        <v>0</v>
      </c>
      <c r="G61" s="357">
        <v>972</v>
      </c>
      <c r="H61" s="358" t="s">
        <v>334</v>
      </c>
      <c r="I61" s="358" t="s">
        <v>335</v>
      </c>
    </row>
    <row r="62" spans="1:9">
      <c r="A62" s="234">
        <v>1296426660</v>
      </c>
      <c r="B62" s="360" t="s">
        <v>337</v>
      </c>
      <c r="C62" s="360" t="s">
        <v>17</v>
      </c>
      <c r="D62" s="360" t="s">
        <v>39</v>
      </c>
      <c r="E62" s="360" t="s">
        <v>40</v>
      </c>
      <c r="F62" s="360">
        <v>103</v>
      </c>
      <c r="G62" s="360">
        <v>6</v>
      </c>
      <c r="H62" s="360" t="s">
        <v>339</v>
      </c>
      <c r="I62" s="360" t="s">
        <v>335</v>
      </c>
    </row>
    <row r="63" spans="1:9">
      <c r="A63" s="234">
        <v>1296429258</v>
      </c>
      <c r="B63" s="360" t="s">
        <v>337</v>
      </c>
      <c r="C63" s="360" t="s">
        <v>61</v>
      </c>
      <c r="D63" s="360" t="s">
        <v>66</v>
      </c>
      <c r="E63" s="360" t="s">
        <v>67</v>
      </c>
      <c r="F63" s="360">
        <v>266</v>
      </c>
      <c r="G63" s="360">
        <v>9</v>
      </c>
      <c r="H63" s="360" t="s">
        <v>339</v>
      </c>
      <c r="I63" s="360" t="s">
        <v>335</v>
      </c>
    </row>
    <row r="64" spans="1:9">
      <c r="A64" s="234">
        <v>1296432135</v>
      </c>
      <c r="B64" s="360" t="s">
        <v>337</v>
      </c>
      <c r="C64" s="360" t="s">
        <v>61</v>
      </c>
      <c r="D64" s="360" t="s">
        <v>23</v>
      </c>
      <c r="E64" s="360" t="s">
        <v>41</v>
      </c>
      <c r="F64" s="360">
        <v>125</v>
      </c>
      <c r="G64" s="360">
        <v>5</v>
      </c>
      <c r="H64" s="360" t="s">
        <v>339</v>
      </c>
      <c r="I64" s="360" t="s">
        <v>335</v>
      </c>
    </row>
    <row r="65" spans="1:9">
      <c r="A65" s="234">
        <v>1296435235</v>
      </c>
      <c r="B65" s="360" t="s">
        <v>337</v>
      </c>
      <c r="C65" s="360" t="s">
        <v>61</v>
      </c>
      <c r="D65" s="360" t="s">
        <v>15</v>
      </c>
      <c r="E65" s="360" t="s">
        <v>266</v>
      </c>
      <c r="F65" s="360">
        <v>132</v>
      </c>
      <c r="G65" s="360">
        <v>8</v>
      </c>
      <c r="H65" s="360" t="s">
        <v>334</v>
      </c>
      <c r="I65" s="360" t="s">
        <v>335</v>
      </c>
    </row>
    <row r="66" spans="1:9">
      <c r="B66" s="360"/>
      <c r="C66" s="360"/>
      <c r="D66" s="360"/>
      <c r="E66" s="360"/>
      <c r="F66" s="360"/>
      <c r="G66" s="360"/>
      <c r="H66" s="360"/>
      <c r="I66" s="360"/>
    </row>
    <row r="67" spans="1:9">
      <c r="B67" s="360"/>
      <c r="C67" s="360"/>
      <c r="D67" s="360"/>
      <c r="E67" s="360"/>
      <c r="F67" s="360"/>
      <c r="G67" s="360"/>
      <c r="H67" s="360"/>
      <c r="I67" s="360"/>
    </row>
    <row r="68" spans="1:9">
      <c r="B68" s="360"/>
      <c r="C68" s="360"/>
      <c r="D68" s="360"/>
      <c r="E68" s="360"/>
      <c r="F68" s="360"/>
      <c r="G68" s="360"/>
      <c r="H68" s="360"/>
      <c r="I68" s="360"/>
    </row>
    <row r="69" spans="1:9">
      <c r="B69" s="360"/>
      <c r="C69" s="360"/>
      <c r="D69" s="360"/>
      <c r="E69" s="360"/>
      <c r="F69" s="360"/>
      <c r="G69" s="360"/>
      <c r="H69" s="360"/>
      <c r="I69" s="360"/>
    </row>
  </sheetData>
  <autoFilter ref="A1:I1" xr:uid="{FD39A1B4-16EC-4480-B87E-370F659E7CC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0E81-E628-4AF2-A717-754CA538FFA9}">
  <dimension ref="A1:C20"/>
  <sheetViews>
    <sheetView workbookViewId="0">
      <selection activeCell="A9" sqref="A9:XFD9"/>
    </sheetView>
  </sheetViews>
  <sheetFormatPr defaultRowHeight="14.4"/>
  <cols>
    <col min="1" max="1" width="52.88671875" customWidth="1"/>
    <col min="2" max="2" width="101.33203125" customWidth="1"/>
    <col min="3" max="3" width="42" customWidth="1"/>
  </cols>
  <sheetData>
    <row r="1" spans="1:3" ht="27.75" customHeight="1">
      <c r="A1" s="353" t="s">
        <v>348</v>
      </c>
      <c r="B1" s="354" t="s">
        <v>349</v>
      </c>
      <c r="C1" s="355" t="s">
        <v>350</v>
      </c>
    </row>
    <row r="2" spans="1:3">
      <c r="A2" s="277" t="s">
        <v>351</v>
      </c>
      <c r="B2" s="310" t="s">
        <v>352</v>
      </c>
      <c r="C2" s="274" t="s">
        <v>353</v>
      </c>
    </row>
    <row r="3" spans="1:3">
      <c r="A3" s="277" t="s">
        <v>354</v>
      </c>
      <c r="B3" s="310" t="s">
        <v>352</v>
      </c>
      <c r="C3" s="274" t="s">
        <v>353</v>
      </c>
    </row>
    <row r="4" spans="1:3">
      <c r="A4" s="277" t="s">
        <v>355</v>
      </c>
      <c r="B4" s="310" t="s">
        <v>356</v>
      </c>
      <c r="C4" s="274" t="s">
        <v>353</v>
      </c>
    </row>
    <row r="5" spans="1:3">
      <c r="A5" s="277" t="s">
        <v>357</v>
      </c>
      <c r="B5" s="310" t="s">
        <v>358</v>
      </c>
      <c r="C5" s="274" t="s">
        <v>353</v>
      </c>
    </row>
    <row r="6" spans="1:3">
      <c r="A6" s="277" t="s">
        <v>359</v>
      </c>
      <c r="B6" s="310" t="s">
        <v>360</v>
      </c>
      <c r="C6" s="361" t="s">
        <v>361</v>
      </c>
    </row>
    <row r="7" spans="1:3">
      <c r="A7" s="277" t="s">
        <v>362</v>
      </c>
      <c r="B7" s="310" t="s">
        <v>358</v>
      </c>
      <c r="C7" s="274" t="s">
        <v>353</v>
      </c>
    </row>
    <row r="8" spans="1:3">
      <c r="A8" s="277" t="s">
        <v>363</v>
      </c>
      <c r="B8" s="310" t="s">
        <v>360</v>
      </c>
      <c r="C8" s="361" t="s">
        <v>361</v>
      </c>
    </row>
    <row r="9" spans="1:3">
      <c r="A9" s="277" t="s">
        <v>364</v>
      </c>
      <c r="B9" s="310" t="s">
        <v>360</v>
      </c>
      <c r="C9" s="362" t="s">
        <v>361</v>
      </c>
    </row>
    <row r="10" spans="1:3">
      <c r="A10" s="277" t="s">
        <v>365</v>
      </c>
      <c r="B10" s="310" t="s">
        <v>366</v>
      </c>
      <c r="C10" s="274" t="s">
        <v>353</v>
      </c>
    </row>
    <row r="11" spans="1:3">
      <c r="A11" s="277" t="s">
        <v>367</v>
      </c>
      <c r="B11" s="274" t="s">
        <v>368</v>
      </c>
      <c r="C11" s="274" t="s">
        <v>353</v>
      </c>
    </row>
    <row r="12" spans="1:3">
      <c r="A12" s="277" t="s">
        <v>369</v>
      </c>
      <c r="B12" s="310" t="s">
        <v>352</v>
      </c>
      <c r="C12" s="274" t="s">
        <v>353</v>
      </c>
    </row>
    <row r="13" spans="1:3">
      <c r="A13" s="277" t="s">
        <v>370</v>
      </c>
      <c r="B13" s="310" t="s">
        <v>358</v>
      </c>
      <c r="C13" s="274" t="s">
        <v>353</v>
      </c>
    </row>
    <row r="14" spans="1:3">
      <c r="A14" s="277" t="s">
        <v>371</v>
      </c>
      <c r="B14" s="310" t="s">
        <v>372</v>
      </c>
      <c r="C14" s="274" t="s">
        <v>353</v>
      </c>
    </row>
    <row r="15" spans="1:3">
      <c r="A15" s="277" t="s">
        <v>373</v>
      </c>
      <c r="B15" s="274" t="s">
        <v>368</v>
      </c>
      <c r="C15" s="274" t="s">
        <v>353</v>
      </c>
    </row>
    <row r="16" spans="1:3">
      <c r="A16" s="277" t="s">
        <v>374</v>
      </c>
      <c r="B16" s="310" t="s">
        <v>352</v>
      </c>
      <c r="C16" s="274" t="s">
        <v>353</v>
      </c>
    </row>
    <row r="17" spans="1:3">
      <c r="A17" s="277" t="s">
        <v>375</v>
      </c>
      <c r="B17" s="310" t="s">
        <v>358</v>
      </c>
      <c r="C17" s="274" t="s">
        <v>353</v>
      </c>
    </row>
    <row r="18" spans="1:3">
      <c r="A18" s="356" t="s">
        <v>376</v>
      </c>
      <c r="B18" s="310" t="s">
        <v>358</v>
      </c>
      <c r="C18" s="274" t="s">
        <v>353</v>
      </c>
    </row>
    <row r="19" spans="1:3">
      <c r="A19" s="277" t="s">
        <v>377</v>
      </c>
      <c r="B19" s="310" t="s">
        <v>360</v>
      </c>
      <c r="C19" s="362" t="s">
        <v>361</v>
      </c>
    </row>
    <row r="20" spans="1:3">
      <c r="A20" s="277" t="s">
        <v>353</v>
      </c>
      <c r="B20" s="274" t="s">
        <v>353</v>
      </c>
      <c r="C20" s="274" t="s">
        <v>353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7447-86E3-4C6C-AAD9-AB716B0BD8A4}">
  <dimension ref="A1:J28"/>
  <sheetViews>
    <sheetView workbookViewId="0">
      <selection activeCell="J13" sqref="J13"/>
    </sheetView>
  </sheetViews>
  <sheetFormatPr defaultRowHeight="14.4"/>
  <cols>
    <col min="1" max="1" width="13.5546875" customWidth="1"/>
    <col min="2" max="2" width="13.109375" bestFit="1" customWidth="1"/>
    <col min="6" max="6" width="14.44140625" bestFit="1" customWidth="1"/>
    <col min="7" max="7" width="33.6640625" customWidth="1"/>
  </cols>
  <sheetData>
    <row r="1" spans="1:10">
      <c r="A1" t="s">
        <v>378</v>
      </c>
      <c r="B1" t="s">
        <v>379</v>
      </c>
      <c r="C1" s="196" t="s">
        <v>380</v>
      </c>
      <c r="D1" s="196" t="s">
        <v>381</v>
      </c>
      <c r="E1" s="196" t="s">
        <v>382</v>
      </c>
      <c r="F1" s="196" t="s">
        <v>332</v>
      </c>
      <c r="G1" s="196" t="s">
        <v>173</v>
      </c>
      <c r="H1" t="s">
        <v>383</v>
      </c>
      <c r="I1" t="s">
        <v>384</v>
      </c>
    </row>
    <row r="2" spans="1:10">
      <c r="A2" s="226">
        <v>627.94000000000005</v>
      </c>
      <c r="B2" s="196">
        <v>2500</v>
      </c>
      <c r="E2">
        <v>2500</v>
      </c>
      <c r="G2" t="s">
        <v>385</v>
      </c>
      <c r="H2" s="226">
        <v>109</v>
      </c>
      <c r="I2" s="226">
        <v>7</v>
      </c>
    </row>
    <row r="3" spans="1:10">
      <c r="A3" s="226">
        <v>663.98</v>
      </c>
      <c r="B3" s="196">
        <v>2500</v>
      </c>
      <c r="C3" s="196">
        <v>1222</v>
      </c>
      <c r="D3" s="196">
        <v>1278</v>
      </c>
      <c r="E3" s="196"/>
      <c r="F3" s="196" t="s">
        <v>205</v>
      </c>
      <c r="G3" s="196" t="s">
        <v>386</v>
      </c>
      <c r="H3" s="226">
        <v>109</v>
      </c>
      <c r="I3" s="226">
        <v>1</v>
      </c>
    </row>
    <row r="4" spans="1:10" ht="18" customHeight="1">
      <c r="A4" s="226">
        <v>664.01</v>
      </c>
      <c r="B4" s="196">
        <v>2400</v>
      </c>
      <c r="C4" s="196">
        <v>1300</v>
      </c>
      <c r="D4" s="196">
        <v>700</v>
      </c>
      <c r="E4" s="196">
        <v>400</v>
      </c>
      <c r="F4" s="196" t="s">
        <v>205</v>
      </c>
      <c r="G4" s="197" t="s">
        <v>387</v>
      </c>
      <c r="H4" s="249">
        <v>109</v>
      </c>
      <c r="I4" s="249">
        <v>2</v>
      </c>
      <c r="J4" t="s">
        <v>388</v>
      </c>
    </row>
    <row r="5" spans="1:10">
      <c r="A5" s="226">
        <v>671.98</v>
      </c>
      <c r="B5" s="196">
        <v>2618</v>
      </c>
      <c r="C5" s="196"/>
      <c r="D5" s="196">
        <v>2268</v>
      </c>
      <c r="E5" s="196">
        <v>350</v>
      </c>
      <c r="F5" s="196" t="s">
        <v>389</v>
      </c>
      <c r="G5" s="196" t="s">
        <v>390</v>
      </c>
      <c r="H5" s="226">
        <v>109</v>
      </c>
      <c r="I5" s="226">
        <v>9</v>
      </c>
    </row>
    <row r="6" spans="1:10">
      <c r="A6" s="226">
        <v>671.98</v>
      </c>
      <c r="B6" s="196">
        <v>2250</v>
      </c>
      <c r="C6" s="196"/>
      <c r="D6" s="196"/>
      <c r="E6" s="196">
        <v>2250</v>
      </c>
      <c r="F6" s="196" t="s">
        <v>205</v>
      </c>
      <c r="G6" s="196" t="s">
        <v>313</v>
      </c>
      <c r="H6" s="249">
        <v>109</v>
      </c>
      <c r="I6" s="249">
        <v>10</v>
      </c>
      <c r="J6" t="s">
        <v>391</v>
      </c>
    </row>
    <row r="7" spans="1:10">
      <c r="A7" s="226">
        <v>671.99</v>
      </c>
      <c r="B7" s="196">
        <v>2500</v>
      </c>
      <c r="C7" s="196"/>
      <c r="D7" s="196"/>
      <c r="E7" s="196">
        <v>2500</v>
      </c>
      <c r="F7" s="196"/>
      <c r="G7" s="196" t="s">
        <v>385</v>
      </c>
      <c r="H7" s="226">
        <v>109</v>
      </c>
      <c r="I7" s="226">
        <v>8</v>
      </c>
      <c r="J7" t="s">
        <v>391</v>
      </c>
    </row>
    <row r="8" spans="1:10">
      <c r="A8" s="226">
        <v>672.05</v>
      </c>
      <c r="B8" s="196">
        <v>2250</v>
      </c>
      <c r="C8" s="196"/>
      <c r="D8" s="196"/>
      <c r="E8" s="196">
        <v>2250</v>
      </c>
      <c r="F8" s="196" t="s">
        <v>205</v>
      </c>
      <c r="G8" s="196" t="s">
        <v>313</v>
      </c>
      <c r="H8" s="249">
        <v>109</v>
      </c>
      <c r="I8" s="249">
        <v>3</v>
      </c>
      <c r="J8" t="s">
        <v>392</v>
      </c>
    </row>
    <row r="9" spans="1:10" ht="15.75" customHeight="1">
      <c r="A9" s="226">
        <v>672.07</v>
      </c>
      <c r="B9" s="196">
        <v>2500</v>
      </c>
      <c r="C9" s="196"/>
      <c r="D9" s="196">
        <v>2500</v>
      </c>
      <c r="F9" s="196" t="s">
        <v>205</v>
      </c>
      <c r="G9" s="197" t="s">
        <v>393</v>
      </c>
      <c r="H9" s="226">
        <v>109</v>
      </c>
      <c r="I9" s="226">
        <v>4</v>
      </c>
    </row>
    <row r="10" spans="1:10">
      <c r="A10" s="226">
        <v>672.13</v>
      </c>
      <c r="B10" s="196">
        <v>2600</v>
      </c>
      <c r="D10">
        <v>2600</v>
      </c>
      <c r="E10" s="196"/>
      <c r="F10" s="196" t="s">
        <v>205</v>
      </c>
      <c r="G10" s="196" t="s">
        <v>394</v>
      </c>
      <c r="H10" s="226">
        <v>109</v>
      </c>
      <c r="I10" s="226">
        <v>5</v>
      </c>
    </row>
    <row r="11" spans="1:10">
      <c r="A11" s="226">
        <v>704.82</v>
      </c>
      <c r="B11" s="196">
        <v>2750</v>
      </c>
      <c r="C11" s="196"/>
      <c r="D11" s="196"/>
      <c r="E11" s="196">
        <v>2750</v>
      </c>
      <c r="F11" s="196"/>
      <c r="G11" s="196" t="s">
        <v>385</v>
      </c>
      <c r="H11" s="226">
        <v>109</v>
      </c>
      <c r="I11" s="226">
        <v>6</v>
      </c>
    </row>
    <row r="12" spans="1:10">
      <c r="A12" s="226">
        <v>751.94</v>
      </c>
      <c r="B12" s="196">
        <v>3600</v>
      </c>
      <c r="C12" s="196"/>
      <c r="D12" s="196">
        <v>1800</v>
      </c>
      <c r="E12" s="196">
        <v>1800</v>
      </c>
      <c r="F12" s="196" t="s">
        <v>205</v>
      </c>
      <c r="G12" s="196" t="s">
        <v>395</v>
      </c>
      <c r="H12" s="226">
        <v>101</v>
      </c>
      <c r="I12" s="226">
        <v>6</v>
      </c>
      <c r="J12" t="s">
        <v>396</v>
      </c>
    </row>
    <row r="17" spans="1:9">
      <c r="B17" t="s">
        <v>379</v>
      </c>
      <c r="C17" s="196" t="s">
        <v>380</v>
      </c>
      <c r="D17" s="196" t="s">
        <v>381</v>
      </c>
      <c r="E17" s="196" t="s">
        <v>382</v>
      </c>
      <c r="F17" s="196" t="s">
        <v>332</v>
      </c>
      <c r="G17" s="196" t="s">
        <v>173</v>
      </c>
    </row>
    <row r="18" spans="1:9">
      <c r="A18" s="226">
        <v>663.98</v>
      </c>
      <c r="B18" s="196">
        <v>2500</v>
      </c>
      <c r="C18" s="196">
        <v>1222</v>
      </c>
      <c r="D18" s="196">
        <v>1278</v>
      </c>
      <c r="E18" s="196"/>
      <c r="F18" s="196" t="s">
        <v>205</v>
      </c>
      <c r="G18" s="196" t="s">
        <v>386</v>
      </c>
      <c r="H18" s="226">
        <v>109</v>
      </c>
      <c r="I18" s="226">
        <v>1</v>
      </c>
    </row>
    <row r="19" spans="1:9">
      <c r="A19" s="226">
        <v>672.07</v>
      </c>
      <c r="B19" s="196">
        <v>2500</v>
      </c>
      <c r="C19" s="196"/>
      <c r="D19" s="196">
        <v>2500</v>
      </c>
      <c r="F19" s="196" t="s">
        <v>205</v>
      </c>
      <c r="G19" s="197" t="s">
        <v>393</v>
      </c>
      <c r="H19" s="226">
        <v>109</v>
      </c>
      <c r="I19" s="226">
        <v>4</v>
      </c>
    </row>
    <row r="20" spans="1:9">
      <c r="A20" s="226">
        <v>751.94</v>
      </c>
      <c r="B20" s="196">
        <v>3600</v>
      </c>
      <c r="C20" s="196"/>
      <c r="D20" s="196">
        <v>1800</v>
      </c>
      <c r="E20" s="196">
        <v>1800</v>
      </c>
      <c r="F20" s="196" t="s">
        <v>205</v>
      </c>
      <c r="G20" s="196" t="s">
        <v>395</v>
      </c>
      <c r="H20" s="226">
        <v>101</v>
      </c>
      <c r="I20" s="226">
        <v>6</v>
      </c>
    </row>
    <row r="21" spans="1:9">
      <c r="A21" s="226">
        <v>672.13</v>
      </c>
      <c r="B21" s="196">
        <v>2600</v>
      </c>
      <c r="D21">
        <v>2600</v>
      </c>
      <c r="E21" s="196"/>
      <c r="F21" s="196" t="s">
        <v>205</v>
      </c>
      <c r="G21" s="196" t="s">
        <v>394</v>
      </c>
      <c r="H21" s="226">
        <v>109</v>
      </c>
      <c r="I21" s="226">
        <v>5</v>
      </c>
    </row>
    <row r="22" spans="1:9">
      <c r="A22" s="226">
        <v>671.98</v>
      </c>
      <c r="B22" s="196">
        <v>2250</v>
      </c>
      <c r="C22" s="196"/>
      <c r="D22" s="196">
        <v>2100</v>
      </c>
      <c r="E22" s="196">
        <v>150</v>
      </c>
      <c r="F22" s="196" t="s">
        <v>205</v>
      </c>
      <c r="G22" s="196" t="s">
        <v>313</v>
      </c>
      <c r="H22" s="249">
        <v>109</v>
      </c>
      <c r="I22" s="249">
        <v>10</v>
      </c>
    </row>
    <row r="23" spans="1:9">
      <c r="A23" s="226">
        <v>672.05</v>
      </c>
      <c r="B23" s="196">
        <v>2250</v>
      </c>
      <c r="C23" s="196"/>
      <c r="D23" s="196">
        <v>2100</v>
      </c>
      <c r="E23" s="196">
        <v>150</v>
      </c>
      <c r="F23" s="196" t="s">
        <v>205</v>
      </c>
      <c r="G23" s="196" t="s">
        <v>313</v>
      </c>
      <c r="H23" s="249">
        <v>109</v>
      </c>
      <c r="I23" s="249">
        <v>3</v>
      </c>
    </row>
    <row r="24" spans="1:9">
      <c r="A24" s="226">
        <v>627.94000000000005</v>
      </c>
      <c r="B24" s="196">
        <v>2500</v>
      </c>
      <c r="D24">
        <v>2000</v>
      </c>
      <c r="E24">
        <v>500</v>
      </c>
      <c r="G24" t="s">
        <v>385</v>
      </c>
      <c r="H24" s="226">
        <v>109</v>
      </c>
      <c r="I24" s="226">
        <v>7</v>
      </c>
    </row>
    <row r="25" spans="1:9">
      <c r="A25" s="226">
        <v>671.99</v>
      </c>
      <c r="B25" s="196">
        <v>2500</v>
      </c>
      <c r="C25" s="196"/>
      <c r="D25" s="196">
        <v>2000</v>
      </c>
      <c r="E25">
        <v>500</v>
      </c>
      <c r="F25" s="196"/>
      <c r="G25" s="196" t="s">
        <v>385</v>
      </c>
      <c r="H25" s="226">
        <v>109</v>
      </c>
      <c r="I25" s="226">
        <v>8</v>
      </c>
    </row>
    <row r="26" spans="1:9">
      <c r="A26" s="226">
        <v>704.82</v>
      </c>
      <c r="B26" s="196">
        <v>2750</v>
      </c>
      <c r="C26" s="196"/>
      <c r="D26" s="196">
        <v>2000</v>
      </c>
      <c r="E26">
        <v>750</v>
      </c>
      <c r="F26" s="196"/>
      <c r="G26" s="196" t="s">
        <v>385</v>
      </c>
      <c r="H26" s="226">
        <v>109</v>
      </c>
      <c r="I26" s="226">
        <v>6</v>
      </c>
    </row>
    <row r="27" spans="1:9">
      <c r="A27" s="226">
        <v>664.01</v>
      </c>
      <c r="B27" s="196">
        <v>2400</v>
      </c>
      <c r="C27" s="196">
        <v>1300</v>
      </c>
      <c r="D27" s="196">
        <v>700</v>
      </c>
      <c r="E27" s="196">
        <v>400</v>
      </c>
      <c r="F27" s="196" t="s">
        <v>205</v>
      </c>
      <c r="G27" s="197" t="s">
        <v>387</v>
      </c>
      <c r="H27" s="249">
        <v>109</v>
      </c>
      <c r="I27" s="249">
        <v>2</v>
      </c>
    </row>
    <row r="28" spans="1:9">
      <c r="A28" s="226">
        <v>671.98</v>
      </c>
      <c r="B28" s="196">
        <v>2618</v>
      </c>
      <c r="C28" s="196"/>
      <c r="D28" s="196">
        <v>2268</v>
      </c>
      <c r="E28" s="196">
        <v>350</v>
      </c>
      <c r="F28" s="196" t="s">
        <v>389</v>
      </c>
      <c r="G28" s="196" t="s">
        <v>390</v>
      </c>
      <c r="H28" s="226">
        <v>109</v>
      </c>
      <c r="I28" s="226">
        <v>9</v>
      </c>
    </row>
  </sheetData>
  <autoFilter ref="A1:I14" xr:uid="{40337447-86E3-4C6C-AAD9-AB716B0BD8A4}">
    <sortState xmlns:xlrd2="http://schemas.microsoft.com/office/spreadsheetml/2017/richdata2" ref="A2:I14">
      <sortCondition ref="G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F765-52C6-4DED-91BF-B07EDFC24F13}">
  <dimension ref="B5:O45"/>
  <sheetViews>
    <sheetView workbookViewId="0">
      <selection activeCell="F18" sqref="F18"/>
    </sheetView>
  </sheetViews>
  <sheetFormatPr defaultRowHeight="14.4"/>
  <sheetData>
    <row r="5" spans="2:15">
      <c r="B5" s="199" t="s">
        <v>133</v>
      </c>
      <c r="C5" s="246" t="s">
        <v>151</v>
      </c>
      <c r="D5" s="250" t="s">
        <v>152</v>
      </c>
      <c r="E5" s="199" t="s">
        <v>0</v>
      </c>
      <c r="F5" s="199" t="s">
        <v>1</v>
      </c>
      <c r="G5" s="199" t="s">
        <v>2</v>
      </c>
      <c r="H5" s="200" t="s">
        <v>3</v>
      </c>
      <c r="I5" s="339" t="s">
        <v>4</v>
      </c>
      <c r="J5" s="339" t="s">
        <v>5</v>
      </c>
      <c r="K5" s="199" t="s">
        <v>153</v>
      </c>
      <c r="L5" s="199" t="s">
        <v>154</v>
      </c>
      <c r="M5" s="200" t="s">
        <v>155</v>
      </c>
      <c r="N5" s="199" t="s">
        <v>156</v>
      </c>
      <c r="O5" s="201" t="s">
        <v>118</v>
      </c>
    </row>
    <row r="6" spans="2:15">
      <c r="B6" s="159" t="str">
        <f t="shared" ref="B6:B45" si="0">G6&amp;I6&amp;J6</f>
        <v>İNKÖY48681-7</v>
      </c>
      <c r="C6" s="247" t="s">
        <v>145</v>
      </c>
      <c r="D6" s="251" t="s">
        <v>197</v>
      </c>
      <c r="E6" s="226" t="s">
        <v>186</v>
      </c>
      <c r="F6" s="226" t="s">
        <v>187</v>
      </c>
      <c r="G6" s="226" t="s">
        <v>188</v>
      </c>
      <c r="H6" s="226">
        <v>150</v>
      </c>
      <c r="I6" s="226">
        <v>4868</v>
      </c>
      <c r="J6" s="338" t="s">
        <v>397</v>
      </c>
      <c r="K6" s="226" t="s">
        <v>130</v>
      </c>
      <c r="L6" s="206" t="s">
        <v>138</v>
      </c>
      <c r="M6" s="226" t="s">
        <v>189</v>
      </c>
      <c r="N6" s="226" t="s">
        <v>190</v>
      </c>
      <c r="O6" s="208">
        <f t="shared" ref="O6:O45" si="1">P6/H6</f>
        <v>0</v>
      </c>
    </row>
    <row r="7" spans="2:15">
      <c r="B7" s="159" t="str">
        <f t="shared" si="0"/>
        <v>İNKÖY48681-8</v>
      </c>
      <c r="C7" s="247" t="s">
        <v>145</v>
      </c>
      <c r="D7" s="251" t="s">
        <v>197</v>
      </c>
      <c r="E7" s="226" t="s">
        <v>186</v>
      </c>
      <c r="F7" s="226" t="s">
        <v>187</v>
      </c>
      <c r="G7" s="226" t="s">
        <v>188</v>
      </c>
      <c r="H7" s="226">
        <v>150</v>
      </c>
      <c r="I7" s="226">
        <v>4868</v>
      </c>
      <c r="J7" s="338" t="s">
        <v>398</v>
      </c>
      <c r="K7" s="226" t="s">
        <v>130</v>
      </c>
      <c r="L7" s="206" t="s">
        <v>138</v>
      </c>
      <c r="M7" s="226" t="s">
        <v>189</v>
      </c>
      <c r="N7" s="226" t="s">
        <v>190</v>
      </c>
      <c r="O7" s="208">
        <f t="shared" si="1"/>
        <v>0</v>
      </c>
    </row>
    <row r="8" spans="2:15">
      <c r="B8" s="159" t="str">
        <f t="shared" si="0"/>
        <v>İNKÖY48681-9</v>
      </c>
      <c r="C8" s="247" t="s">
        <v>145</v>
      </c>
      <c r="D8" s="251" t="s">
        <v>197</v>
      </c>
      <c r="E8" s="226" t="s">
        <v>186</v>
      </c>
      <c r="F8" s="226" t="s">
        <v>187</v>
      </c>
      <c r="G8" s="226" t="s">
        <v>188</v>
      </c>
      <c r="H8" s="226">
        <v>150</v>
      </c>
      <c r="I8" s="226">
        <v>4868</v>
      </c>
      <c r="J8" s="338" t="s">
        <v>399</v>
      </c>
      <c r="K8" s="226" t="s">
        <v>130</v>
      </c>
      <c r="L8" s="206" t="s">
        <v>138</v>
      </c>
      <c r="M8" s="226" t="s">
        <v>189</v>
      </c>
      <c r="N8" s="226" t="s">
        <v>190</v>
      </c>
      <c r="O8" s="208">
        <f t="shared" si="1"/>
        <v>0</v>
      </c>
    </row>
    <row r="9" spans="2:15">
      <c r="B9" s="159" t="str">
        <f t="shared" si="0"/>
        <v>İNKÖY48681-10</v>
      </c>
      <c r="C9" s="247" t="s">
        <v>145</v>
      </c>
      <c r="D9" s="251" t="s">
        <v>197</v>
      </c>
      <c r="E9" s="226" t="s">
        <v>186</v>
      </c>
      <c r="F9" s="226" t="s">
        <v>187</v>
      </c>
      <c r="G9" s="226" t="s">
        <v>188</v>
      </c>
      <c r="H9" s="226">
        <v>150</v>
      </c>
      <c r="I9" s="226">
        <v>4868</v>
      </c>
      <c r="J9" s="338" t="s">
        <v>400</v>
      </c>
      <c r="K9" s="226" t="s">
        <v>130</v>
      </c>
      <c r="L9" s="206" t="s">
        <v>138</v>
      </c>
      <c r="M9" s="226" t="s">
        <v>189</v>
      </c>
      <c r="N9" s="226" t="s">
        <v>190</v>
      </c>
      <c r="O9" s="208">
        <f t="shared" si="1"/>
        <v>0</v>
      </c>
    </row>
    <row r="10" spans="2:15">
      <c r="B10" s="159" t="str">
        <f t="shared" si="0"/>
        <v>İNKÖY48681-11</v>
      </c>
      <c r="C10" s="247" t="s">
        <v>145</v>
      </c>
      <c r="D10" s="251" t="s">
        <v>197</v>
      </c>
      <c r="E10" s="226" t="s">
        <v>186</v>
      </c>
      <c r="F10" s="226" t="s">
        <v>187</v>
      </c>
      <c r="G10" s="226" t="s">
        <v>188</v>
      </c>
      <c r="H10" s="226">
        <v>150</v>
      </c>
      <c r="I10" s="226">
        <v>4868</v>
      </c>
      <c r="J10" s="338" t="s">
        <v>401</v>
      </c>
      <c r="K10" s="226" t="s">
        <v>130</v>
      </c>
      <c r="L10" s="206" t="s">
        <v>138</v>
      </c>
      <c r="M10" s="226" t="s">
        <v>189</v>
      </c>
      <c r="N10" s="226" t="s">
        <v>190</v>
      </c>
      <c r="O10" s="208">
        <f t="shared" si="1"/>
        <v>0</v>
      </c>
    </row>
    <row r="11" spans="2:15">
      <c r="B11" s="159" t="str">
        <f t="shared" si="0"/>
        <v>İNKÖY48681-1</v>
      </c>
      <c r="C11" s="247" t="s">
        <v>150</v>
      </c>
      <c r="D11" s="251"/>
      <c r="E11" s="226" t="s">
        <v>186</v>
      </c>
      <c r="F11" s="226" t="s">
        <v>187</v>
      </c>
      <c r="G11" s="226" t="s">
        <v>188</v>
      </c>
      <c r="H11" s="226">
        <v>150</v>
      </c>
      <c r="I11" s="226">
        <v>4868</v>
      </c>
      <c r="J11" s="338" t="s">
        <v>402</v>
      </c>
      <c r="K11" s="226" t="s">
        <v>130</v>
      </c>
      <c r="L11" s="206" t="s">
        <v>138</v>
      </c>
      <c r="M11" s="226" t="s">
        <v>179</v>
      </c>
      <c r="N11" s="226" t="s">
        <v>179</v>
      </c>
      <c r="O11" s="208">
        <f t="shared" si="1"/>
        <v>0</v>
      </c>
    </row>
    <row r="12" spans="2:15">
      <c r="B12" s="159" t="str">
        <f t="shared" si="0"/>
        <v>İNKÖY48681-2</v>
      </c>
      <c r="C12" s="247" t="s">
        <v>150</v>
      </c>
      <c r="D12" s="251"/>
      <c r="E12" s="226" t="s">
        <v>186</v>
      </c>
      <c r="F12" s="226" t="s">
        <v>187</v>
      </c>
      <c r="G12" s="226" t="s">
        <v>188</v>
      </c>
      <c r="H12" s="226">
        <v>150</v>
      </c>
      <c r="I12" s="226">
        <v>4868</v>
      </c>
      <c r="J12" s="338" t="s">
        <v>403</v>
      </c>
      <c r="K12" s="226" t="s">
        <v>130</v>
      </c>
      <c r="L12" s="206" t="s">
        <v>138</v>
      </c>
      <c r="M12" s="226" t="s">
        <v>179</v>
      </c>
      <c r="N12" s="226" t="s">
        <v>179</v>
      </c>
      <c r="O12" s="208">
        <f t="shared" si="1"/>
        <v>0</v>
      </c>
    </row>
    <row r="13" spans="2:15">
      <c r="B13" s="159" t="str">
        <f t="shared" si="0"/>
        <v>İNKÖY48681-3</v>
      </c>
      <c r="C13" s="247" t="s">
        <v>150</v>
      </c>
      <c r="D13" s="251"/>
      <c r="E13" s="226" t="s">
        <v>186</v>
      </c>
      <c r="F13" s="226" t="s">
        <v>187</v>
      </c>
      <c r="G13" s="226" t="s">
        <v>188</v>
      </c>
      <c r="H13" s="226">
        <v>150</v>
      </c>
      <c r="I13" s="226">
        <v>4868</v>
      </c>
      <c r="J13" s="338" t="s">
        <v>404</v>
      </c>
      <c r="K13" s="226" t="s">
        <v>130</v>
      </c>
      <c r="L13" s="206" t="s">
        <v>138</v>
      </c>
      <c r="M13" s="226" t="s">
        <v>179</v>
      </c>
      <c r="N13" s="226" t="s">
        <v>179</v>
      </c>
      <c r="O13" s="208">
        <f t="shared" si="1"/>
        <v>0</v>
      </c>
    </row>
    <row r="14" spans="2:15">
      <c r="B14" s="159" t="str">
        <f t="shared" si="0"/>
        <v>İNKÖY48681-4</v>
      </c>
      <c r="C14" s="247" t="s">
        <v>150</v>
      </c>
      <c r="D14" s="251"/>
      <c r="E14" s="226" t="s">
        <v>186</v>
      </c>
      <c r="F14" s="226" t="s">
        <v>187</v>
      </c>
      <c r="G14" s="226" t="s">
        <v>188</v>
      </c>
      <c r="H14" s="226">
        <v>150</v>
      </c>
      <c r="I14" s="226">
        <v>4868</v>
      </c>
      <c r="J14" s="338" t="s">
        <v>405</v>
      </c>
      <c r="K14" s="226" t="s">
        <v>130</v>
      </c>
      <c r="L14" s="206" t="s">
        <v>138</v>
      </c>
      <c r="M14" s="226" t="s">
        <v>179</v>
      </c>
      <c r="N14" s="226" t="s">
        <v>179</v>
      </c>
      <c r="O14" s="208">
        <f t="shared" si="1"/>
        <v>0</v>
      </c>
    </row>
    <row r="15" spans="2:15">
      <c r="B15" s="159" t="str">
        <f t="shared" si="0"/>
        <v>İNKÖY48681-5</v>
      </c>
      <c r="C15" s="247" t="s">
        <v>150</v>
      </c>
      <c r="D15" s="251"/>
      <c r="E15" s="226" t="s">
        <v>186</v>
      </c>
      <c r="F15" s="226" t="s">
        <v>187</v>
      </c>
      <c r="G15" s="226" t="s">
        <v>188</v>
      </c>
      <c r="H15" s="226">
        <v>150</v>
      </c>
      <c r="I15" s="226">
        <v>4868</v>
      </c>
      <c r="J15" s="338" t="s">
        <v>406</v>
      </c>
      <c r="K15" s="226" t="s">
        <v>130</v>
      </c>
      <c r="L15" s="206" t="s">
        <v>138</v>
      </c>
      <c r="M15" s="226" t="s">
        <v>189</v>
      </c>
      <c r="N15" s="226" t="s">
        <v>190</v>
      </c>
      <c r="O15" s="208">
        <f t="shared" si="1"/>
        <v>0</v>
      </c>
    </row>
    <row r="16" spans="2:15">
      <c r="B16" s="159" t="str">
        <f t="shared" si="0"/>
        <v>İNKÖY48681-12</v>
      </c>
      <c r="C16" s="247" t="s">
        <v>145</v>
      </c>
      <c r="D16" s="251" t="s">
        <v>197</v>
      </c>
      <c r="E16" s="226" t="s">
        <v>186</v>
      </c>
      <c r="F16" s="226" t="s">
        <v>187</v>
      </c>
      <c r="G16" s="226" t="s">
        <v>188</v>
      </c>
      <c r="H16" s="226">
        <v>150</v>
      </c>
      <c r="I16" s="226">
        <v>4868</v>
      </c>
      <c r="J16" s="338" t="s">
        <v>407</v>
      </c>
      <c r="K16" s="226" t="s">
        <v>130</v>
      </c>
      <c r="L16" s="206" t="s">
        <v>138</v>
      </c>
      <c r="M16" s="226" t="s">
        <v>189</v>
      </c>
      <c r="N16" s="226" t="s">
        <v>190</v>
      </c>
      <c r="O16" s="208">
        <f t="shared" si="1"/>
        <v>0</v>
      </c>
    </row>
    <row r="17" spans="2:15">
      <c r="B17" s="159" t="str">
        <f t="shared" si="0"/>
        <v>İNKÖY48681-13</v>
      </c>
      <c r="C17" s="247" t="s">
        <v>145</v>
      </c>
      <c r="D17" s="251" t="s">
        <v>197</v>
      </c>
      <c r="E17" s="226" t="s">
        <v>186</v>
      </c>
      <c r="F17" s="226" t="s">
        <v>187</v>
      </c>
      <c r="G17" s="226" t="s">
        <v>188</v>
      </c>
      <c r="H17" s="226">
        <v>150</v>
      </c>
      <c r="I17" s="226">
        <v>4868</v>
      </c>
      <c r="J17" s="338" t="s">
        <v>408</v>
      </c>
      <c r="K17" s="226" t="s">
        <v>130</v>
      </c>
      <c r="L17" s="206" t="s">
        <v>138</v>
      </c>
      <c r="M17" s="226" t="s">
        <v>189</v>
      </c>
      <c r="N17" s="226" t="s">
        <v>190</v>
      </c>
      <c r="O17" s="208">
        <f t="shared" si="1"/>
        <v>0</v>
      </c>
    </row>
    <row r="18" spans="2:15">
      <c r="B18" s="159" t="str">
        <f t="shared" si="0"/>
        <v>İNKÖY48681-14</v>
      </c>
      <c r="C18" s="247" t="s">
        <v>145</v>
      </c>
      <c r="D18" s="251" t="s">
        <v>197</v>
      </c>
      <c r="E18" s="226" t="s">
        <v>186</v>
      </c>
      <c r="F18" s="226" t="s">
        <v>187</v>
      </c>
      <c r="G18" s="226" t="s">
        <v>188</v>
      </c>
      <c r="H18" s="226">
        <v>150</v>
      </c>
      <c r="I18" s="226">
        <v>4868</v>
      </c>
      <c r="J18" s="338" t="s">
        <v>409</v>
      </c>
      <c r="K18" s="226" t="s">
        <v>130</v>
      </c>
      <c r="L18" s="206" t="s">
        <v>138</v>
      </c>
      <c r="M18" s="226" t="s">
        <v>189</v>
      </c>
      <c r="N18" s="226" t="s">
        <v>190</v>
      </c>
      <c r="O18" s="208">
        <f t="shared" si="1"/>
        <v>0</v>
      </c>
    </row>
    <row r="19" spans="2:15">
      <c r="B19" s="159" t="str">
        <f t="shared" si="0"/>
        <v>İNKÖY48681-15</v>
      </c>
      <c r="C19" s="247" t="s">
        <v>145</v>
      </c>
      <c r="D19" s="251" t="s">
        <v>197</v>
      </c>
      <c r="E19" s="226" t="s">
        <v>186</v>
      </c>
      <c r="F19" s="226" t="s">
        <v>187</v>
      </c>
      <c r="G19" s="226" t="s">
        <v>188</v>
      </c>
      <c r="H19" s="226">
        <v>150</v>
      </c>
      <c r="I19" s="226">
        <v>4868</v>
      </c>
      <c r="J19" s="338" t="s">
        <v>410</v>
      </c>
      <c r="K19" s="226" t="s">
        <v>130</v>
      </c>
      <c r="L19" s="206" t="s">
        <v>138</v>
      </c>
      <c r="M19" s="226" t="s">
        <v>189</v>
      </c>
      <c r="N19" s="226" t="s">
        <v>190</v>
      </c>
      <c r="O19" s="208">
        <f t="shared" si="1"/>
        <v>0</v>
      </c>
    </row>
    <row r="20" spans="2:15">
      <c r="B20" s="159" t="str">
        <f t="shared" si="0"/>
        <v>İNKÖY48681-16</v>
      </c>
      <c r="C20" s="247" t="s">
        <v>145</v>
      </c>
      <c r="D20" s="251" t="s">
        <v>197</v>
      </c>
      <c r="E20" s="226" t="s">
        <v>186</v>
      </c>
      <c r="F20" s="226" t="s">
        <v>187</v>
      </c>
      <c r="G20" s="226" t="s">
        <v>188</v>
      </c>
      <c r="H20" s="226">
        <v>150</v>
      </c>
      <c r="I20" s="226">
        <v>4868</v>
      </c>
      <c r="J20" s="338" t="s">
        <v>411</v>
      </c>
      <c r="K20" s="226" t="s">
        <v>130</v>
      </c>
      <c r="L20" s="206" t="s">
        <v>138</v>
      </c>
      <c r="M20" s="226" t="s">
        <v>189</v>
      </c>
      <c r="N20" s="226" t="s">
        <v>190</v>
      </c>
      <c r="O20" s="208">
        <f t="shared" si="1"/>
        <v>0</v>
      </c>
    </row>
    <row r="21" spans="2:15">
      <c r="B21" s="159" t="str">
        <f t="shared" si="0"/>
        <v>İNKÖY48681-17</v>
      </c>
      <c r="C21" s="247" t="s">
        <v>145</v>
      </c>
      <c r="D21" s="251" t="s">
        <v>197</v>
      </c>
      <c r="E21" s="226" t="s">
        <v>186</v>
      </c>
      <c r="F21" s="226" t="s">
        <v>187</v>
      </c>
      <c r="G21" s="226" t="s">
        <v>188</v>
      </c>
      <c r="H21" s="226">
        <v>150</v>
      </c>
      <c r="I21" s="226">
        <v>4868</v>
      </c>
      <c r="J21" s="338" t="s">
        <v>412</v>
      </c>
      <c r="K21" s="226" t="s">
        <v>130</v>
      </c>
      <c r="L21" s="206" t="s">
        <v>138</v>
      </c>
      <c r="M21" s="226" t="s">
        <v>189</v>
      </c>
      <c r="N21" s="226" t="s">
        <v>190</v>
      </c>
      <c r="O21" s="208">
        <f t="shared" si="1"/>
        <v>0</v>
      </c>
    </row>
    <row r="22" spans="2:15">
      <c r="B22" s="159" t="str">
        <f t="shared" si="0"/>
        <v>İNKÖY48681-18</v>
      </c>
      <c r="C22" s="247" t="s">
        <v>145</v>
      </c>
      <c r="D22" s="251" t="s">
        <v>197</v>
      </c>
      <c r="E22" s="226" t="s">
        <v>186</v>
      </c>
      <c r="F22" s="226" t="s">
        <v>187</v>
      </c>
      <c r="G22" s="226" t="s">
        <v>188</v>
      </c>
      <c r="H22" s="226">
        <v>150</v>
      </c>
      <c r="I22" s="226">
        <v>4868</v>
      </c>
      <c r="J22" s="338" t="s">
        <v>413</v>
      </c>
      <c r="K22" s="226" t="s">
        <v>130</v>
      </c>
      <c r="L22" s="206" t="s">
        <v>138</v>
      </c>
      <c r="M22" s="226" t="s">
        <v>189</v>
      </c>
      <c r="N22" s="226" t="s">
        <v>190</v>
      </c>
      <c r="O22" s="208">
        <f t="shared" si="1"/>
        <v>0</v>
      </c>
    </row>
    <row r="23" spans="2:15">
      <c r="B23" s="159" t="str">
        <f t="shared" si="0"/>
        <v>İNKÖY48681-19</v>
      </c>
      <c r="C23" s="247" t="s">
        <v>145</v>
      </c>
      <c r="D23" s="251" t="s">
        <v>197</v>
      </c>
      <c r="E23" s="226" t="s">
        <v>186</v>
      </c>
      <c r="F23" s="226" t="s">
        <v>187</v>
      </c>
      <c r="G23" s="226" t="s">
        <v>188</v>
      </c>
      <c r="H23" s="226">
        <v>150</v>
      </c>
      <c r="I23" s="226">
        <v>4868</v>
      </c>
      <c r="J23" s="338" t="s">
        <v>414</v>
      </c>
      <c r="K23" s="226" t="s">
        <v>130</v>
      </c>
      <c r="L23" s="206" t="s">
        <v>138</v>
      </c>
      <c r="M23" s="226" t="s">
        <v>189</v>
      </c>
      <c r="N23" s="226" t="s">
        <v>190</v>
      </c>
      <c r="O23" s="208">
        <f t="shared" si="1"/>
        <v>0</v>
      </c>
    </row>
    <row r="24" spans="2:15">
      <c r="B24" s="159" t="str">
        <f t="shared" si="0"/>
        <v>İNKÖY48681-20</v>
      </c>
      <c r="C24" s="247" t="s">
        <v>145</v>
      </c>
      <c r="D24" s="251" t="s">
        <v>197</v>
      </c>
      <c r="E24" s="226" t="s">
        <v>186</v>
      </c>
      <c r="F24" s="226" t="s">
        <v>187</v>
      </c>
      <c r="G24" s="226" t="s">
        <v>188</v>
      </c>
      <c r="H24" s="226">
        <v>150</v>
      </c>
      <c r="I24" s="226">
        <v>4868</v>
      </c>
      <c r="J24" s="338" t="s">
        <v>415</v>
      </c>
      <c r="K24" s="226" t="s">
        <v>130</v>
      </c>
      <c r="L24" s="206" t="s">
        <v>138</v>
      </c>
      <c r="M24" s="226" t="s">
        <v>189</v>
      </c>
      <c r="N24" s="226" t="s">
        <v>190</v>
      </c>
      <c r="O24" s="208">
        <f t="shared" si="1"/>
        <v>0</v>
      </c>
    </row>
    <row r="25" spans="2:15">
      <c r="B25" s="159" t="str">
        <f t="shared" si="0"/>
        <v>İNKÖY48682-1</v>
      </c>
      <c r="C25" s="247" t="s">
        <v>145</v>
      </c>
      <c r="D25" s="251" t="s">
        <v>197</v>
      </c>
      <c r="E25" s="226" t="s">
        <v>186</v>
      </c>
      <c r="F25" s="226" t="s">
        <v>187</v>
      </c>
      <c r="G25" s="226" t="s">
        <v>188</v>
      </c>
      <c r="H25" s="226">
        <v>150</v>
      </c>
      <c r="I25" s="226">
        <v>4868</v>
      </c>
      <c r="J25" s="338" t="s">
        <v>416</v>
      </c>
      <c r="K25" s="226" t="s">
        <v>130</v>
      </c>
      <c r="L25" s="206" t="s">
        <v>138</v>
      </c>
      <c r="M25" s="226" t="s">
        <v>189</v>
      </c>
      <c r="N25" s="226" t="s">
        <v>190</v>
      </c>
      <c r="O25" s="208">
        <f t="shared" si="1"/>
        <v>0</v>
      </c>
    </row>
    <row r="26" spans="2:15">
      <c r="B26" s="159" t="str">
        <f t="shared" si="0"/>
        <v>İNKÖY48682-2</v>
      </c>
      <c r="C26" s="247" t="s">
        <v>145</v>
      </c>
      <c r="D26" s="251" t="s">
        <v>197</v>
      </c>
      <c r="E26" s="226" t="s">
        <v>186</v>
      </c>
      <c r="F26" s="226" t="s">
        <v>187</v>
      </c>
      <c r="G26" s="226" t="s">
        <v>188</v>
      </c>
      <c r="H26" s="226">
        <v>150</v>
      </c>
      <c r="I26" s="226">
        <v>4868</v>
      </c>
      <c r="J26" s="338" t="s">
        <v>417</v>
      </c>
      <c r="K26" s="226" t="s">
        <v>130</v>
      </c>
      <c r="L26" s="206" t="s">
        <v>138</v>
      </c>
      <c r="M26" s="226" t="s">
        <v>189</v>
      </c>
      <c r="N26" s="226" t="s">
        <v>190</v>
      </c>
      <c r="O26" s="208">
        <f t="shared" si="1"/>
        <v>0</v>
      </c>
    </row>
    <row r="27" spans="2:15">
      <c r="B27" s="159" t="str">
        <f t="shared" si="0"/>
        <v>İNKÖY48682-3</v>
      </c>
      <c r="C27" s="247" t="s">
        <v>145</v>
      </c>
      <c r="D27" s="251" t="s">
        <v>197</v>
      </c>
      <c r="E27" s="226" t="s">
        <v>186</v>
      </c>
      <c r="F27" s="226" t="s">
        <v>187</v>
      </c>
      <c r="G27" s="226" t="s">
        <v>188</v>
      </c>
      <c r="H27" s="226">
        <v>150</v>
      </c>
      <c r="I27" s="226">
        <v>4868</v>
      </c>
      <c r="J27" s="338" t="s">
        <v>418</v>
      </c>
      <c r="K27" s="226" t="s">
        <v>130</v>
      </c>
      <c r="L27" s="206" t="s">
        <v>138</v>
      </c>
      <c r="M27" s="226" t="s">
        <v>189</v>
      </c>
      <c r="N27" s="226" t="s">
        <v>190</v>
      </c>
      <c r="O27" s="208">
        <f t="shared" si="1"/>
        <v>0</v>
      </c>
    </row>
    <row r="28" spans="2:15">
      <c r="B28" s="159" t="str">
        <f t="shared" si="0"/>
        <v>İNKÖY48682-4</v>
      </c>
      <c r="C28" s="247" t="s">
        <v>145</v>
      </c>
      <c r="D28" s="251" t="s">
        <v>197</v>
      </c>
      <c r="E28" s="226" t="s">
        <v>186</v>
      </c>
      <c r="F28" s="226" t="s">
        <v>187</v>
      </c>
      <c r="G28" s="226" t="s">
        <v>188</v>
      </c>
      <c r="H28" s="226">
        <v>150</v>
      </c>
      <c r="I28" s="226">
        <v>4868</v>
      </c>
      <c r="J28" s="338" t="s">
        <v>419</v>
      </c>
      <c r="K28" s="226" t="s">
        <v>130</v>
      </c>
      <c r="L28" s="206" t="s">
        <v>138</v>
      </c>
      <c r="M28" s="226" t="s">
        <v>189</v>
      </c>
      <c r="N28" s="226" t="s">
        <v>190</v>
      </c>
      <c r="O28" s="208">
        <f t="shared" si="1"/>
        <v>0</v>
      </c>
    </row>
    <row r="29" spans="2:15">
      <c r="B29" s="159" t="str">
        <f t="shared" si="0"/>
        <v>İNKÖY48682-5</v>
      </c>
      <c r="C29" s="247" t="s">
        <v>145</v>
      </c>
      <c r="D29" s="251" t="s">
        <v>197</v>
      </c>
      <c r="E29" s="226" t="s">
        <v>186</v>
      </c>
      <c r="F29" s="226" t="s">
        <v>187</v>
      </c>
      <c r="G29" s="226" t="s">
        <v>188</v>
      </c>
      <c r="H29" s="226">
        <v>150</v>
      </c>
      <c r="I29" s="226">
        <v>4868</v>
      </c>
      <c r="J29" s="338" t="s">
        <v>420</v>
      </c>
      <c r="K29" s="226" t="s">
        <v>130</v>
      </c>
      <c r="L29" s="206" t="s">
        <v>138</v>
      </c>
      <c r="M29" s="226" t="s">
        <v>189</v>
      </c>
      <c r="N29" s="226" t="s">
        <v>190</v>
      </c>
      <c r="O29" s="208">
        <f t="shared" si="1"/>
        <v>0</v>
      </c>
    </row>
    <row r="30" spans="2:15">
      <c r="B30" s="159" t="str">
        <f t="shared" si="0"/>
        <v>İNKÖY48682-6</v>
      </c>
      <c r="C30" s="247" t="s">
        <v>145</v>
      </c>
      <c r="D30" s="251" t="s">
        <v>197</v>
      </c>
      <c r="E30" s="226" t="s">
        <v>186</v>
      </c>
      <c r="F30" s="226" t="s">
        <v>187</v>
      </c>
      <c r="G30" s="226" t="s">
        <v>188</v>
      </c>
      <c r="H30" s="226">
        <v>150</v>
      </c>
      <c r="I30" s="226">
        <v>4868</v>
      </c>
      <c r="J30" s="338" t="s">
        <v>421</v>
      </c>
      <c r="K30" s="226" t="s">
        <v>130</v>
      </c>
      <c r="L30" s="206" t="s">
        <v>138</v>
      </c>
      <c r="M30" s="226" t="s">
        <v>189</v>
      </c>
      <c r="N30" s="226" t="s">
        <v>190</v>
      </c>
      <c r="O30" s="208">
        <f t="shared" si="1"/>
        <v>0</v>
      </c>
    </row>
    <row r="31" spans="2:15">
      <c r="B31" s="159" t="str">
        <f t="shared" si="0"/>
        <v>İNKÖY48682-7</v>
      </c>
      <c r="C31" s="247" t="s">
        <v>145</v>
      </c>
      <c r="D31" s="251" t="s">
        <v>197</v>
      </c>
      <c r="E31" s="226" t="s">
        <v>186</v>
      </c>
      <c r="F31" s="226" t="s">
        <v>187</v>
      </c>
      <c r="G31" s="226" t="s">
        <v>188</v>
      </c>
      <c r="H31" s="226">
        <v>150</v>
      </c>
      <c r="I31" s="226">
        <v>4868</v>
      </c>
      <c r="J31" s="338" t="s">
        <v>422</v>
      </c>
      <c r="K31" s="226" t="s">
        <v>130</v>
      </c>
      <c r="L31" s="206" t="s">
        <v>138</v>
      </c>
      <c r="M31" s="226" t="s">
        <v>189</v>
      </c>
      <c r="N31" s="226" t="s">
        <v>190</v>
      </c>
      <c r="O31" s="208">
        <f t="shared" si="1"/>
        <v>0</v>
      </c>
    </row>
    <row r="32" spans="2:15">
      <c r="B32" s="159" t="str">
        <f t="shared" si="0"/>
        <v>İNKÖY48682-8</v>
      </c>
      <c r="C32" s="247" t="s">
        <v>145</v>
      </c>
      <c r="D32" s="251" t="s">
        <v>197</v>
      </c>
      <c r="E32" s="226" t="s">
        <v>186</v>
      </c>
      <c r="F32" s="226" t="s">
        <v>187</v>
      </c>
      <c r="G32" s="226" t="s">
        <v>188</v>
      </c>
      <c r="H32" s="226">
        <v>150</v>
      </c>
      <c r="I32" s="226">
        <v>4868</v>
      </c>
      <c r="J32" s="338" t="s">
        <v>423</v>
      </c>
      <c r="K32" s="226" t="s">
        <v>130</v>
      </c>
      <c r="L32" s="206" t="s">
        <v>138</v>
      </c>
      <c r="M32" s="226" t="s">
        <v>189</v>
      </c>
      <c r="N32" s="226" t="s">
        <v>190</v>
      </c>
      <c r="O32" s="208">
        <f t="shared" si="1"/>
        <v>0</v>
      </c>
    </row>
    <row r="33" spans="2:15">
      <c r="B33" s="159" t="str">
        <f t="shared" si="0"/>
        <v>İNKÖY48682-9</v>
      </c>
      <c r="C33" s="247" t="s">
        <v>145</v>
      </c>
      <c r="D33" s="251" t="s">
        <v>197</v>
      </c>
      <c r="E33" s="226" t="s">
        <v>186</v>
      </c>
      <c r="F33" s="226" t="s">
        <v>187</v>
      </c>
      <c r="G33" s="226" t="s">
        <v>188</v>
      </c>
      <c r="H33" s="226">
        <v>150</v>
      </c>
      <c r="I33" s="226">
        <v>4868</v>
      </c>
      <c r="J33" s="338" t="s">
        <v>424</v>
      </c>
      <c r="K33" s="226" t="s">
        <v>130</v>
      </c>
      <c r="L33" s="206" t="s">
        <v>138</v>
      </c>
      <c r="M33" s="226" t="s">
        <v>189</v>
      </c>
      <c r="N33" s="226" t="s">
        <v>190</v>
      </c>
      <c r="O33" s="208">
        <f t="shared" si="1"/>
        <v>0</v>
      </c>
    </row>
    <row r="34" spans="2:15">
      <c r="B34" s="159" t="str">
        <f t="shared" si="0"/>
        <v>İNKÖY48682-10</v>
      </c>
      <c r="C34" s="247" t="s">
        <v>145</v>
      </c>
      <c r="D34" s="251" t="s">
        <v>197</v>
      </c>
      <c r="E34" s="226" t="s">
        <v>186</v>
      </c>
      <c r="F34" s="226" t="s">
        <v>187</v>
      </c>
      <c r="G34" s="226" t="s">
        <v>188</v>
      </c>
      <c r="H34" s="226">
        <v>150</v>
      </c>
      <c r="I34" s="226">
        <v>4868</v>
      </c>
      <c r="J34" s="338" t="s">
        <v>425</v>
      </c>
      <c r="K34" s="226" t="s">
        <v>130</v>
      </c>
      <c r="L34" s="206" t="s">
        <v>138</v>
      </c>
      <c r="M34" s="226" t="s">
        <v>189</v>
      </c>
      <c r="N34" s="226" t="s">
        <v>190</v>
      </c>
      <c r="O34" s="208">
        <f t="shared" si="1"/>
        <v>0</v>
      </c>
    </row>
    <row r="35" spans="2:15">
      <c r="B35" s="159" t="str">
        <f t="shared" si="0"/>
        <v>İNKÖY48682-11</v>
      </c>
      <c r="C35" s="247" t="s">
        <v>145</v>
      </c>
      <c r="D35" s="251" t="s">
        <v>197</v>
      </c>
      <c r="E35" s="226" t="s">
        <v>186</v>
      </c>
      <c r="F35" s="226" t="s">
        <v>187</v>
      </c>
      <c r="G35" s="226" t="s">
        <v>188</v>
      </c>
      <c r="H35" s="226">
        <v>150</v>
      </c>
      <c r="I35" s="226">
        <v>4868</v>
      </c>
      <c r="J35" s="338" t="s">
        <v>426</v>
      </c>
      <c r="K35" s="226" t="s">
        <v>130</v>
      </c>
      <c r="L35" s="206" t="s">
        <v>138</v>
      </c>
      <c r="M35" s="226" t="s">
        <v>189</v>
      </c>
      <c r="N35" s="226" t="s">
        <v>190</v>
      </c>
      <c r="O35" s="208">
        <f t="shared" si="1"/>
        <v>0</v>
      </c>
    </row>
    <row r="36" spans="2:15">
      <c r="B36" s="159" t="str">
        <f t="shared" si="0"/>
        <v>İNKÖY48682-12</v>
      </c>
      <c r="C36" s="247" t="s">
        <v>145</v>
      </c>
      <c r="D36" s="251" t="s">
        <v>197</v>
      </c>
      <c r="E36" s="226" t="s">
        <v>186</v>
      </c>
      <c r="F36" s="226" t="s">
        <v>187</v>
      </c>
      <c r="G36" s="226" t="s">
        <v>188</v>
      </c>
      <c r="H36" s="226">
        <v>150</v>
      </c>
      <c r="I36" s="226">
        <v>4868</v>
      </c>
      <c r="J36" s="338" t="s">
        <v>427</v>
      </c>
      <c r="K36" s="226" t="s">
        <v>130</v>
      </c>
      <c r="L36" s="206" t="s">
        <v>138</v>
      </c>
      <c r="M36" s="226" t="s">
        <v>189</v>
      </c>
      <c r="N36" s="226" t="s">
        <v>190</v>
      </c>
      <c r="O36" s="208">
        <f t="shared" si="1"/>
        <v>0</v>
      </c>
    </row>
    <row r="37" spans="2:15">
      <c r="B37" s="159" t="str">
        <f t="shared" si="0"/>
        <v>İNKÖY48682-13</v>
      </c>
      <c r="C37" s="247" t="s">
        <v>145</v>
      </c>
      <c r="D37" s="251" t="s">
        <v>197</v>
      </c>
      <c r="E37" s="226" t="s">
        <v>186</v>
      </c>
      <c r="F37" s="226" t="s">
        <v>187</v>
      </c>
      <c r="G37" s="226" t="s">
        <v>188</v>
      </c>
      <c r="H37" s="226">
        <v>150</v>
      </c>
      <c r="I37" s="226">
        <v>4868</v>
      </c>
      <c r="J37" s="338" t="s">
        <v>428</v>
      </c>
      <c r="K37" s="226" t="s">
        <v>130</v>
      </c>
      <c r="L37" s="206" t="s">
        <v>138</v>
      </c>
      <c r="M37" s="226" t="s">
        <v>189</v>
      </c>
      <c r="N37" s="226" t="s">
        <v>190</v>
      </c>
      <c r="O37" s="208">
        <f t="shared" si="1"/>
        <v>0</v>
      </c>
    </row>
    <row r="38" spans="2:15">
      <c r="B38" s="159" t="str">
        <f t="shared" si="0"/>
        <v>İNKÖY48682-14</v>
      </c>
      <c r="C38" s="247" t="s">
        <v>145</v>
      </c>
      <c r="D38" s="251" t="s">
        <v>197</v>
      </c>
      <c r="E38" s="226" t="s">
        <v>186</v>
      </c>
      <c r="F38" s="226" t="s">
        <v>187</v>
      </c>
      <c r="G38" s="226" t="s">
        <v>188</v>
      </c>
      <c r="H38" s="226">
        <v>150</v>
      </c>
      <c r="I38" s="226">
        <v>4868</v>
      </c>
      <c r="J38" s="338" t="s">
        <v>429</v>
      </c>
      <c r="K38" s="226" t="s">
        <v>130</v>
      </c>
      <c r="L38" s="206" t="s">
        <v>138</v>
      </c>
      <c r="M38" s="226" t="s">
        <v>189</v>
      </c>
      <c r="N38" s="226" t="s">
        <v>190</v>
      </c>
      <c r="O38" s="208">
        <f t="shared" si="1"/>
        <v>0</v>
      </c>
    </row>
    <row r="39" spans="2:15">
      <c r="B39" s="159" t="str">
        <f t="shared" si="0"/>
        <v>İNKÖY48682-15</v>
      </c>
      <c r="C39" s="247" t="s">
        <v>145</v>
      </c>
      <c r="D39" s="251" t="s">
        <v>197</v>
      </c>
      <c r="E39" s="226" t="s">
        <v>186</v>
      </c>
      <c r="F39" s="226" t="s">
        <v>187</v>
      </c>
      <c r="G39" s="226" t="s">
        <v>188</v>
      </c>
      <c r="H39" s="226">
        <v>150</v>
      </c>
      <c r="I39" s="226">
        <v>4868</v>
      </c>
      <c r="J39" s="338" t="s">
        <v>430</v>
      </c>
      <c r="K39" s="226" t="s">
        <v>130</v>
      </c>
      <c r="L39" s="206" t="s">
        <v>138</v>
      </c>
      <c r="M39" s="226" t="s">
        <v>189</v>
      </c>
      <c r="N39" s="226" t="s">
        <v>190</v>
      </c>
      <c r="O39" s="208">
        <f t="shared" si="1"/>
        <v>0</v>
      </c>
    </row>
    <row r="40" spans="2:15">
      <c r="B40" s="159" t="str">
        <f t="shared" si="0"/>
        <v>İNKÖY48682-16</v>
      </c>
      <c r="C40" s="247" t="s">
        <v>145</v>
      </c>
      <c r="D40" s="251" t="s">
        <v>197</v>
      </c>
      <c r="E40" s="226" t="s">
        <v>186</v>
      </c>
      <c r="F40" s="226" t="s">
        <v>187</v>
      </c>
      <c r="G40" s="226" t="s">
        <v>188</v>
      </c>
      <c r="H40" s="226">
        <v>150</v>
      </c>
      <c r="I40" s="226">
        <v>4868</v>
      </c>
      <c r="J40" s="338" t="s">
        <v>431</v>
      </c>
      <c r="K40" s="226" t="s">
        <v>130</v>
      </c>
      <c r="L40" s="206" t="s">
        <v>138</v>
      </c>
      <c r="M40" s="226" t="s">
        <v>189</v>
      </c>
      <c r="N40" s="226" t="s">
        <v>190</v>
      </c>
      <c r="O40" s="208">
        <f t="shared" si="1"/>
        <v>0</v>
      </c>
    </row>
    <row r="41" spans="2:15">
      <c r="B41" s="159" t="str">
        <f t="shared" si="0"/>
        <v>İNKÖY48682-17</v>
      </c>
      <c r="C41" s="247" t="s">
        <v>145</v>
      </c>
      <c r="D41" s="251" t="s">
        <v>197</v>
      </c>
      <c r="E41" s="226" t="s">
        <v>186</v>
      </c>
      <c r="F41" s="226" t="s">
        <v>187</v>
      </c>
      <c r="G41" s="226" t="s">
        <v>188</v>
      </c>
      <c r="H41" s="226">
        <v>150</v>
      </c>
      <c r="I41" s="226">
        <v>4868</v>
      </c>
      <c r="J41" s="338" t="s">
        <v>432</v>
      </c>
      <c r="K41" s="226" t="s">
        <v>130</v>
      </c>
      <c r="L41" s="206" t="s">
        <v>138</v>
      </c>
      <c r="M41" s="226" t="s">
        <v>189</v>
      </c>
      <c r="N41" s="226" t="s">
        <v>190</v>
      </c>
      <c r="O41" s="208">
        <f t="shared" si="1"/>
        <v>0</v>
      </c>
    </row>
    <row r="42" spans="2:15">
      <c r="B42" s="159" t="str">
        <f t="shared" si="0"/>
        <v>İNKÖY48682-18</v>
      </c>
      <c r="C42" s="247" t="s">
        <v>145</v>
      </c>
      <c r="D42" s="251" t="s">
        <v>197</v>
      </c>
      <c r="E42" s="226" t="s">
        <v>186</v>
      </c>
      <c r="F42" s="226" t="s">
        <v>187</v>
      </c>
      <c r="G42" s="226" t="s">
        <v>188</v>
      </c>
      <c r="H42" s="226">
        <v>150</v>
      </c>
      <c r="I42" s="226">
        <v>4868</v>
      </c>
      <c r="J42" s="338" t="s">
        <v>433</v>
      </c>
      <c r="K42" s="226" t="s">
        <v>130</v>
      </c>
      <c r="L42" s="206" t="s">
        <v>138</v>
      </c>
      <c r="M42" s="226" t="s">
        <v>189</v>
      </c>
      <c r="N42" s="226" t="s">
        <v>190</v>
      </c>
      <c r="O42" s="208">
        <f t="shared" si="1"/>
        <v>0</v>
      </c>
    </row>
    <row r="43" spans="2:15">
      <c r="B43" s="159" t="str">
        <f t="shared" si="0"/>
        <v>İNKÖY48682-19</v>
      </c>
      <c r="C43" s="247" t="s">
        <v>145</v>
      </c>
      <c r="D43" s="251" t="s">
        <v>197</v>
      </c>
      <c r="E43" s="226" t="s">
        <v>186</v>
      </c>
      <c r="F43" s="226" t="s">
        <v>187</v>
      </c>
      <c r="G43" s="226" t="s">
        <v>188</v>
      </c>
      <c r="H43" s="226">
        <v>150</v>
      </c>
      <c r="I43" s="226">
        <v>4868</v>
      </c>
      <c r="J43" s="338" t="s">
        <v>434</v>
      </c>
      <c r="K43" s="226" t="s">
        <v>130</v>
      </c>
      <c r="L43" s="206" t="s">
        <v>138</v>
      </c>
      <c r="M43" s="226" t="s">
        <v>189</v>
      </c>
      <c r="N43" s="226" t="s">
        <v>190</v>
      </c>
      <c r="O43" s="208">
        <f t="shared" si="1"/>
        <v>0</v>
      </c>
    </row>
    <row r="44" spans="2:15">
      <c r="B44" s="159" t="str">
        <f t="shared" si="0"/>
        <v>İNKÖY48682-20</v>
      </c>
      <c r="C44" s="247" t="s">
        <v>145</v>
      </c>
      <c r="D44" s="251" t="s">
        <v>197</v>
      </c>
      <c r="E44" s="226" t="s">
        <v>186</v>
      </c>
      <c r="F44" s="226" t="s">
        <v>187</v>
      </c>
      <c r="G44" s="226" t="s">
        <v>188</v>
      </c>
      <c r="H44" s="226">
        <v>150</v>
      </c>
      <c r="I44" s="226">
        <v>4868</v>
      </c>
      <c r="J44" s="338" t="s">
        <v>435</v>
      </c>
      <c r="K44" s="226" t="s">
        <v>130</v>
      </c>
      <c r="L44" s="206" t="s">
        <v>138</v>
      </c>
      <c r="M44" s="226" t="s">
        <v>189</v>
      </c>
      <c r="N44" s="226" t="s">
        <v>190</v>
      </c>
      <c r="O44" s="208">
        <f t="shared" si="1"/>
        <v>0</v>
      </c>
    </row>
    <row r="45" spans="2:15">
      <c r="B45" s="159" t="str">
        <f t="shared" si="0"/>
        <v>İNKÖY48681-6</v>
      </c>
      <c r="C45" s="247" t="s">
        <v>145</v>
      </c>
      <c r="D45" s="251"/>
      <c r="E45" s="226" t="s">
        <v>186</v>
      </c>
      <c r="F45" s="226" t="s">
        <v>187</v>
      </c>
      <c r="G45" s="226" t="s">
        <v>188</v>
      </c>
      <c r="H45" s="226">
        <v>150</v>
      </c>
      <c r="I45" s="226">
        <v>4868</v>
      </c>
      <c r="J45" s="338" t="s">
        <v>436</v>
      </c>
      <c r="K45" s="226" t="s">
        <v>130</v>
      </c>
      <c r="L45" s="206" t="s">
        <v>138</v>
      </c>
      <c r="M45" s="226" t="s">
        <v>179</v>
      </c>
      <c r="N45" s="226" t="s">
        <v>179</v>
      </c>
      <c r="O45" s="208">
        <f t="shared" si="1"/>
        <v>0</v>
      </c>
    </row>
  </sheetData>
  <conditionalFormatting sqref="M5:M45">
    <cfRule type="containsText" dxfId="5" priority="1" operator="containsText" text="REZERVE">
      <formula>NOT(ISERROR(SEARCH("REZERVE",M5)))</formula>
    </cfRule>
  </conditionalFormatting>
  <dataValidations count="6">
    <dataValidation allowBlank="1" showInputMessage="1" showErrorMessage="1" sqref="N5 L5:L45" xr:uid="{A3B028E4-B26C-470D-BD12-58B4F8C085D0}"/>
    <dataValidation type="list" allowBlank="1" showInputMessage="1" showErrorMessage="1" sqref="D6:D45" xr:uid="{D93186D6-8467-4319-B702-F69E6765D514}">
      <formula1>"ÖNCELİKLİ"</formula1>
    </dataValidation>
    <dataValidation type="list" allowBlank="1" showInputMessage="1" showErrorMessage="1" sqref="C6:C45" xr:uid="{34B2A562-3223-46D0-A514-216356D5E3E0}">
      <formula1>$B$2:$B$9</formula1>
    </dataValidation>
    <dataValidation type="list" allowBlank="1" showInputMessage="1" showErrorMessage="1" sqref="N6:N45" xr:uid="{1923B7F6-1847-4577-B49B-A9349035181F}">
      <formula1>"STOKTA, KONSİNYE, REZERVE, SATILDI/2. SATIŞTA, SATIŞ KAPANDI, MÜŞTERİ YERİ, STOKTA/İPOTEKLİ"</formula1>
    </dataValidation>
    <dataValidation type="list" allowBlank="1" showInputMessage="1" showErrorMessage="1" sqref="M6:M45" xr:uid="{99B306CC-42F1-43DE-8F2D-342A8C78EDCD}">
      <formula1>"İLAN BEKLİYOR; İLANDA; REZERVE; SATILDI; SATIŞ KAPANDI"</formula1>
    </dataValidation>
    <dataValidation type="list" allowBlank="1" showInputMessage="1" showErrorMessage="1" sqref="M6:M45" xr:uid="{F0ED871C-3784-4613-BBFA-3683F45CC60B}">
      <formula1>"İLAN BEKLİYOR, İLANDA, REZERVE, SATILDI, SATIŞ KAPANDI"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2503-418D-4B69-B273-922E18D4A9BB}">
  <dimension ref="C2:Y37"/>
  <sheetViews>
    <sheetView topLeftCell="I1" workbookViewId="0">
      <selection activeCell="F1" sqref="F1"/>
    </sheetView>
  </sheetViews>
  <sheetFormatPr defaultRowHeight="14.4"/>
  <cols>
    <col min="3" max="3" width="32" bestFit="1" customWidth="1"/>
    <col min="4" max="4" width="10.6640625" customWidth="1"/>
    <col min="5" max="5" width="12.5546875" customWidth="1"/>
    <col min="6" max="6" width="10.5546875" bestFit="1" customWidth="1"/>
    <col min="7" max="7" width="9.5546875" bestFit="1" customWidth="1"/>
    <col min="8" max="8" width="17" bestFit="1" customWidth="1"/>
    <col min="9" max="9" width="11.44140625" bestFit="1" customWidth="1"/>
    <col min="12" max="12" width="18.5546875" bestFit="1" customWidth="1"/>
    <col min="14" max="14" width="32.33203125" bestFit="1" customWidth="1"/>
    <col min="15" max="15" width="14.44140625" bestFit="1" customWidth="1"/>
    <col min="16" max="17" width="9.5546875" bestFit="1" customWidth="1"/>
    <col min="18" max="18" width="15.88671875" bestFit="1" customWidth="1"/>
    <col min="19" max="19" width="11.44140625" bestFit="1" customWidth="1"/>
    <col min="22" max="22" width="36.5546875" bestFit="1" customWidth="1"/>
  </cols>
  <sheetData>
    <row r="2" spans="3:25" ht="43.2">
      <c r="C2" s="254" t="s">
        <v>437</v>
      </c>
      <c r="D2" s="324"/>
      <c r="E2" s="255" t="s">
        <v>438</v>
      </c>
      <c r="F2" s="256" t="s">
        <v>439</v>
      </c>
      <c r="G2" s="257" t="s">
        <v>440</v>
      </c>
      <c r="H2" s="258" t="s">
        <v>441</v>
      </c>
      <c r="I2" s="259" t="s">
        <v>442</v>
      </c>
      <c r="J2" s="255" t="s">
        <v>443</v>
      </c>
      <c r="K2" s="260" t="s">
        <v>444</v>
      </c>
      <c r="L2" s="261"/>
      <c r="M2" s="261"/>
      <c r="N2" s="254" t="s">
        <v>437</v>
      </c>
      <c r="O2" s="255" t="s">
        <v>438</v>
      </c>
      <c r="P2" s="256" t="s">
        <v>439</v>
      </c>
      <c r="Q2" s="257" t="s">
        <v>440</v>
      </c>
      <c r="R2" s="258" t="s">
        <v>441</v>
      </c>
      <c r="S2" s="259" t="s">
        <v>442</v>
      </c>
      <c r="T2" s="255" t="s">
        <v>443</v>
      </c>
      <c r="U2" s="260" t="s">
        <v>444</v>
      </c>
      <c r="V2" s="322"/>
      <c r="W2" s="262"/>
      <c r="X2" s="262"/>
      <c r="Y2" s="262"/>
    </row>
    <row r="3" spans="3:25">
      <c r="C3" s="263" t="s">
        <v>445</v>
      </c>
      <c r="D3" s="264" t="s">
        <v>38</v>
      </c>
      <c r="E3" s="325">
        <f>VLOOKUP(D3,'Bereketli Satış'!$F:$N,9,1)</f>
        <v>0</v>
      </c>
      <c r="F3" s="265"/>
      <c r="G3" s="265"/>
      <c r="H3" s="264"/>
      <c r="I3" s="266">
        <v>13</v>
      </c>
      <c r="J3" s="267"/>
      <c r="K3" s="266">
        <v>7.5</v>
      </c>
      <c r="L3" s="262"/>
      <c r="M3" s="262"/>
      <c r="N3" s="268" t="s">
        <v>446</v>
      </c>
      <c r="O3" s="270">
        <v>20000</v>
      </c>
      <c r="P3" s="270">
        <v>6150000</v>
      </c>
      <c r="Q3" s="269" t="s">
        <v>353</v>
      </c>
      <c r="R3" s="269" t="s">
        <v>447</v>
      </c>
      <c r="S3" s="271">
        <v>1</v>
      </c>
      <c r="T3" s="272" t="s">
        <v>353</v>
      </c>
      <c r="U3" s="271" t="s">
        <v>353</v>
      </c>
      <c r="V3" s="322"/>
      <c r="W3" s="262"/>
      <c r="X3" s="262"/>
      <c r="Y3" s="262"/>
    </row>
    <row r="4" spans="3:25">
      <c r="C4" s="273" t="s">
        <v>448</v>
      </c>
      <c r="D4" s="326" t="s">
        <v>32</v>
      </c>
      <c r="E4" s="325">
        <f>VLOOKUP(D4,'Bereketli Satış'!$F:$N,9,1)</f>
        <v>2500</v>
      </c>
      <c r="F4" s="275"/>
      <c r="G4" s="275"/>
      <c r="H4" s="274"/>
      <c r="I4" s="276">
        <v>4</v>
      </c>
      <c r="J4" s="277"/>
      <c r="K4" s="276">
        <v>6.5</v>
      </c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322"/>
      <c r="W4" s="262"/>
      <c r="X4" s="262"/>
      <c r="Y4" s="262"/>
    </row>
    <row r="5" spans="3:25">
      <c r="C5" s="278" t="s">
        <v>449</v>
      </c>
      <c r="D5" s="279"/>
      <c r="E5" s="280"/>
      <c r="F5" s="280"/>
      <c r="G5" s="280"/>
      <c r="H5" s="279"/>
      <c r="I5" s="281">
        <v>2</v>
      </c>
      <c r="J5" s="282"/>
      <c r="K5" s="281">
        <v>7.5</v>
      </c>
      <c r="L5" s="262"/>
      <c r="M5" s="262"/>
      <c r="N5" s="263" t="s">
        <v>450</v>
      </c>
      <c r="O5" s="265">
        <v>2500</v>
      </c>
      <c r="P5" s="265">
        <v>770000</v>
      </c>
      <c r="Q5" s="265">
        <v>990000</v>
      </c>
      <c r="R5" s="264" t="s">
        <v>451</v>
      </c>
      <c r="S5" s="266">
        <v>4</v>
      </c>
      <c r="T5" s="267" t="s">
        <v>353</v>
      </c>
      <c r="U5" s="266" t="s">
        <v>353</v>
      </c>
      <c r="V5" s="322"/>
      <c r="W5" s="262"/>
      <c r="X5" s="262"/>
      <c r="Y5" s="262"/>
    </row>
    <row r="6" spans="3:25">
      <c r="C6" s="283" t="s">
        <v>452</v>
      </c>
      <c r="D6" s="284"/>
      <c r="E6" s="285"/>
      <c r="F6" s="285"/>
      <c r="G6" s="284"/>
      <c r="H6" s="284"/>
      <c r="I6" s="286">
        <v>1</v>
      </c>
      <c r="J6" s="287"/>
      <c r="K6" s="286">
        <v>9.5</v>
      </c>
      <c r="L6" s="262"/>
      <c r="M6" s="262"/>
      <c r="N6" s="273" t="s">
        <v>453</v>
      </c>
      <c r="O6" s="275">
        <v>2000</v>
      </c>
      <c r="P6" s="275">
        <v>440000</v>
      </c>
      <c r="Q6" s="275">
        <v>440000</v>
      </c>
      <c r="R6" s="274" t="s">
        <v>454</v>
      </c>
      <c r="S6" s="276">
        <v>4</v>
      </c>
      <c r="T6" s="277" t="s">
        <v>353</v>
      </c>
      <c r="U6" s="276" t="s">
        <v>353</v>
      </c>
      <c r="V6" s="323"/>
      <c r="W6" s="288"/>
      <c r="X6" s="288"/>
      <c r="Y6" s="288"/>
    </row>
    <row r="7" spans="3:25"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89" t="s">
        <v>455</v>
      </c>
      <c r="O7" s="291">
        <v>1200</v>
      </c>
      <c r="P7" s="291">
        <v>440000</v>
      </c>
      <c r="Q7" s="291">
        <v>440000</v>
      </c>
      <c r="R7" s="290" t="s">
        <v>456</v>
      </c>
      <c r="S7" s="292">
        <v>5</v>
      </c>
      <c r="T7" s="293" t="s">
        <v>353</v>
      </c>
      <c r="U7" s="292" t="s">
        <v>353</v>
      </c>
      <c r="V7" s="323"/>
      <c r="W7" s="288"/>
      <c r="X7" s="288"/>
      <c r="Y7" s="288"/>
    </row>
    <row r="8" spans="3:25"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94" t="s">
        <v>457</v>
      </c>
      <c r="O8" s="295">
        <v>976</v>
      </c>
      <c r="P8" s="296">
        <v>850000</v>
      </c>
      <c r="Q8" s="295" t="s">
        <v>353</v>
      </c>
      <c r="R8" s="295" t="s">
        <v>458</v>
      </c>
      <c r="S8" s="297">
        <v>1</v>
      </c>
      <c r="T8" s="298" t="s">
        <v>353</v>
      </c>
      <c r="U8" s="297" t="s">
        <v>353</v>
      </c>
      <c r="V8" s="322"/>
      <c r="W8" s="262"/>
      <c r="X8" s="262"/>
      <c r="Y8" s="262"/>
    </row>
    <row r="9" spans="3:25">
      <c r="C9" s="263" t="s">
        <v>459</v>
      </c>
      <c r="D9" s="264"/>
      <c r="E9" s="265"/>
      <c r="F9" s="265"/>
      <c r="G9" s="265"/>
      <c r="H9" s="264"/>
      <c r="I9" s="266"/>
      <c r="J9" s="267"/>
      <c r="K9" s="266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322"/>
      <c r="W9" s="262"/>
      <c r="X9" s="262"/>
      <c r="Y9" s="262"/>
    </row>
    <row r="10" spans="3:25">
      <c r="C10" s="273" t="s">
        <v>460</v>
      </c>
      <c r="D10" s="274"/>
      <c r="E10" s="275"/>
      <c r="F10" s="275"/>
      <c r="G10" s="274"/>
      <c r="H10" s="274"/>
      <c r="I10" s="276"/>
      <c r="J10" s="299"/>
      <c r="K10" s="300"/>
      <c r="L10" s="262"/>
      <c r="M10" s="262"/>
      <c r="N10" s="263" t="s">
        <v>461</v>
      </c>
      <c r="O10" s="265">
        <v>2500</v>
      </c>
      <c r="P10" s="265">
        <v>1300000</v>
      </c>
      <c r="Q10" s="265">
        <v>1360000</v>
      </c>
      <c r="R10" s="264" t="s">
        <v>462</v>
      </c>
      <c r="S10" s="266">
        <v>2</v>
      </c>
      <c r="T10" s="267" t="s">
        <v>353</v>
      </c>
      <c r="U10" s="266" t="s">
        <v>353</v>
      </c>
      <c r="V10" s="322"/>
      <c r="W10" s="262"/>
      <c r="X10" s="262"/>
      <c r="Y10" s="262"/>
    </row>
    <row r="11" spans="3:25">
      <c r="C11" s="273" t="s">
        <v>463</v>
      </c>
      <c r="D11" s="274"/>
      <c r="E11" s="275"/>
      <c r="F11" s="275"/>
      <c r="G11" s="274"/>
      <c r="H11" s="274"/>
      <c r="I11" s="276"/>
      <c r="J11" s="299"/>
      <c r="K11" s="300"/>
      <c r="L11" s="262"/>
      <c r="M11" s="262"/>
      <c r="N11" s="294" t="s">
        <v>464</v>
      </c>
      <c r="O11" s="295" t="s">
        <v>353</v>
      </c>
      <c r="P11" s="296">
        <v>920000</v>
      </c>
      <c r="Q11" s="296">
        <v>1400000</v>
      </c>
      <c r="R11" s="295" t="s">
        <v>465</v>
      </c>
      <c r="S11" s="297">
        <v>3</v>
      </c>
      <c r="T11" s="298" t="s">
        <v>353</v>
      </c>
      <c r="U11" s="297" t="s">
        <v>353</v>
      </c>
      <c r="V11" s="322"/>
      <c r="W11" s="262"/>
      <c r="X11" s="262"/>
      <c r="Y11" s="262"/>
    </row>
    <row r="12" spans="3:25">
      <c r="C12" s="294" t="s">
        <v>466</v>
      </c>
      <c r="D12" s="295"/>
      <c r="E12" s="296"/>
      <c r="F12" s="296"/>
      <c r="G12" s="295"/>
      <c r="H12" s="295"/>
      <c r="I12" s="297"/>
      <c r="J12" s="301"/>
      <c r="K12" s="30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322"/>
      <c r="W12" s="262"/>
      <c r="X12" s="262"/>
      <c r="Y12" s="262"/>
    </row>
    <row r="13" spans="3:25"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3" t="s">
        <v>467</v>
      </c>
      <c r="O13" s="265">
        <v>3000</v>
      </c>
      <c r="P13" s="265">
        <v>770000</v>
      </c>
      <c r="Q13" s="265">
        <v>2630000</v>
      </c>
      <c r="R13" s="264" t="s">
        <v>468</v>
      </c>
      <c r="S13" s="266">
        <v>29</v>
      </c>
      <c r="T13" s="267" t="s">
        <v>353</v>
      </c>
      <c r="U13" s="266" t="s">
        <v>353</v>
      </c>
      <c r="V13" s="322"/>
      <c r="W13" s="262"/>
      <c r="X13" s="262"/>
      <c r="Y13" s="262"/>
    </row>
    <row r="14" spans="3:25">
      <c r="C14" s="263" t="s">
        <v>469</v>
      </c>
      <c r="D14" s="264"/>
      <c r="E14" s="265"/>
      <c r="F14" s="265"/>
      <c r="G14" s="265"/>
      <c r="H14" s="264"/>
      <c r="I14" s="266"/>
      <c r="J14" s="303"/>
      <c r="K14" s="303"/>
      <c r="L14" s="262"/>
      <c r="M14" s="262"/>
      <c r="N14" s="273" t="s">
        <v>470</v>
      </c>
      <c r="O14" s="275">
        <v>2500</v>
      </c>
      <c r="P14" s="275">
        <v>700000</v>
      </c>
      <c r="Q14" s="275">
        <v>1930000</v>
      </c>
      <c r="R14" s="274" t="s">
        <v>471</v>
      </c>
      <c r="S14" s="276">
        <v>52</v>
      </c>
      <c r="T14" s="277" t="s">
        <v>353</v>
      </c>
      <c r="U14" s="276" t="s">
        <v>353</v>
      </c>
      <c r="V14" s="322"/>
      <c r="W14" s="262"/>
      <c r="X14" s="262"/>
      <c r="Y14" s="262"/>
    </row>
    <row r="15" spans="3:25">
      <c r="C15" s="273" t="s">
        <v>472</v>
      </c>
      <c r="D15" s="274"/>
      <c r="E15" s="304"/>
      <c r="F15" s="305"/>
      <c r="G15" s="306"/>
      <c r="H15" s="274"/>
      <c r="I15" s="276"/>
      <c r="J15" s="307"/>
      <c r="K15" s="307"/>
      <c r="L15" s="288"/>
      <c r="M15" s="288"/>
      <c r="N15" s="273" t="s">
        <v>473</v>
      </c>
      <c r="O15" s="275">
        <v>3000</v>
      </c>
      <c r="P15" s="275">
        <v>1910000</v>
      </c>
      <c r="Q15" s="274" t="s">
        <v>353</v>
      </c>
      <c r="R15" s="274" t="s">
        <v>474</v>
      </c>
      <c r="S15" s="276">
        <v>1</v>
      </c>
      <c r="T15" s="277" t="s">
        <v>353</v>
      </c>
      <c r="U15" s="276" t="s">
        <v>353</v>
      </c>
      <c r="V15" s="322"/>
      <c r="W15" s="262"/>
      <c r="X15" s="262"/>
      <c r="Y15" s="262"/>
    </row>
    <row r="16" spans="3:25">
      <c r="C16" s="294" t="s">
        <v>475</v>
      </c>
      <c r="D16" s="295"/>
      <c r="E16" s="296"/>
      <c r="F16" s="296"/>
      <c r="G16" s="296"/>
      <c r="H16" s="264"/>
      <c r="I16" s="297"/>
      <c r="J16" s="308"/>
      <c r="K16" s="308"/>
      <c r="L16" s="262"/>
      <c r="M16" s="262"/>
      <c r="N16" s="309" t="s">
        <v>476</v>
      </c>
      <c r="O16" s="311">
        <v>1770</v>
      </c>
      <c r="P16" s="311">
        <v>1090000</v>
      </c>
      <c r="Q16" s="311">
        <v>1350000</v>
      </c>
      <c r="R16" s="310" t="s">
        <v>477</v>
      </c>
      <c r="S16" s="312">
        <v>4</v>
      </c>
      <c r="T16" s="313" t="s">
        <v>353</v>
      </c>
      <c r="U16" s="312" t="s">
        <v>353</v>
      </c>
      <c r="V16" s="323"/>
      <c r="W16" s="288"/>
      <c r="X16" s="288"/>
      <c r="Y16" s="288"/>
    </row>
    <row r="17" spans="3:25"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89" t="s">
        <v>478</v>
      </c>
      <c r="O17" s="291">
        <v>1652</v>
      </c>
      <c r="P17" s="291">
        <v>990000</v>
      </c>
      <c r="Q17" s="290" t="s">
        <v>353</v>
      </c>
      <c r="R17" s="290" t="s">
        <v>353</v>
      </c>
      <c r="S17" s="292">
        <v>1</v>
      </c>
      <c r="T17" s="293" t="s">
        <v>353</v>
      </c>
      <c r="U17" s="292" t="s">
        <v>353</v>
      </c>
      <c r="V17" s="322"/>
      <c r="W17" s="262"/>
      <c r="X17" s="262"/>
      <c r="Y17" s="262"/>
    </row>
    <row r="18" spans="3:25">
      <c r="C18" s="263" t="s">
        <v>479</v>
      </c>
      <c r="D18" s="264"/>
      <c r="E18" s="265"/>
      <c r="F18" s="265"/>
      <c r="G18" s="265"/>
      <c r="H18" s="264"/>
      <c r="I18" s="266"/>
      <c r="J18" s="303"/>
      <c r="K18" s="303"/>
      <c r="L18" s="262"/>
      <c r="M18" s="262"/>
      <c r="N18" s="273" t="s">
        <v>480</v>
      </c>
      <c r="O18" s="275">
        <v>11687</v>
      </c>
      <c r="P18" s="314">
        <v>7300000</v>
      </c>
      <c r="Q18" s="274" t="s">
        <v>353</v>
      </c>
      <c r="R18" s="274" t="s">
        <v>481</v>
      </c>
      <c r="S18" s="276">
        <v>1</v>
      </c>
      <c r="T18" s="277" t="s">
        <v>353</v>
      </c>
      <c r="U18" s="276" t="s">
        <v>353</v>
      </c>
      <c r="V18" s="323"/>
      <c r="W18" s="288"/>
      <c r="X18" s="288"/>
      <c r="Y18" s="288"/>
    </row>
    <row r="19" spans="3:25">
      <c r="C19" s="294" t="s">
        <v>482</v>
      </c>
      <c r="D19" s="295"/>
      <c r="E19" s="296"/>
      <c r="F19" s="296"/>
      <c r="G19" s="295"/>
      <c r="H19" s="295"/>
      <c r="I19" s="297"/>
      <c r="J19" s="308"/>
      <c r="K19" s="308"/>
      <c r="L19" s="288"/>
      <c r="M19" s="288"/>
      <c r="N19" s="294" t="s">
        <v>483</v>
      </c>
      <c r="O19" s="296">
        <v>2000</v>
      </c>
      <c r="P19" s="296">
        <v>3120000</v>
      </c>
      <c r="Q19" s="295" t="s">
        <v>353</v>
      </c>
      <c r="R19" s="295" t="s">
        <v>484</v>
      </c>
      <c r="S19" s="297">
        <v>1</v>
      </c>
      <c r="T19" s="298" t="s">
        <v>353</v>
      </c>
      <c r="U19" s="297" t="s">
        <v>353</v>
      </c>
      <c r="V19" s="323"/>
      <c r="W19" s="288"/>
      <c r="X19" s="288"/>
      <c r="Y19" s="288"/>
    </row>
    <row r="20" spans="3:25"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322"/>
      <c r="W20" s="262"/>
      <c r="X20" s="262"/>
      <c r="Y20" s="262"/>
    </row>
    <row r="21" spans="3:25"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3" t="s">
        <v>485</v>
      </c>
      <c r="O21" s="264" t="s">
        <v>486</v>
      </c>
      <c r="P21" s="265">
        <v>2760000</v>
      </c>
      <c r="Q21" s="265">
        <v>9480000</v>
      </c>
      <c r="R21" s="264" t="s">
        <v>487</v>
      </c>
      <c r="S21" s="266">
        <v>32</v>
      </c>
      <c r="T21" s="267" t="s">
        <v>353</v>
      </c>
      <c r="U21" s="266" t="s">
        <v>353</v>
      </c>
      <c r="V21" s="322"/>
      <c r="W21" s="262"/>
      <c r="X21" s="262"/>
      <c r="Y21" s="262"/>
    </row>
    <row r="22" spans="3:25">
      <c r="C22" s="263" t="s">
        <v>488</v>
      </c>
      <c r="D22" s="264"/>
      <c r="E22" s="265"/>
      <c r="F22" s="265"/>
      <c r="G22" s="265"/>
      <c r="H22" s="264"/>
      <c r="I22" s="266"/>
      <c r="J22" s="267"/>
      <c r="K22" s="266"/>
      <c r="L22" s="262"/>
      <c r="M22" s="262"/>
      <c r="N22" s="273" t="s">
        <v>489</v>
      </c>
      <c r="O22" s="315">
        <v>6500</v>
      </c>
      <c r="P22" s="316">
        <v>5720000</v>
      </c>
      <c r="Q22" s="306" t="s">
        <v>353</v>
      </c>
      <c r="R22" s="274" t="s">
        <v>490</v>
      </c>
      <c r="S22" s="276">
        <v>1</v>
      </c>
      <c r="T22" s="277" t="s">
        <v>353</v>
      </c>
      <c r="U22" s="276" t="s">
        <v>353</v>
      </c>
      <c r="V22" s="322"/>
      <c r="W22" s="262"/>
      <c r="X22" s="262"/>
      <c r="Y22" s="262"/>
    </row>
    <row r="23" spans="3:25">
      <c r="C23" s="273" t="s">
        <v>491</v>
      </c>
      <c r="D23" s="274"/>
      <c r="E23" s="275"/>
      <c r="F23" s="275"/>
      <c r="G23" s="275"/>
      <c r="H23" s="274"/>
      <c r="I23" s="276"/>
      <c r="J23" s="277"/>
      <c r="K23" s="276"/>
      <c r="L23" s="262"/>
      <c r="M23" s="262"/>
      <c r="N23" s="273" t="s">
        <v>492</v>
      </c>
      <c r="O23" s="275">
        <v>5500</v>
      </c>
      <c r="P23" s="275">
        <v>5430000</v>
      </c>
      <c r="Q23" s="275">
        <v>6720000</v>
      </c>
      <c r="R23" s="274" t="s">
        <v>493</v>
      </c>
      <c r="S23" s="276">
        <v>4</v>
      </c>
      <c r="T23" s="277" t="s">
        <v>353</v>
      </c>
      <c r="U23" s="276" t="s">
        <v>353</v>
      </c>
      <c r="V23" s="322"/>
      <c r="W23" s="262"/>
      <c r="X23" s="262"/>
      <c r="Y23" s="262"/>
    </row>
    <row r="24" spans="3:25">
      <c r="C24" s="273" t="s">
        <v>494</v>
      </c>
      <c r="D24" s="274"/>
      <c r="E24" s="274"/>
      <c r="F24" s="275"/>
      <c r="G24" s="275"/>
      <c r="H24" s="274"/>
      <c r="I24" s="276"/>
      <c r="J24" s="277"/>
      <c r="K24" s="276"/>
      <c r="L24" s="262"/>
      <c r="M24" s="262"/>
      <c r="N24" s="273" t="s">
        <v>495</v>
      </c>
      <c r="O24" s="275">
        <v>2000</v>
      </c>
      <c r="P24" s="275">
        <v>980000</v>
      </c>
      <c r="Q24" s="275">
        <v>1980000</v>
      </c>
      <c r="R24" s="274" t="s">
        <v>496</v>
      </c>
      <c r="S24" s="276">
        <v>8</v>
      </c>
      <c r="T24" s="277" t="s">
        <v>353</v>
      </c>
      <c r="U24" s="276" t="s">
        <v>353</v>
      </c>
      <c r="V24" s="322"/>
      <c r="W24" s="262"/>
      <c r="X24" s="262"/>
      <c r="Y24" s="262"/>
    </row>
    <row r="25" spans="3:25">
      <c r="C25" s="273" t="s">
        <v>497</v>
      </c>
      <c r="D25" s="274"/>
      <c r="E25" s="274"/>
      <c r="F25" s="275"/>
      <c r="G25" s="274"/>
      <c r="H25" s="274"/>
      <c r="I25" s="276"/>
      <c r="J25" s="277"/>
      <c r="K25" s="276"/>
      <c r="L25" s="262"/>
      <c r="M25" s="262"/>
      <c r="N25" s="273" t="s">
        <v>498</v>
      </c>
      <c r="O25" s="275">
        <v>3415</v>
      </c>
      <c r="P25" s="275">
        <v>1900000</v>
      </c>
      <c r="Q25" s="275">
        <v>1900000</v>
      </c>
      <c r="R25" s="274" t="s">
        <v>499</v>
      </c>
      <c r="S25" s="276">
        <v>2</v>
      </c>
      <c r="T25" s="277" t="s">
        <v>353</v>
      </c>
      <c r="U25" s="276" t="s">
        <v>353</v>
      </c>
      <c r="V25" s="322"/>
      <c r="W25" s="262"/>
      <c r="X25" s="262"/>
      <c r="Y25" s="262"/>
    </row>
    <row r="26" spans="3:25">
      <c r="C26" s="273" t="s">
        <v>500</v>
      </c>
      <c r="D26" s="274"/>
      <c r="E26" s="275"/>
      <c r="F26" s="275"/>
      <c r="G26" s="274"/>
      <c r="H26" s="274"/>
      <c r="I26" s="276"/>
      <c r="J26" s="277"/>
      <c r="K26" s="276"/>
      <c r="L26" s="262"/>
      <c r="M26" s="262"/>
      <c r="N26" s="273" t="s">
        <v>501</v>
      </c>
      <c r="O26" s="275">
        <v>4000</v>
      </c>
      <c r="P26" s="275">
        <v>2500000</v>
      </c>
      <c r="Q26" s="275">
        <v>3400000</v>
      </c>
      <c r="R26" s="274" t="s">
        <v>502</v>
      </c>
      <c r="S26" s="276">
        <v>2</v>
      </c>
      <c r="T26" s="277" t="s">
        <v>353</v>
      </c>
      <c r="U26" s="276" t="s">
        <v>353</v>
      </c>
      <c r="V26" s="322"/>
      <c r="W26" s="262"/>
      <c r="X26" s="262"/>
      <c r="Y26" s="262"/>
    </row>
    <row r="27" spans="3:25">
      <c r="C27" s="273" t="s">
        <v>503</v>
      </c>
      <c r="D27" s="274"/>
      <c r="E27" s="275"/>
      <c r="F27" s="275"/>
      <c r="G27" s="275"/>
      <c r="H27" s="274"/>
      <c r="I27" s="276"/>
      <c r="J27" s="277"/>
      <c r="K27" s="276"/>
      <c r="L27" s="262"/>
      <c r="M27" s="262"/>
      <c r="N27" s="273" t="s">
        <v>504</v>
      </c>
      <c r="O27" s="275">
        <v>2500</v>
      </c>
      <c r="P27" s="275">
        <v>1080000</v>
      </c>
      <c r="Q27" s="274" t="s">
        <v>353</v>
      </c>
      <c r="R27" s="274" t="s">
        <v>505</v>
      </c>
      <c r="S27" s="276">
        <v>1</v>
      </c>
      <c r="T27" s="277" t="s">
        <v>353</v>
      </c>
      <c r="U27" s="276" t="s">
        <v>353</v>
      </c>
      <c r="V27" s="322"/>
      <c r="W27" s="262"/>
      <c r="X27" s="262"/>
      <c r="Y27" s="262"/>
    </row>
    <row r="28" spans="3:25">
      <c r="C28" s="273" t="s">
        <v>506</v>
      </c>
      <c r="D28" s="274"/>
      <c r="E28" s="275"/>
      <c r="F28" s="275"/>
      <c r="G28" s="274"/>
      <c r="H28" s="274"/>
      <c r="I28" s="276"/>
      <c r="J28" s="277"/>
      <c r="K28" s="276"/>
      <c r="L28" s="262"/>
      <c r="M28" s="262"/>
      <c r="N28" s="273" t="s">
        <v>507</v>
      </c>
      <c r="O28" s="275">
        <v>15000</v>
      </c>
      <c r="P28" s="275">
        <v>3670000</v>
      </c>
      <c r="Q28" s="274" t="s">
        <v>353</v>
      </c>
      <c r="R28" s="274" t="s">
        <v>508</v>
      </c>
      <c r="S28" s="276">
        <v>1</v>
      </c>
      <c r="T28" s="277" t="s">
        <v>353</v>
      </c>
      <c r="U28" s="276" t="s">
        <v>353</v>
      </c>
      <c r="V28" s="322"/>
      <c r="W28" s="262"/>
      <c r="X28" s="262"/>
      <c r="Y28" s="262"/>
    </row>
    <row r="29" spans="3:25">
      <c r="C29" s="309" t="s">
        <v>509</v>
      </c>
      <c r="D29" s="310"/>
      <c r="E29" s="310"/>
      <c r="F29" s="311"/>
      <c r="G29" s="274"/>
      <c r="H29" s="274"/>
      <c r="I29" s="276"/>
      <c r="J29" s="277"/>
      <c r="K29" s="276"/>
      <c r="L29" s="262"/>
      <c r="M29" s="262"/>
      <c r="N29" s="273" t="s">
        <v>510</v>
      </c>
      <c r="O29" s="275">
        <v>2125</v>
      </c>
      <c r="P29" s="275">
        <v>1300000</v>
      </c>
      <c r="Q29" s="274" t="s">
        <v>353</v>
      </c>
      <c r="R29" s="274" t="s">
        <v>511</v>
      </c>
      <c r="S29" s="276">
        <v>1</v>
      </c>
      <c r="T29" s="277" t="s">
        <v>353</v>
      </c>
      <c r="U29" s="276" t="s">
        <v>353</v>
      </c>
      <c r="V29" s="322"/>
      <c r="W29" s="262"/>
      <c r="X29" s="262"/>
      <c r="Y29" s="262"/>
    </row>
    <row r="30" spans="3:25">
      <c r="C30" s="309" t="s">
        <v>512</v>
      </c>
      <c r="D30" s="310"/>
      <c r="E30" s="310"/>
      <c r="F30" s="311"/>
      <c r="G30" s="274"/>
      <c r="H30" s="274"/>
      <c r="I30" s="276"/>
      <c r="J30" s="277"/>
      <c r="K30" s="276"/>
      <c r="L30" s="262"/>
      <c r="M30" s="262"/>
      <c r="N30" s="273" t="s">
        <v>513</v>
      </c>
      <c r="O30" s="275">
        <v>2000</v>
      </c>
      <c r="P30" s="275">
        <v>1630000</v>
      </c>
      <c r="Q30" s="275">
        <v>2000000</v>
      </c>
      <c r="R30" s="274" t="s">
        <v>514</v>
      </c>
      <c r="S30" s="276">
        <v>3</v>
      </c>
      <c r="T30" s="277" t="s">
        <v>353</v>
      </c>
      <c r="U30" s="276" t="s">
        <v>353</v>
      </c>
      <c r="V30" s="322"/>
      <c r="W30" s="262"/>
      <c r="X30" s="262"/>
      <c r="Y30" s="262"/>
    </row>
    <row r="31" spans="3:25">
      <c r="C31" s="317" t="s">
        <v>515</v>
      </c>
      <c r="D31" s="318"/>
      <c r="E31" s="318"/>
      <c r="F31" s="319"/>
      <c r="G31" s="296"/>
      <c r="H31" s="295"/>
      <c r="I31" s="297"/>
      <c r="J31" s="298"/>
      <c r="K31" s="297"/>
      <c r="L31" s="262"/>
      <c r="M31" s="262"/>
      <c r="N31" s="294" t="s">
        <v>516</v>
      </c>
      <c r="O31" s="296">
        <v>3000</v>
      </c>
      <c r="P31" s="296">
        <v>1520000</v>
      </c>
      <c r="Q31" s="295" t="s">
        <v>353</v>
      </c>
      <c r="R31" s="295" t="s">
        <v>517</v>
      </c>
      <c r="S31" s="297">
        <v>1</v>
      </c>
      <c r="T31" s="298" t="s">
        <v>353</v>
      </c>
      <c r="U31" s="297" t="s">
        <v>353</v>
      </c>
      <c r="V31" s="322"/>
      <c r="W31" s="262"/>
      <c r="X31" s="262"/>
      <c r="Y31" s="262"/>
    </row>
    <row r="32" spans="3:25"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322"/>
      <c r="W32" s="262"/>
      <c r="X32" s="262"/>
      <c r="Y32" s="262"/>
    </row>
    <row r="33" spans="3:25"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3" t="s">
        <v>518</v>
      </c>
      <c r="O33" s="265">
        <v>2000</v>
      </c>
      <c r="P33" s="265">
        <v>1100000</v>
      </c>
      <c r="Q33" s="265">
        <v>1680000</v>
      </c>
      <c r="R33" s="264" t="s">
        <v>519</v>
      </c>
      <c r="S33" s="266">
        <v>36</v>
      </c>
      <c r="T33" s="303" t="s">
        <v>353</v>
      </c>
      <c r="U33" s="303" t="s">
        <v>353</v>
      </c>
      <c r="V33" s="322"/>
      <c r="W33" s="262"/>
      <c r="X33" s="262"/>
      <c r="Y33" s="262"/>
    </row>
    <row r="34" spans="3:25"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73" t="s">
        <v>520</v>
      </c>
      <c r="O34" s="275">
        <v>2500</v>
      </c>
      <c r="P34" s="275">
        <v>760000</v>
      </c>
      <c r="Q34" s="275">
        <v>2100000</v>
      </c>
      <c r="R34" s="274" t="s">
        <v>521</v>
      </c>
      <c r="S34" s="276">
        <v>100</v>
      </c>
      <c r="T34" s="307" t="s">
        <v>353</v>
      </c>
      <c r="U34" s="307" t="s">
        <v>353</v>
      </c>
      <c r="V34" s="322"/>
      <c r="W34" s="262"/>
      <c r="X34" s="262"/>
      <c r="Y34" s="262"/>
    </row>
    <row r="35" spans="3:25"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317" t="s">
        <v>522</v>
      </c>
      <c r="O35" s="296">
        <v>2000</v>
      </c>
      <c r="P35" s="296">
        <v>620000</v>
      </c>
      <c r="Q35" s="295" t="s">
        <v>353</v>
      </c>
      <c r="R35" s="295" t="s">
        <v>523</v>
      </c>
      <c r="S35" s="297">
        <v>1</v>
      </c>
      <c r="T35" s="308" t="s">
        <v>353</v>
      </c>
      <c r="U35" s="308" t="s">
        <v>353</v>
      </c>
      <c r="V35" s="322"/>
      <c r="W35" s="262"/>
      <c r="X35" s="262"/>
      <c r="Y35" s="262"/>
    </row>
    <row r="36" spans="3:25"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322"/>
      <c r="W36" s="262"/>
      <c r="X36" s="262"/>
      <c r="Y36" s="262"/>
    </row>
    <row r="37" spans="3:25"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320" t="s">
        <v>524</v>
      </c>
      <c r="O37" s="269">
        <v>112</v>
      </c>
      <c r="P37" s="270">
        <v>550000</v>
      </c>
      <c r="Q37" s="269" t="s">
        <v>353</v>
      </c>
      <c r="R37" s="269" t="s">
        <v>525</v>
      </c>
      <c r="S37" s="271">
        <v>1</v>
      </c>
      <c r="T37" s="321" t="s">
        <v>353</v>
      </c>
      <c r="U37" s="321" t="s">
        <v>353</v>
      </c>
      <c r="V37" s="322"/>
      <c r="W37" s="262"/>
      <c r="X37" s="262"/>
      <c r="Y37" s="26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803F-B0FA-4101-8847-3C53A306061B}">
  <dimension ref="A1:I816"/>
  <sheetViews>
    <sheetView workbookViewId="0">
      <selection activeCell="C32" sqref="C32"/>
    </sheetView>
  </sheetViews>
  <sheetFormatPr defaultRowHeight="14.4"/>
  <cols>
    <col min="1" max="1" width="13.33203125" bestFit="1" customWidth="1"/>
    <col min="2" max="2" width="17.5546875" customWidth="1"/>
    <col min="3" max="3" width="21.44140625" customWidth="1"/>
    <col min="4" max="4" width="13.6640625" style="330" bestFit="1" customWidth="1"/>
    <col min="5" max="5" width="15.109375" style="12" customWidth="1"/>
    <col min="6" max="6" width="13.33203125" style="12" customWidth="1"/>
    <col min="7" max="8" width="12.33203125" style="331" customWidth="1"/>
    <col min="9" max="9" width="13" customWidth="1"/>
    <col min="10" max="25" width="5.109375" bestFit="1" customWidth="1"/>
    <col min="26" max="31" width="6.33203125" bestFit="1" customWidth="1"/>
    <col min="32" max="32" width="5.33203125" bestFit="1" customWidth="1"/>
    <col min="33" max="33" width="13.33203125" bestFit="1" customWidth="1"/>
  </cols>
  <sheetData>
    <row r="1" spans="1:9">
      <c r="A1" s="327" t="s">
        <v>0</v>
      </c>
      <c r="B1" s="327" t="s">
        <v>1</v>
      </c>
      <c r="C1" s="327" t="s">
        <v>2</v>
      </c>
      <c r="D1" s="328" t="s">
        <v>118</v>
      </c>
      <c r="E1" s="12" t="s">
        <v>526</v>
      </c>
      <c r="F1" s="12" t="s">
        <v>527</v>
      </c>
      <c r="G1" s="331" t="s">
        <v>528</v>
      </c>
      <c r="H1" s="331" t="s">
        <v>529</v>
      </c>
      <c r="I1" t="s">
        <v>444</v>
      </c>
    </row>
    <row r="2" spans="1:9">
      <c r="A2" s="333" t="s">
        <v>36</v>
      </c>
      <c r="B2" s="333" t="s">
        <v>37</v>
      </c>
      <c r="C2" s="333" t="s">
        <v>38</v>
      </c>
      <c r="D2" s="334">
        <v>2000</v>
      </c>
      <c r="E2" s="335">
        <v>400</v>
      </c>
      <c r="F2" s="335">
        <v>400</v>
      </c>
      <c r="G2" s="336">
        <v>0.11</v>
      </c>
      <c r="H2" s="336">
        <v>0.35</v>
      </c>
      <c r="I2" s="336">
        <v>9.5</v>
      </c>
    </row>
    <row r="3" spans="1:9" hidden="1">
      <c r="C3" s="329" t="s">
        <v>530</v>
      </c>
      <c r="D3" s="329"/>
      <c r="I3" s="331" t="s">
        <v>531</v>
      </c>
    </row>
    <row r="4" spans="1:9" hidden="1">
      <c r="B4" s="329" t="s">
        <v>532</v>
      </c>
      <c r="C4" s="329"/>
      <c r="D4" s="329"/>
      <c r="I4" s="331" t="s">
        <v>531</v>
      </c>
    </row>
    <row r="5" spans="1:9" hidden="1">
      <c r="A5" s="329" t="s">
        <v>533</v>
      </c>
      <c r="B5" s="329"/>
      <c r="C5" s="329"/>
      <c r="D5" s="329"/>
      <c r="I5" s="331" t="s">
        <v>531</v>
      </c>
    </row>
    <row r="6" spans="1:9">
      <c r="A6" t="s">
        <v>84</v>
      </c>
      <c r="B6" t="s">
        <v>85</v>
      </c>
      <c r="C6" t="s">
        <v>86</v>
      </c>
      <c r="D6" s="329">
        <v>30000</v>
      </c>
      <c r="E6" s="12">
        <v>358</v>
      </c>
      <c r="F6" s="12" t="s">
        <v>534</v>
      </c>
      <c r="G6" s="331">
        <v>0.4</v>
      </c>
      <c r="H6" s="331">
        <v>1.2</v>
      </c>
      <c r="I6" s="331" t="s">
        <v>531</v>
      </c>
    </row>
    <row r="7" spans="1:9" hidden="1">
      <c r="C7" s="329" t="s">
        <v>535</v>
      </c>
      <c r="D7" s="329"/>
      <c r="I7" s="331" t="s">
        <v>531</v>
      </c>
    </row>
    <row r="8" spans="1:9" hidden="1">
      <c r="B8" s="329" t="s">
        <v>536</v>
      </c>
      <c r="C8" s="329"/>
      <c r="D8" s="329"/>
      <c r="I8" s="331" t="s">
        <v>531</v>
      </c>
    </row>
    <row r="9" spans="1:9" hidden="1">
      <c r="A9" s="329" t="s">
        <v>537</v>
      </c>
      <c r="B9" s="329"/>
      <c r="C9" s="329"/>
      <c r="D9" s="329"/>
      <c r="I9" s="331" t="s">
        <v>531</v>
      </c>
    </row>
    <row r="10" spans="1:9">
      <c r="A10" t="s">
        <v>30</v>
      </c>
      <c r="B10" t="s">
        <v>31</v>
      </c>
      <c r="C10" t="s">
        <v>32</v>
      </c>
      <c r="D10" s="329">
        <v>6000</v>
      </c>
      <c r="E10" s="12">
        <v>226</v>
      </c>
      <c r="F10" s="12">
        <v>405</v>
      </c>
      <c r="G10" s="331">
        <v>0.4</v>
      </c>
      <c r="H10" s="331">
        <v>0.8</v>
      </c>
      <c r="I10" s="331" t="s">
        <v>531</v>
      </c>
    </row>
    <row r="11" spans="1:9" hidden="1">
      <c r="C11" s="329" t="s">
        <v>538</v>
      </c>
      <c r="D11" s="329"/>
      <c r="I11" s="331" t="s">
        <v>531</v>
      </c>
    </row>
    <row r="12" spans="1:9" hidden="1">
      <c r="B12" s="329" t="s">
        <v>539</v>
      </c>
      <c r="C12" s="329"/>
      <c r="D12" s="329"/>
      <c r="I12" s="331" t="s">
        <v>531</v>
      </c>
    </row>
    <row r="13" spans="1:9">
      <c r="B13" t="s">
        <v>208</v>
      </c>
      <c r="C13" t="s">
        <v>209</v>
      </c>
      <c r="D13">
        <v>3000</v>
      </c>
      <c r="E13" s="12">
        <v>407</v>
      </c>
      <c r="F13" s="12">
        <v>552</v>
      </c>
      <c r="G13" s="331">
        <v>0.2</v>
      </c>
      <c r="H13" s="331">
        <v>0.4</v>
      </c>
      <c r="I13" s="331" t="s">
        <v>531</v>
      </c>
    </row>
    <row r="14" spans="1:9" hidden="1">
      <c r="C14" s="329" t="s">
        <v>540</v>
      </c>
      <c r="D14" s="329"/>
      <c r="I14" s="331" t="s">
        <v>531</v>
      </c>
    </row>
    <row r="15" spans="1:9" hidden="1">
      <c r="B15" s="329" t="s">
        <v>541</v>
      </c>
      <c r="C15" s="329"/>
      <c r="D15" s="329"/>
      <c r="I15" s="331" t="s">
        <v>531</v>
      </c>
    </row>
    <row r="16" spans="1:9" hidden="1">
      <c r="A16" s="329" t="s">
        <v>542</v>
      </c>
      <c r="B16" s="329"/>
      <c r="C16" s="329"/>
      <c r="D16" s="329"/>
      <c r="I16" s="331" t="s">
        <v>531</v>
      </c>
    </row>
    <row r="17" spans="1:9">
      <c r="A17" t="s">
        <v>14</v>
      </c>
      <c r="B17" t="s">
        <v>79</v>
      </c>
      <c r="C17" t="s">
        <v>80</v>
      </c>
      <c r="D17" s="329">
        <v>20000</v>
      </c>
      <c r="E17" s="12">
        <v>307</v>
      </c>
      <c r="F17" s="12" t="s">
        <v>534</v>
      </c>
      <c r="G17" s="331">
        <v>0.4</v>
      </c>
      <c r="H17" s="331">
        <v>1.2</v>
      </c>
      <c r="I17" s="331" t="s">
        <v>531</v>
      </c>
    </row>
    <row r="18" spans="1:9" hidden="1">
      <c r="C18" s="329" t="s">
        <v>543</v>
      </c>
      <c r="D18" s="329"/>
      <c r="I18" s="331" t="s">
        <v>531</v>
      </c>
    </row>
    <row r="19" spans="1:9" hidden="1">
      <c r="C19" t="s">
        <v>107</v>
      </c>
      <c r="D19" s="329" t="s">
        <v>544</v>
      </c>
      <c r="I19" s="331" t="s">
        <v>531</v>
      </c>
    </row>
    <row r="20" spans="1:9" hidden="1">
      <c r="C20" s="329" t="s">
        <v>545</v>
      </c>
      <c r="D20" s="329"/>
      <c r="I20" s="331" t="s">
        <v>531</v>
      </c>
    </row>
    <row r="21" spans="1:9" hidden="1">
      <c r="C21" t="s">
        <v>109</v>
      </c>
      <c r="D21" s="329" t="s">
        <v>544</v>
      </c>
      <c r="I21" s="331" t="s">
        <v>531</v>
      </c>
    </row>
    <row r="22" spans="1:9" hidden="1">
      <c r="C22" s="329" t="s">
        <v>546</v>
      </c>
      <c r="D22" s="329"/>
      <c r="I22" s="331" t="s">
        <v>531</v>
      </c>
    </row>
    <row r="23" spans="1:9" hidden="1">
      <c r="B23" s="329" t="s">
        <v>547</v>
      </c>
      <c r="C23" s="329"/>
      <c r="D23" s="329"/>
      <c r="I23" s="331" t="s">
        <v>531</v>
      </c>
    </row>
    <row r="24" spans="1:9">
      <c r="B24" t="s">
        <v>28</v>
      </c>
      <c r="C24" t="s">
        <v>29</v>
      </c>
      <c r="D24" s="329">
        <v>2250</v>
      </c>
      <c r="E24" s="12">
        <v>301</v>
      </c>
      <c r="F24" s="12" t="s">
        <v>534</v>
      </c>
      <c r="G24" s="331">
        <v>0.4</v>
      </c>
      <c r="H24" s="331">
        <v>0.8</v>
      </c>
      <c r="I24" s="331" t="s">
        <v>531</v>
      </c>
    </row>
    <row r="25" spans="1:9" hidden="1">
      <c r="C25" s="329" t="s">
        <v>548</v>
      </c>
      <c r="D25" s="329"/>
      <c r="I25" s="331" t="s">
        <v>531</v>
      </c>
    </row>
    <row r="26" spans="1:9">
      <c r="C26" t="s">
        <v>65</v>
      </c>
      <c r="D26" s="329">
        <v>1500</v>
      </c>
      <c r="E26" s="12">
        <v>870</v>
      </c>
      <c r="F26" s="12" t="s">
        <v>534</v>
      </c>
      <c r="G26" s="331">
        <v>0.4</v>
      </c>
      <c r="H26" s="331">
        <v>0.8</v>
      </c>
      <c r="I26" s="331" t="s">
        <v>531</v>
      </c>
    </row>
    <row r="27" spans="1:9" hidden="1">
      <c r="C27" s="329" t="s">
        <v>549</v>
      </c>
      <c r="D27" s="329"/>
      <c r="I27" s="331" t="s">
        <v>531</v>
      </c>
    </row>
    <row r="28" spans="1:9">
      <c r="C28" t="s">
        <v>45</v>
      </c>
      <c r="D28" s="329">
        <v>2500</v>
      </c>
      <c r="E28" s="12">
        <v>302</v>
      </c>
      <c r="F28" s="12">
        <v>461</v>
      </c>
      <c r="G28" s="331">
        <v>0.4</v>
      </c>
      <c r="H28" s="331">
        <v>0.8</v>
      </c>
      <c r="I28" s="331" t="s">
        <v>531</v>
      </c>
    </row>
    <row r="29" spans="1:9" hidden="1">
      <c r="C29" s="329" t="s">
        <v>550</v>
      </c>
      <c r="D29" s="329"/>
      <c r="I29" s="331" t="s">
        <v>531</v>
      </c>
    </row>
    <row r="30" spans="1:9">
      <c r="C30" t="s">
        <v>108</v>
      </c>
      <c r="D30" s="329" t="s">
        <v>544</v>
      </c>
      <c r="E30" s="12">
        <v>380</v>
      </c>
      <c r="F30" s="12">
        <v>758</v>
      </c>
      <c r="G30" s="331" t="s">
        <v>531</v>
      </c>
      <c r="H30" s="331" t="s">
        <v>531</v>
      </c>
      <c r="I30" s="331" t="s">
        <v>531</v>
      </c>
    </row>
    <row r="31" spans="1:9" hidden="1">
      <c r="C31" s="329" t="s">
        <v>551</v>
      </c>
      <c r="D31" s="329"/>
      <c r="I31" s="331" t="s">
        <v>531</v>
      </c>
    </row>
    <row r="32" spans="1:9">
      <c r="C32" t="s">
        <v>301</v>
      </c>
      <c r="D32" s="329">
        <v>2000</v>
      </c>
      <c r="E32" s="12">
        <v>337</v>
      </c>
      <c r="F32" s="12">
        <v>368</v>
      </c>
      <c r="G32" s="331">
        <v>0.4</v>
      </c>
      <c r="H32" s="331">
        <v>0.8</v>
      </c>
      <c r="I32" s="331" t="s">
        <v>531</v>
      </c>
    </row>
    <row r="33" spans="2:9" hidden="1">
      <c r="C33" s="329" t="s">
        <v>552</v>
      </c>
      <c r="D33" s="329"/>
      <c r="I33" s="331" t="s">
        <v>531</v>
      </c>
    </row>
    <row r="34" spans="2:9" hidden="1">
      <c r="B34" s="329" t="s">
        <v>553</v>
      </c>
      <c r="C34" s="329"/>
      <c r="D34" s="329"/>
      <c r="I34" s="331" t="s">
        <v>531</v>
      </c>
    </row>
    <row r="35" spans="2:9">
      <c r="B35" t="s">
        <v>66</v>
      </c>
      <c r="C35" t="s">
        <v>67</v>
      </c>
      <c r="D35" s="329">
        <v>2000</v>
      </c>
      <c r="E35" s="12">
        <v>461</v>
      </c>
      <c r="F35" s="12">
        <v>699</v>
      </c>
      <c r="G35" s="331">
        <v>0.4</v>
      </c>
      <c r="H35" s="331">
        <v>0.8</v>
      </c>
      <c r="I35" s="331" t="s">
        <v>531</v>
      </c>
    </row>
    <row r="36" spans="2:9" hidden="1">
      <c r="C36" s="329" t="s">
        <v>554</v>
      </c>
      <c r="D36" s="329"/>
      <c r="I36" s="331" t="s">
        <v>531</v>
      </c>
    </row>
    <row r="37" spans="2:9">
      <c r="C37" t="s">
        <v>71</v>
      </c>
      <c r="D37" s="329">
        <v>2500</v>
      </c>
      <c r="E37" s="12">
        <v>516</v>
      </c>
      <c r="F37" s="12">
        <v>542</v>
      </c>
      <c r="G37" s="331">
        <v>0.4</v>
      </c>
      <c r="H37" s="331">
        <v>0.8</v>
      </c>
      <c r="I37" s="331" t="s">
        <v>531</v>
      </c>
    </row>
    <row r="38" spans="2:9" hidden="1">
      <c r="C38" s="329" t="s">
        <v>555</v>
      </c>
      <c r="D38" s="329"/>
      <c r="I38" s="331" t="s">
        <v>531</v>
      </c>
    </row>
    <row r="39" spans="2:9" hidden="1">
      <c r="B39" s="329" t="s">
        <v>556</v>
      </c>
      <c r="C39" s="329"/>
      <c r="D39" s="329"/>
      <c r="I39" s="331" t="s">
        <v>531</v>
      </c>
    </row>
    <row r="40" spans="2:9">
      <c r="B40" t="s">
        <v>23</v>
      </c>
      <c r="C40" t="s">
        <v>92</v>
      </c>
      <c r="D40" s="329" t="s">
        <v>544</v>
      </c>
      <c r="E40" s="12">
        <v>499</v>
      </c>
      <c r="F40" s="12" t="s">
        <v>534</v>
      </c>
      <c r="G40" s="331" t="s">
        <v>531</v>
      </c>
      <c r="H40" s="331" t="s">
        <v>531</v>
      </c>
      <c r="I40" s="331" t="s">
        <v>531</v>
      </c>
    </row>
    <row r="41" spans="2:9" hidden="1">
      <c r="C41" s="329" t="s">
        <v>557</v>
      </c>
      <c r="D41" s="329"/>
      <c r="I41" s="331" t="s">
        <v>531</v>
      </c>
    </row>
    <row r="42" spans="2:9">
      <c r="C42" t="s">
        <v>41</v>
      </c>
      <c r="D42" s="329">
        <v>2500</v>
      </c>
      <c r="E42" s="12">
        <v>442</v>
      </c>
      <c r="F42" s="12">
        <v>1225</v>
      </c>
      <c r="G42" s="331">
        <v>0.2</v>
      </c>
      <c r="H42" s="331">
        <v>0.4</v>
      </c>
      <c r="I42" s="331" t="s">
        <v>531</v>
      </c>
    </row>
    <row r="43" spans="2:9" hidden="1">
      <c r="C43" s="329" t="s">
        <v>558</v>
      </c>
      <c r="D43" s="329"/>
      <c r="I43" s="331" t="s">
        <v>531</v>
      </c>
    </row>
    <row r="44" spans="2:9">
      <c r="C44" t="s">
        <v>73</v>
      </c>
      <c r="D44" s="329">
        <v>3415</v>
      </c>
      <c r="E44" s="12">
        <v>585</v>
      </c>
      <c r="F44" s="12" t="s">
        <v>534</v>
      </c>
      <c r="G44" s="331">
        <v>0.2</v>
      </c>
      <c r="H44" s="331">
        <v>0.4</v>
      </c>
      <c r="I44" s="331" t="s">
        <v>531</v>
      </c>
    </row>
    <row r="45" spans="2:9" hidden="1">
      <c r="C45" s="329" t="s">
        <v>559</v>
      </c>
      <c r="D45" s="329"/>
      <c r="I45" s="331" t="s">
        <v>531</v>
      </c>
    </row>
    <row r="46" spans="2:9">
      <c r="C46" t="s">
        <v>24</v>
      </c>
      <c r="D46" s="329">
        <v>4000</v>
      </c>
      <c r="E46" s="12">
        <v>615</v>
      </c>
      <c r="F46" s="12">
        <v>1019</v>
      </c>
      <c r="G46" s="331">
        <v>0.25</v>
      </c>
      <c r="H46" s="331">
        <v>0.5</v>
      </c>
      <c r="I46" s="331" t="s">
        <v>531</v>
      </c>
    </row>
    <row r="47" spans="2:9" hidden="1">
      <c r="C47" s="329" t="s">
        <v>560</v>
      </c>
      <c r="D47" s="329"/>
      <c r="I47" s="331" t="s">
        <v>531</v>
      </c>
    </row>
    <row r="48" spans="2:9">
      <c r="C48" t="s">
        <v>26</v>
      </c>
      <c r="D48" s="329">
        <v>6500</v>
      </c>
      <c r="E48" s="12">
        <v>789</v>
      </c>
      <c r="F48" s="12">
        <v>880</v>
      </c>
      <c r="G48" s="331">
        <v>0.25</v>
      </c>
      <c r="H48" s="331">
        <v>0.5</v>
      </c>
      <c r="I48" s="331" t="s">
        <v>531</v>
      </c>
    </row>
    <row r="49" spans="3:9" hidden="1">
      <c r="C49" s="329" t="s">
        <v>561</v>
      </c>
      <c r="D49" s="329"/>
      <c r="I49" s="331" t="s">
        <v>531</v>
      </c>
    </row>
    <row r="50" spans="3:9">
      <c r="C50" t="s">
        <v>55</v>
      </c>
      <c r="D50" s="329">
        <v>3000</v>
      </c>
      <c r="E50" s="12">
        <v>433</v>
      </c>
      <c r="F50" s="12">
        <v>461</v>
      </c>
      <c r="G50" s="331">
        <v>0.2</v>
      </c>
      <c r="H50" s="331">
        <v>0.4</v>
      </c>
      <c r="I50" s="331" t="s">
        <v>531</v>
      </c>
    </row>
    <row r="51" spans="3:9" hidden="1">
      <c r="C51" s="329" t="s">
        <v>562</v>
      </c>
      <c r="D51" s="329"/>
      <c r="I51" s="331" t="s">
        <v>531</v>
      </c>
    </row>
    <row r="52" spans="3:9">
      <c r="C52" t="s">
        <v>56</v>
      </c>
      <c r="D52" s="329">
        <v>15000</v>
      </c>
      <c r="E52" s="12">
        <v>236</v>
      </c>
      <c r="F52" s="12">
        <v>462</v>
      </c>
      <c r="G52" s="331">
        <v>0.25</v>
      </c>
      <c r="H52" s="331">
        <v>0.5</v>
      </c>
      <c r="I52" s="331" t="s">
        <v>531</v>
      </c>
    </row>
    <row r="53" spans="3:9">
      <c r="D53" s="329">
        <v>25000</v>
      </c>
      <c r="G53" s="331" t="s">
        <v>531</v>
      </c>
      <c r="H53" s="331" t="s">
        <v>531</v>
      </c>
      <c r="I53" s="331" t="s">
        <v>531</v>
      </c>
    </row>
    <row r="54" spans="3:9" hidden="1">
      <c r="D54" s="329" t="s">
        <v>544</v>
      </c>
      <c r="I54" s="331" t="s">
        <v>531</v>
      </c>
    </row>
    <row r="55" spans="3:9" hidden="1">
      <c r="C55" s="329" t="s">
        <v>563</v>
      </c>
      <c r="D55" s="329"/>
      <c r="I55" s="331" t="s">
        <v>531</v>
      </c>
    </row>
    <row r="56" spans="3:9">
      <c r="C56" t="s">
        <v>74</v>
      </c>
      <c r="D56" s="329">
        <v>15000</v>
      </c>
      <c r="E56" s="12">
        <v>244</v>
      </c>
      <c r="F56" s="12" t="s">
        <v>534</v>
      </c>
      <c r="G56" s="331">
        <v>0.45</v>
      </c>
      <c r="H56" s="331">
        <v>0.9</v>
      </c>
      <c r="I56" s="331" t="s">
        <v>531</v>
      </c>
    </row>
    <row r="57" spans="3:9" hidden="1">
      <c r="C57" s="329" t="s">
        <v>564</v>
      </c>
      <c r="D57" s="329"/>
      <c r="I57" s="331" t="s">
        <v>531</v>
      </c>
    </row>
    <row r="58" spans="3:9">
      <c r="C58" t="s">
        <v>27</v>
      </c>
      <c r="D58" s="329">
        <v>6000</v>
      </c>
      <c r="E58" s="12">
        <v>987</v>
      </c>
      <c r="F58" s="12">
        <v>1221</v>
      </c>
      <c r="G58" s="331">
        <v>0.25</v>
      </c>
      <c r="H58" s="331">
        <v>0.5</v>
      </c>
      <c r="I58" s="331" t="s">
        <v>531</v>
      </c>
    </row>
    <row r="59" spans="3:9" hidden="1">
      <c r="C59" s="329" t="s">
        <v>565</v>
      </c>
      <c r="D59" s="329"/>
      <c r="I59" s="331" t="s">
        <v>531</v>
      </c>
    </row>
    <row r="60" spans="3:9">
      <c r="C60" t="s">
        <v>72</v>
      </c>
      <c r="D60" s="329">
        <v>3000</v>
      </c>
      <c r="E60" s="12">
        <v>623</v>
      </c>
      <c r="F60" s="12" t="s">
        <v>534</v>
      </c>
      <c r="G60" s="332">
        <v>0.4</v>
      </c>
      <c r="H60" s="332">
        <v>0.5</v>
      </c>
      <c r="I60" s="331" t="s">
        <v>531</v>
      </c>
    </row>
    <row r="61" spans="3:9" hidden="1">
      <c r="C61" s="329" t="s">
        <v>566</v>
      </c>
      <c r="D61" s="329"/>
      <c r="G61" s="332"/>
      <c r="H61" s="332"/>
      <c r="I61" s="331" t="s">
        <v>531</v>
      </c>
    </row>
    <row r="62" spans="3:9">
      <c r="C62" t="s">
        <v>59</v>
      </c>
      <c r="D62" s="329">
        <v>2000</v>
      </c>
      <c r="E62" s="12">
        <v>815</v>
      </c>
      <c r="F62" s="12">
        <v>1001</v>
      </c>
      <c r="G62" s="332">
        <v>0.4</v>
      </c>
      <c r="H62" s="332">
        <v>0.5</v>
      </c>
      <c r="I62" s="331" t="s">
        <v>531</v>
      </c>
    </row>
    <row r="63" spans="3:9" hidden="1">
      <c r="C63" s="329" t="s">
        <v>567</v>
      </c>
      <c r="D63" s="329"/>
      <c r="I63" s="331" t="s">
        <v>531</v>
      </c>
    </row>
    <row r="64" spans="3:9">
      <c r="C64" t="s">
        <v>60</v>
      </c>
      <c r="D64" s="329">
        <v>3500</v>
      </c>
      <c r="E64" s="12">
        <v>419</v>
      </c>
      <c r="F64" s="12">
        <v>615</v>
      </c>
      <c r="G64" s="331" t="s">
        <v>531</v>
      </c>
      <c r="H64" s="331" t="s">
        <v>531</v>
      </c>
      <c r="I64" s="331" t="s">
        <v>531</v>
      </c>
    </row>
    <row r="65" spans="2:9" hidden="1">
      <c r="C65" s="329" t="s">
        <v>568</v>
      </c>
      <c r="D65" s="329"/>
      <c r="I65" s="331" t="s">
        <v>531</v>
      </c>
    </row>
    <row r="66" spans="2:9">
      <c r="C66" t="s">
        <v>110</v>
      </c>
      <c r="D66" s="329" t="s">
        <v>544</v>
      </c>
      <c r="E66" s="12">
        <v>905</v>
      </c>
      <c r="F66" s="12" t="s">
        <v>534</v>
      </c>
      <c r="G66" s="331" t="s">
        <v>531</v>
      </c>
      <c r="H66" s="331" t="s">
        <v>531</v>
      </c>
      <c r="I66" s="331" t="s">
        <v>531</v>
      </c>
    </row>
    <row r="67" spans="2:9" hidden="1">
      <c r="C67" s="329" t="s">
        <v>569</v>
      </c>
      <c r="D67" s="329"/>
      <c r="F67" s="12" t="s">
        <v>534</v>
      </c>
      <c r="I67" s="331" t="s">
        <v>531</v>
      </c>
    </row>
    <row r="68" spans="2:9" hidden="1">
      <c r="B68" s="329" t="s">
        <v>570</v>
      </c>
      <c r="C68" s="329"/>
      <c r="D68" s="329"/>
      <c r="F68" s="12" t="s">
        <v>534</v>
      </c>
      <c r="I68" s="331" t="s">
        <v>531</v>
      </c>
    </row>
    <row r="69" spans="2:9">
      <c r="B69" t="s">
        <v>43</v>
      </c>
      <c r="C69" t="s">
        <v>44</v>
      </c>
      <c r="D69" s="329">
        <v>112</v>
      </c>
      <c r="E69" s="12">
        <v>4454</v>
      </c>
      <c r="F69" s="12" t="s">
        <v>534</v>
      </c>
      <c r="G69" s="331" t="s">
        <v>531</v>
      </c>
      <c r="H69" s="331" t="s">
        <v>531</v>
      </c>
      <c r="I69" s="331" t="s">
        <v>531</v>
      </c>
    </row>
    <row r="70" spans="2:9" hidden="1">
      <c r="C70" s="329" t="s">
        <v>571</v>
      </c>
      <c r="D70" s="329"/>
      <c r="F70" s="12" t="s">
        <v>534</v>
      </c>
      <c r="I70" s="331" t="s">
        <v>531</v>
      </c>
    </row>
    <row r="71" spans="2:9">
      <c r="C71" t="s">
        <v>106</v>
      </c>
      <c r="D71" s="329" t="s">
        <v>544</v>
      </c>
      <c r="E71" s="12">
        <v>5272</v>
      </c>
      <c r="F71" s="12" t="s">
        <v>534</v>
      </c>
      <c r="G71" s="331" t="s">
        <v>531</v>
      </c>
      <c r="H71" s="331" t="s">
        <v>531</v>
      </c>
      <c r="I71" s="331" t="s">
        <v>531</v>
      </c>
    </row>
    <row r="72" spans="2:9" hidden="1">
      <c r="C72" s="329" t="s">
        <v>572</v>
      </c>
      <c r="D72" s="329"/>
      <c r="I72" s="331" t="s">
        <v>531</v>
      </c>
    </row>
    <row r="73" spans="2:9" hidden="1">
      <c r="B73" s="329" t="s">
        <v>573</v>
      </c>
      <c r="C73" s="329"/>
      <c r="D73" s="329"/>
      <c r="I73" s="331" t="s">
        <v>531</v>
      </c>
    </row>
    <row r="74" spans="2:9">
      <c r="B74" t="s">
        <v>33</v>
      </c>
      <c r="C74" t="s">
        <v>34</v>
      </c>
      <c r="D74" s="329">
        <v>2250</v>
      </c>
      <c r="E74" s="12">
        <v>548</v>
      </c>
      <c r="F74" s="12">
        <v>851</v>
      </c>
      <c r="G74" s="331">
        <v>0.25</v>
      </c>
      <c r="H74" s="331">
        <v>0.5</v>
      </c>
      <c r="I74" s="331" t="s">
        <v>531</v>
      </c>
    </row>
    <row r="75" spans="2:9" hidden="1">
      <c r="C75" s="329" t="s">
        <v>574</v>
      </c>
      <c r="D75" s="329"/>
      <c r="I75" s="331" t="s">
        <v>531</v>
      </c>
    </row>
    <row r="76" spans="2:9">
      <c r="C76" t="s">
        <v>95</v>
      </c>
      <c r="D76" s="329" t="s">
        <v>544</v>
      </c>
      <c r="E76" s="12">
        <v>343</v>
      </c>
      <c r="F76" s="12" t="s">
        <v>534</v>
      </c>
      <c r="G76" s="331" t="s">
        <v>531</v>
      </c>
      <c r="I76" s="331" t="s">
        <v>531</v>
      </c>
    </row>
    <row r="77" spans="2:9" hidden="1">
      <c r="C77" s="329" t="s">
        <v>575</v>
      </c>
      <c r="D77" s="329"/>
      <c r="I77" s="331" t="s">
        <v>531</v>
      </c>
    </row>
    <row r="78" spans="2:9">
      <c r="C78" t="s">
        <v>42</v>
      </c>
      <c r="D78" s="329">
        <v>2500</v>
      </c>
      <c r="E78" s="12">
        <v>302</v>
      </c>
      <c r="F78" s="12">
        <v>837</v>
      </c>
      <c r="G78" s="331">
        <v>0.25</v>
      </c>
      <c r="H78" s="331">
        <v>0.5</v>
      </c>
      <c r="I78" s="331" t="s">
        <v>531</v>
      </c>
    </row>
    <row r="79" spans="2:9" hidden="1">
      <c r="C79" s="329" t="s">
        <v>576</v>
      </c>
      <c r="D79" s="329"/>
      <c r="I79" s="331" t="s">
        <v>531</v>
      </c>
    </row>
    <row r="80" spans="2:9">
      <c r="C80" t="s">
        <v>54</v>
      </c>
      <c r="D80" s="329">
        <v>2000</v>
      </c>
      <c r="E80" s="12">
        <v>310</v>
      </c>
      <c r="F80" s="12" t="s">
        <v>534</v>
      </c>
      <c r="G80" s="331">
        <v>0.25</v>
      </c>
      <c r="H80" s="331">
        <v>0.5</v>
      </c>
      <c r="I80" s="331" t="s">
        <v>531</v>
      </c>
    </row>
    <row r="81" spans="2:9" hidden="1">
      <c r="C81" s="329" t="s">
        <v>577</v>
      </c>
      <c r="D81" s="329"/>
      <c r="F81" s="12" t="s">
        <v>534</v>
      </c>
      <c r="I81" s="331" t="s">
        <v>531</v>
      </c>
    </row>
    <row r="82" spans="2:9">
      <c r="C82" t="s">
        <v>105</v>
      </c>
      <c r="D82" s="329" t="s">
        <v>544</v>
      </c>
      <c r="E82" s="12">
        <v>647</v>
      </c>
      <c r="F82" s="12" t="s">
        <v>534</v>
      </c>
      <c r="I82" s="331" t="s">
        <v>531</v>
      </c>
    </row>
    <row r="83" spans="2:9" hidden="1">
      <c r="C83" s="329" t="s">
        <v>578</v>
      </c>
      <c r="D83" s="329"/>
      <c r="F83" s="12" t="s">
        <v>534</v>
      </c>
      <c r="I83" s="331" t="s">
        <v>531</v>
      </c>
    </row>
    <row r="84" spans="2:9" hidden="1">
      <c r="B84" s="329" t="s">
        <v>579</v>
      </c>
      <c r="C84" s="329"/>
      <c r="D84" s="329"/>
      <c r="F84" s="12" t="s">
        <v>534</v>
      </c>
      <c r="I84" s="331" t="s">
        <v>531</v>
      </c>
    </row>
    <row r="85" spans="2:9">
      <c r="B85" t="s">
        <v>15</v>
      </c>
      <c r="C85" t="s">
        <v>192</v>
      </c>
      <c r="D85" s="329">
        <v>4000</v>
      </c>
      <c r="E85" s="12">
        <v>638</v>
      </c>
      <c r="F85" s="12" t="s">
        <v>534</v>
      </c>
      <c r="G85" s="331">
        <v>0.4</v>
      </c>
      <c r="H85" s="331">
        <v>0.8</v>
      </c>
      <c r="I85" s="331" t="s">
        <v>531</v>
      </c>
    </row>
    <row r="86" spans="2:9" hidden="1">
      <c r="D86">
        <v>5500</v>
      </c>
      <c r="I86" s="331" t="s">
        <v>531</v>
      </c>
    </row>
    <row r="87" spans="2:9">
      <c r="D87">
        <v>4800</v>
      </c>
      <c r="E87" s="12">
        <v>667</v>
      </c>
      <c r="F87" s="12">
        <v>754</v>
      </c>
      <c r="I87" s="331" t="s">
        <v>531</v>
      </c>
    </row>
    <row r="88" spans="2:9" hidden="1">
      <c r="C88" s="329" t="s">
        <v>580</v>
      </c>
      <c r="D88" s="329"/>
      <c r="I88" s="331" t="s">
        <v>531</v>
      </c>
    </row>
    <row r="89" spans="2:9">
      <c r="C89" t="s">
        <v>94</v>
      </c>
      <c r="D89" s="329" t="s">
        <v>544</v>
      </c>
      <c r="E89" s="12">
        <v>256</v>
      </c>
      <c r="F89" s="12">
        <v>877</v>
      </c>
      <c r="G89" s="331">
        <v>0.4</v>
      </c>
      <c r="H89" s="331">
        <v>0.8</v>
      </c>
      <c r="I89" s="331" t="s">
        <v>531</v>
      </c>
    </row>
    <row r="90" spans="2:9" hidden="1">
      <c r="C90" s="329" t="s">
        <v>581</v>
      </c>
      <c r="D90" s="329"/>
      <c r="I90" s="331" t="s">
        <v>531</v>
      </c>
    </row>
    <row r="91" spans="2:9" hidden="1">
      <c r="C91" t="s">
        <v>63</v>
      </c>
      <c r="D91" s="329">
        <v>4000</v>
      </c>
      <c r="I91" s="331" t="s">
        <v>531</v>
      </c>
    </row>
    <row r="92" spans="2:9">
      <c r="D92" s="329" t="s">
        <v>544</v>
      </c>
      <c r="E92" s="12">
        <v>599</v>
      </c>
      <c r="F92" s="12" t="s">
        <v>534</v>
      </c>
      <c r="G92" s="331" t="s">
        <v>531</v>
      </c>
      <c r="H92" s="331" t="s">
        <v>531</v>
      </c>
      <c r="I92" s="331" t="s">
        <v>531</v>
      </c>
    </row>
    <row r="93" spans="2:9" hidden="1">
      <c r="C93" s="329" t="s">
        <v>582</v>
      </c>
      <c r="D93" s="329"/>
      <c r="I93" s="331" t="s">
        <v>531</v>
      </c>
    </row>
    <row r="94" spans="2:9">
      <c r="C94" t="s">
        <v>267</v>
      </c>
      <c r="D94" s="329" t="s">
        <v>544</v>
      </c>
      <c r="E94" s="12">
        <v>261</v>
      </c>
      <c r="F94" s="12">
        <v>800</v>
      </c>
      <c r="G94" s="331">
        <v>0.3</v>
      </c>
      <c r="H94" s="331">
        <v>0.5</v>
      </c>
      <c r="I94" s="331" t="s">
        <v>531</v>
      </c>
    </row>
    <row r="95" spans="2:9" hidden="1">
      <c r="C95" s="329" t="s">
        <v>583</v>
      </c>
      <c r="D95" s="329"/>
      <c r="I95" s="331" t="s">
        <v>531</v>
      </c>
    </row>
    <row r="96" spans="2:9">
      <c r="C96" t="s">
        <v>16</v>
      </c>
      <c r="D96" s="329">
        <v>2500</v>
      </c>
      <c r="E96" s="12">
        <v>610</v>
      </c>
      <c r="F96" s="12">
        <v>761</v>
      </c>
      <c r="G96" s="331" t="s">
        <v>584</v>
      </c>
      <c r="H96" s="331" t="s">
        <v>531</v>
      </c>
      <c r="I96" s="331" t="s">
        <v>531</v>
      </c>
    </row>
    <row r="97" spans="1:9" hidden="1">
      <c r="C97" s="329" t="s">
        <v>585</v>
      </c>
      <c r="D97" s="329"/>
      <c r="I97" s="331" t="s">
        <v>531</v>
      </c>
    </row>
    <row r="98" spans="1:9">
      <c r="C98" t="s">
        <v>314</v>
      </c>
      <c r="D98" s="329" t="s">
        <v>544</v>
      </c>
      <c r="E98" s="12">
        <v>615</v>
      </c>
      <c r="F98" s="12">
        <v>670</v>
      </c>
      <c r="G98" s="331" t="s">
        <v>584</v>
      </c>
      <c r="H98" s="331" t="s">
        <v>531</v>
      </c>
      <c r="I98" s="331" t="s">
        <v>531</v>
      </c>
    </row>
    <row r="99" spans="1:9" hidden="1">
      <c r="C99" s="329" t="s">
        <v>586</v>
      </c>
      <c r="D99" s="329"/>
      <c r="I99" s="331" t="s">
        <v>531</v>
      </c>
    </row>
    <row r="100" spans="1:9" hidden="1">
      <c r="C100" t="s">
        <v>113</v>
      </c>
      <c r="D100" s="329">
        <v>6450</v>
      </c>
      <c r="I100" s="331" t="s">
        <v>531</v>
      </c>
    </row>
    <row r="101" spans="1:9">
      <c r="D101" s="329" t="s">
        <v>544</v>
      </c>
      <c r="E101" s="12">
        <v>1559</v>
      </c>
      <c r="F101" s="12">
        <v>1560</v>
      </c>
      <c r="G101" s="331" t="s">
        <v>584</v>
      </c>
      <c r="H101" s="331" t="s">
        <v>531</v>
      </c>
      <c r="I101" s="331" t="s">
        <v>531</v>
      </c>
    </row>
    <row r="102" spans="1:9" hidden="1">
      <c r="C102" s="329" t="s">
        <v>587</v>
      </c>
      <c r="D102" s="329"/>
      <c r="I102" s="331" t="s">
        <v>531</v>
      </c>
    </row>
    <row r="103" spans="1:9" hidden="1">
      <c r="C103" t="s">
        <v>62</v>
      </c>
      <c r="D103" s="329">
        <v>3000</v>
      </c>
      <c r="I103" s="331" t="s">
        <v>531</v>
      </c>
    </row>
    <row r="104" spans="1:9" hidden="1">
      <c r="C104" s="329" t="s">
        <v>588</v>
      </c>
      <c r="D104" s="329"/>
      <c r="I104" s="331" t="s">
        <v>531</v>
      </c>
    </row>
    <row r="105" spans="1:9">
      <c r="B105" s="329" t="s">
        <v>589</v>
      </c>
      <c r="C105" s="329"/>
      <c r="D105" s="329"/>
      <c r="E105" s="12">
        <v>6351</v>
      </c>
      <c r="F105" s="12" t="s">
        <v>534</v>
      </c>
      <c r="G105" s="331" t="s">
        <v>584</v>
      </c>
      <c r="H105" s="331" t="s">
        <v>531</v>
      </c>
      <c r="I105" s="331" t="s">
        <v>531</v>
      </c>
    </row>
    <row r="106" spans="1:9" hidden="1">
      <c r="A106" s="329" t="s">
        <v>590</v>
      </c>
      <c r="B106" s="329"/>
      <c r="C106" s="329"/>
      <c r="D106" s="329"/>
      <c r="F106" s="12" t="s">
        <v>534</v>
      </c>
      <c r="I106" s="331" t="s">
        <v>531</v>
      </c>
    </row>
    <row r="107" spans="1:9">
      <c r="A107" t="s">
        <v>81</v>
      </c>
      <c r="B107" t="s">
        <v>102</v>
      </c>
      <c r="C107" t="s">
        <v>256</v>
      </c>
      <c r="D107" s="329">
        <v>7873</v>
      </c>
      <c r="E107" s="12">
        <v>650</v>
      </c>
      <c r="F107" s="12" t="s">
        <v>534</v>
      </c>
      <c r="G107" s="331" t="s">
        <v>584</v>
      </c>
      <c r="H107" s="331" t="s">
        <v>531</v>
      </c>
      <c r="I107" s="331" t="s">
        <v>531</v>
      </c>
    </row>
    <row r="108" spans="1:9" hidden="1">
      <c r="C108" s="329" t="s">
        <v>591</v>
      </c>
      <c r="D108" s="329"/>
      <c r="F108" s="12" t="s">
        <v>534</v>
      </c>
      <c r="I108" s="331" t="s">
        <v>531</v>
      </c>
    </row>
    <row r="109" spans="1:9" hidden="1">
      <c r="C109" t="s">
        <v>103</v>
      </c>
      <c r="D109" s="329">
        <v>20000</v>
      </c>
      <c r="F109" s="12" t="s">
        <v>534</v>
      </c>
      <c r="I109" s="331" t="s">
        <v>531</v>
      </c>
    </row>
    <row r="110" spans="1:9">
      <c r="C110" s="329" t="s">
        <v>592</v>
      </c>
      <c r="D110" s="329"/>
      <c r="E110" s="12">
        <v>3204</v>
      </c>
      <c r="F110" s="12" t="s">
        <v>534</v>
      </c>
      <c r="G110" s="331" t="s">
        <v>584</v>
      </c>
      <c r="H110" s="331" t="s">
        <v>531</v>
      </c>
      <c r="I110" s="331" t="s">
        <v>531</v>
      </c>
    </row>
    <row r="111" spans="1:9" hidden="1">
      <c r="B111" s="329" t="s">
        <v>593</v>
      </c>
      <c r="C111" s="329"/>
      <c r="D111" s="329"/>
      <c r="I111" s="331" t="s">
        <v>531</v>
      </c>
    </row>
    <row r="112" spans="1:9" hidden="1">
      <c r="B112" t="s">
        <v>82</v>
      </c>
      <c r="C112" t="s">
        <v>83</v>
      </c>
      <c r="D112" s="329">
        <v>5000</v>
      </c>
      <c r="I112" s="331" t="s">
        <v>531</v>
      </c>
    </row>
    <row r="113" spans="1:9">
      <c r="C113" s="329" t="s">
        <v>594</v>
      </c>
      <c r="D113" s="329"/>
      <c r="E113" s="12">
        <v>627</v>
      </c>
      <c r="F113" s="12">
        <v>870</v>
      </c>
      <c r="G113" s="331">
        <v>0.15</v>
      </c>
      <c r="H113" s="331">
        <v>0.3</v>
      </c>
      <c r="I113" s="331" t="s">
        <v>531</v>
      </c>
    </row>
    <row r="114" spans="1:9" hidden="1">
      <c r="B114" s="329" t="s">
        <v>595</v>
      </c>
      <c r="C114" s="329"/>
      <c r="D114" s="329"/>
      <c r="I114" s="331" t="s">
        <v>531</v>
      </c>
    </row>
    <row r="115" spans="1:9" hidden="1">
      <c r="B115" t="s">
        <v>112</v>
      </c>
      <c r="C115" t="s">
        <v>69</v>
      </c>
      <c r="D115" s="329">
        <v>8000</v>
      </c>
      <c r="I115" s="331" t="s">
        <v>531</v>
      </c>
    </row>
    <row r="116" spans="1:9" hidden="1">
      <c r="C116" s="329" t="s">
        <v>596</v>
      </c>
      <c r="D116" s="329"/>
      <c r="I116" s="331" t="s">
        <v>531</v>
      </c>
    </row>
    <row r="117" spans="1:9">
      <c r="B117" s="329" t="s">
        <v>597</v>
      </c>
      <c r="C117" s="329"/>
      <c r="D117" s="329"/>
      <c r="E117" s="12">
        <v>490</v>
      </c>
      <c r="F117" s="12" t="s">
        <v>534</v>
      </c>
      <c r="G117" s="331" t="s">
        <v>584</v>
      </c>
      <c r="H117" s="331" t="s">
        <v>531</v>
      </c>
      <c r="I117" s="331" t="s">
        <v>531</v>
      </c>
    </row>
    <row r="118" spans="1:9" hidden="1">
      <c r="A118" s="329" t="s">
        <v>598</v>
      </c>
      <c r="B118" s="329"/>
      <c r="C118" s="329"/>
      <c r="D118" s="329"/>
      <c r="I118" s="331" t="s">
        <v>531</v>
      </c>
    </row>
    <row r="119" spans="1:9">
      <c r="A119" t="s">
        <v>49</v>
      </c>
      <c r="B119" t="s">
        <v>50</v>
      </c>
      <c r="C119" t="s">
        <v>93</v>
      </c>
      <c r="D119" s="329" t="s">
        <v>544</v>
      </c>
      <c r="E119" s="12">
        <v>464</v>
      </c>
      <c r="F119" s="12">
        <v>561</v>
      </c>
      <c r="G119" s="331">
        <v>0.4</v>
      </c>
      <c r="H119" s="331">
        <v>0.8</v>
      </c>
      <c r="I119" s="331" t="s">
        <v>531</v>
      </c>
    </row>
    <row r="120" spans="1:9" hidden="1">
      <c r="C120" s="329" t="s">
        <v>599</v>
      </c>
      <c r="D120" s="329"/>
      <c r="I120" s="331" t="s">
        <v>531</v>
      </c>
    </row>
    <row r="121" spans="1:9" hidden="1">
      <c r="C121" t="s">
        <v>51</v>
      </c>
      <c r="D121" s="329">
        <v>3500</v>
      </c>
      <c r="I121" s="331" t="s">
        <v>531</v>
      </c>
    </row>
    <row r="122" spans="1:9">
      <c r="C122" s="329" t="s">
        <v>600</v>
      </c>
      <c r="D122" s="329"/>
      <c r="E122" s="12">
        <v>276</v>
      </c>
      <c r="F122" s="12" t="s">
        <v>534</v>
      </c>
      <c r="G122" s="331">
        <v>0.4</v>
      </c>
      <c r="H122" s="331">
        <v>0.8</v>
      </c>
      <c r="I122" s="331" t="s">
        <v>531</v>
      </c>
    </row>
    <row r="123" spans="1:9" hidden="1">
      <c r="B123" s="329" t="s">
        <v>601</v>
      </c>
      <c r="C123" s="329"/>
      <c r="D123" s="329"/>
      <c r="I123" s="331" t="s">
        <v>531</v>
      </c>
    </row>
    <row r="124" spans="1:9" hidden="1">
      <c r="B124" t="s">
        <v>90</v>
      </c>
      <c r="C124" t="s">
        <v>91</v>
      </c>
      <c r="D124" s="329" t="s">
        <v>544</v>
      </c>
      <c r="I124" s="331" t="s">
        <v>531</v>
      </c>
    </row>
    <row r="125" spans="1:9">
      <c r="C125" s="329" t="s">
        <v>602</v>
      </c>
      <c r="D125" s="329"/>
      <c r="E125" s="12">
        <v>306</v>
      </c>
      <c r="F125" s="12">
        <v>331</v>
      </c>
      <c r="G125" s="331">
        <v>0.4</v>
      </c>
      <c r="H125" s="331">
        <v>0.8</v>
      </c>
      <c r="I125" s="331" t="s">
        <v>531</v>
      </c>
    </row>
    <row r="126" spans="1:9" hidden="1">
      <c r="B126" s="329" t="s">
        <v>603</v>
      </c>
      <c r="C126" s="329"/>
      <c r="D126" s="329"/>
      <c r="I126" s="331" t="s">
        <v>531</v>
      </c>
    </row>
    <row r="127" spans="1:9" hidden="1">
      <c r="B127" t="s">
        <v>68</v>
      </c>
      <c r="C127" t="s">
        <v>69</v>
      </c>
      <c r="D127" s="329">
        <v>2500</v>
      </c>
      <c r="I127" s="331" t="s">
        <v>531</v>
      </c>
    </row>
    <row r="128" spans="1:9" hidden="1">
      <c r="C128" s="329" t="s">
        <v>596</v>
      </c>
      <c r="D128" s="329"/>
      <c r="I128" s="331" t="s">
        <v>531</v>
      </c>
    </row>
    <row r="129" spans="1:9">
      <c r="B129" s="329" t="s">
        <v>604</v>
      </c>
      <c r="C129" s="329"/>
      <c r="D129" s="329"/>
      <c r="E129" s="12">
        <v>249</v>
      </c>
      <c r="F129" s="12">
        <v>273</v>
      </c>
      <c r="G129" s="331">
        <v>0.4</v>
      </c>
      <c r="H129" s="331">
        <v>0.8</v>
      </c>
      <c r="I129" s="331" t="s">
        <v>531</v>
      </c>
    </row>
    <row r="130" spans="1:9" hidden="1">
      <c r="A130" s="329" t="s">
        <v>605</v>
      </c>
      <c r="B130" s="329"/>
      <c r="C130" s="329"/>
      <c r="D130" s="329"/>
      <c r="I130" s="331" t="s">
        <v>531</v>
      </c>
    </row>
    <row r="131" spans="1:9" hidden="1">
      <c r="A131" t="s">
        <v>87</v>
      </c>
      <c r="B131" t="s">
        <v>88</v>
      </c>
      <c r="C131" t="s">
        <v>89</v>
      </c>
      <c r="D131" s="329" t="s">
        <v>544</v>
      </c>
      <c r="I131" s="331" t="s">
        <v>531</v>
      </c>
    </row>
    <row r="132" spans="1:9" hidden="1">
      <c r="C132" s="329" t="s">
        <v>606</v>
      </c>
      <c r="D132" s="329"/>
      <c r="I132" s="331" t="s">
        <v>531</v>
      </c>
    </row>
    <row r="133" spans="1:9">
      <c r="B133" s="329" t="s">
        <v>607</v>
      </c>
      <c r="C133" s="329"/>
      <c r="D133" s="329"/>
      <c r="E133" s="12">
        <v>437</v>
      </c>
      <c r="F133" s="12">
        <v>438</v>
      </c>
      <c r="G133" s="331">
        <v>0.2</v>
      </c>
      <c r="H133" s="331">
        <v>0.4</v>
      </c>
      <c r="I133" s="331" t="s">
        <v>531</v>
      </c>
    </row>
    <row r="134" spans="1:9" hidden="1">
      <c r="A134" s="329" t="s">
        <v>608</v>
      </c>
      <c r="B134" s="329"/>
      <c r="C134" s="329"/>
      <c r="D134" s="329"/>
      <c r="I134" s="331" t="s">
        <v>531</v>
      </c>
    </row>
    <row r="135" spans="1:9">
      <c r="A135" t="s">
        <v>46</v>
      </c>
      <c r="B135" t="s">
        <v>47</v>
      </c>
      <c r="C135" t="s">
        <v>48</v>
      </c>
      <c r="D135" s="329">
        <v>16000</v>
      </c>
      <c r="E135" s="12">
        <v>429</v>
      </c>
      <c r="F135" s="12">
        <v>479</v>
      </c>
      <c r="G135" s="331">
        <v>0.25</v>
      </c>
      <c r="H135" s="331">
        <v>0.5</v>
      </c>
      <c r="I135" s="331" t="s">
        <v>531</v>
      </c>
    </row>
    <row r="136" spans="1:9" hidden="1">
      <c r="C136" s="329" t="s">
        <v>609</v>
      </c>
      <c r="D136" s="329"/>
      <c r="I136" s="331" t="s">
        <v>531</v>
      </c>
    </row>
    <row r="137" spans="1:9" hidden="1">
      <c r="C137" t="s">
        <v>70</v>
      </c>
      <c r="D137" s="329">
        <v>11000</v>
      </c>
      <c r="I137" s="331" t="s">
        <v>531</v>
      </c>
    </row>
    <row r="138" spans="1:9" hidden="1">
      <c r="C138" s="329" t="s">
        <v>610</v>
      </c>
      <c r="D138" s="329"/>
      <c r="I138" s="331" t="s">
        <v>531</v>
      </c>
    </row>
    <row r="139" spans="1:9">
      <c r="B139" s="329" t="s">
        <v>611</v>
      </c>
      <c r="C139" s="329"/>
      <c r="D139" s="329"/>
      <c r="E139" s="12">
        <v>150</v>
      </c>
      <c r="F139" s="12" t="s">
        <v>534</v>
      </c>
      <c r="G139" s="331" t="s">
        <v>531</v>
      </c>
      <c r="H139" s="331">
        <v>2</v>
      </c>
      <c r="I139" s="331" t="s">
        <v>531</v>
      </c>
    </row>
    <row r="140" spans="1:9" hidden="1">
      <c r="A140" s="329" t="s">
        <v>612</v>
      </c>
      <c r="B140" s="329"/>
      <c r="C140" s="329"/>
      <c r="D140" s="329"/>
      <c r="I140" s="331" t="s">
        <v>531</v>
      </c>
    </row>
    <row r="141" spans="1:9">
      <c r="A141" t="s">
        <v>186</v>
      </c>
      <c r="B141" t="s">
        <v>187</v>
      </c>
      <c r="C141" t="s">
        <v>188</v>
      </c>
      <c r="D141" s="329">
        <v>16000</v>
      </c>
      <c r="E141" s="12">
        <v>169</v>
      </c>
      <c r="F141" s="12">
        <v>172</v>
      </c>
      <c r="G141" s="331">
        <v>0.4</v>
      </c>
      <c r="H141" s="331">
        <v>0.8</v>
      </c>
      <c r="I141" s="331" t="s">
        <v>531</v>
      </c>
    </row>
    <row r="142" spans="1:9" hidden="1">
      <c r="C142" s="329" t="s">
        <v>613</v>
      </c>
      <c r="D142" s="329"/>
      <c r="I142" s="331" t="s">
        <v>531</v>
      </c>
    </row>
    <row r="143" spans="1:9" hidden="1">
      <c r="C143" t="s">
        <v>283</v>
      </c>
      <c r="D143" s="329">
        <v>1575</v>
      </c>
      <c r="I143" s="331" t="s">
        <v>531</v>
      </c>
    </row>
    <row r="144" spans="1:9" hidden="1">
      <c r="D144" s="329">
        <v>1650</v>
      </c>
      <c r="I144" s="331" t="s">
        <v>531</v>
      </c>
    </row>
    <row r="145" spans="1:9" hidden="1">
      <c r="C145" s="329" t="s">
        <v>614</v>
      </c>
      <c r="D145" s="329"/>
      <c r="I145" s="331" t="s">
        <v>531</v>
      </c>
    </row>
    <row r="146" spans="1:9">
      <c r="B146" s="329" t="s">
        <v>615</v>
      </c>
      <c r="C146" s="329"/>
      <c r="D146" s="329"/>
      <c r="E146" s="12">
        <v>335</v>
      </c>
      <c r="F146" s="12">
        <v>418</v>
      </c>
      <c r="G146" s="331" t="s">
        <v>584</v>
      </c>
      <c r="H146" s="331" t="s">
        <v>531</v>
      </c>
      <c r="I146" s="331" t="s">
        <v>531</v>
      </c>
    </row>
    <row r="147" spans="1:9" hidden="1">
      <c r="A147" s="329" t="s">
        <v>616</v>
      </c>
      <c r="B147" s="329"/>
      <c r="C147" s="329"/>
      <c r="D147" s="329"/>
      <c r="I147" s="331" t="s">
        <v>531</v>
      </c>
    </row>
    <row r="148" spans="1:9">
      <c r="A148" t="s">
        <v>17</v>
      </c>
      <c r="B148" t="s">
        <v>57</v>
      </c>
      <c r="C148" t="s">
        <v>104</v>
      </c>
      <c r="D148" s="329" t="s">
        <v>544</v>
      </c>
      <c r="E148" s="12">
        <v>488</v>
      </c>
      <c r="F148" s="12">
        <v>578</v>
      </c>
      <c r="G148" s="331">
        <v>0.4</v>
      </c>
      <c r="H148" s="331">
        <v>0.5</v>
      </c>
      <c r="I148" s="331" t="s">
        <v>531</v>
      </c>
    </row>
    <row r="149" spans="1:9" hidden="1">
      <c r="C149" s="329" t="s">
        <v>617</v>
      </c>
      <c r="D149" s="329"/>
      <c r="I149" s="331" t="s">
        <v>531</v>
      </c>
    </row>
    <row r="150" spans="1:9" hidden="1">
      <c r="C150" t="s">
        <v>58</v>
      </c>
      <c r="D150" s="329">
        <v>2500</v>
      </c>
      <c r="I150" s="331" t="s">
        <v>531</v>
      </c>
    </row>
    <row r="151" spans="1:9">
      <c r="C151" s="329" t="s">
        <v>618</v>
      </c>
      <c r="D151" s="329"/>
      <c r="E151" s="12">
        <v>370</v>
      </c>
      <c r="F151" s="12">
        <v>475</v>
      </c>
      <c r="G151" s="331">
        <v>0.3</v>
      </c>
      <c r="H151" s="331">
        <v>0.6</v>
      </c>
      <c r="I151" s="331" t="s">
        <v>531</v>
      </c>
    </row>
    <row r="152" spans="1:9" hidden="1">
      <c r="B152" s="329" t="s">
        <v>619</v>
      </c>
      <c r="C152" s="329"/>
      <c r="D152" s="329"/>
      <c r="I152" s="331" t="s">
        <v>531</v>
      </c>
    </row>
    <row r="153" spans="1:9">
      <c r="B153" t="s">
        <v>21</v>
      </c>
      <c r="C153" t="s">
        <v>52</v>
      </c>
      <c r="D153" s="329">
        <v>3000</v>
      </c>
      <c r="E153" s="12">
        <v>60</v>
      </c>
      <c r="F153" s="12">
        <v>679</v>
      </c>
      <c r="G153" s="331">
        <v>0.25</v>
      </c>
      <c r="H153" s="331">
        <v>0.5</v>
      </c>
      <c r="I153" s="331" t="s">
        <v>531</v>
      </c>
    </row>
    <row r="154" spans="1:9">
      <c r="C154" s="329" t="s">
        <v>620</v>
      </c>
      <c r="D154" s="329"/>
      <c r="I154" s="331" t="s">
        <v>531</v>
      </c>
    </row>
    <row r="155" spans="1:9" hidden="1">
      <c r="C155" t="s">
        <v>22</v>
      </c>
      <c r="D155" s="329">
        <v>3000</v>
      </c>
      <c r="I155" s="331" t="s">
        <v>531</v>
      </c>
    </row>
    <row r="156" spans="1:9">
      <c r="D156" s="329">
        <v>6000</v>
      </c>
      <c r="E156" s="12">
        <v>340</v>
      </c>
      <c r="F156" s="12">
        <v>470</v>
      </c>
      <c r="G156" s="331" t="s">
        <v>584</v>
      </c>
      <c r="H156" s="331" t="s">
        <v>531</v>
      </c>
      <c r="I156" s="331" t="s">
        <v>531</v>
      </c>
    </row>
    <row r="157" spans="1:9" hidden="1">
      <c r="C157" s="329" t="s">
        <v>621</v>
      </c>
      <c r="D157" s="329"/>
      <c r="I157" s="331" t="s">
        <v>531</v>
      </c>
    </row>
    <row r="158" spans="1:9" hidden="1">
      <c r="C158" t="s">
        <v>111</v>
      </c>
      <c r="D158" s="329" t="s">
        <v>544</v>
      </c>
      <c r="I158" s="331" t="s">
        <v>531</v>
      </c>
    </row>
    <row r="159" spans="1:9">
      <c r="C159" s="329" t="s">
        <v>622</v>
      </c>
      <c r="D159" s="329"/>
      <c r="E159" s="12">
        <v>344</v>
      </c>
      <c r="F159" s="12">
        <v>347</v>
      </c>
      <c r="G159" s="331">
        <v>0.25</v>
      </c>
      <c r="H159" s="331">
        <v>0.5</v>
      </c>
      <c r="I159" s="331" t="s">
        <v>531</v>
      </c>
    </row>
    <row r="160" spans="1:9" hidden="1">
      <c r="B160" s="329" t="s">
        <v>623</v>
      </c>
      <c r="C160" s="329"/>
      <c r="D160" s="329"/>
      <c r="I160" s="331" t="s">
        <v>531</v>
      </c>
    </row>
    <row r="161" spans="2:9">
      <c r="B161" t="s">
        <v>18</v>
      </c>
      <c r="C161" t="s">
        <v>140</v>
      </c>
      <c r="D161" s="329">
        <v>2250</v>
      </c>
      <c r="E161" s="12">
        <v>1140</v>
      </c>
      <c r="F161" s="12" t="s">
        <v>534</v>
      </c>
      <c r="G161" s="331" t="s">
        <v>584</v>
      </c>
      <c r="H161" s="331" t="s">
        <v>531</v>
      </c>
      <c r="I161" s="331" t="s">
        <v>531</v>
      </c>
    </row>
    <row r="162" spans="2:9" hidden="1">
      <c r="C162" s="329" t="s">
        <v>624</v>
      </c>
      <c r="D162" s="329"/>
      <c r="F162" s="12" t="s">
        <v>534</v>
      </c>
      <c r="I162" s="331" t="s">
        <v>531</v>
      </c>
    </row>
    <row r="163" spans="2:9">
      <c r="C163" t="s">
        <v>25</v>
      </c>
      <c r="D163" s="329">
        <v>280</v>
      </c>
      <c r="E163" s="12">
        <v>1276</v>
      </c>
      <c r="F163" s="12" t="s">
        <v>534</v>
      </c>
      <c r="I163" s="331" t="s">
        <v>531</v>
      </c>
    </row>
    <row r="164" spans="2:9" hidden="1">
      <c r="C164" s="329" t="s">
        <v>625</v>
      </c>
      <c r="D164" s="329"/>
      <c r="F164" s="12" t="s">
        <v>534</v>
      </c>
      <c r="I164" s="331" t="s">
        <v>531</v>
      </c>
    </row>
    <row r="165" spans="2:9">
      <c r="C165" t="s">
        <v>19</v>
      </c>
      <c r="D165" s="329">
        <v>200</v>
      </c>
      <c r="E165" s="12">
        <v>1528</v>
      </c>
      <c r="F165" s="12" t="s">
        <v>534</v>
      </c>
      <c r="I165" s="331" t="s">
        <v>531</v>
      </c>
    </row>
    <row r="166" spans="2:9" hidden="1">
      <c r="C166" s="329" t="s">
        <v>626</v>
      </c>
      <c r="D166" s="329"/>
      <c r="F166" s="12" t="s">
        <v>534</v>
      </c>
      <c r="I166" s="331" t="s">
        <v>531</v>
      </c>
    </row>
    <row r="167" spans="2:9">
      <c r="C167" t="s">
        <v>35</v>
      </c>
      <c r="D167" s="329">
        <v>340</v>
      </c>
      <c r="E167" s="12">
        <v>2059</v>
      </c>
      <c r="F167" s="12" t="s">
        <v>534</v>
      </c>
      <c r="G167" s="331" t="s">
        <v>584</v>
      </c>
      <c r="H167" s="331" t="s">
        <v>531</v>
      </c>
      <c r="I167" s="331" t="s">
        <v>531</v>
      </c>
    </row>
    <row r="168" spans="2:9">
      <c r="C168" s="329" t="s">
        <v>627</v>
      </c>
      <c r="D168" s="329"/>
      <c r="E168" s="12">
        <v>1372</v>
      </c>
      <c r="F168" s="12" t="s">
        <v>534</v>
      </c>
      <c r="I168" s="331" t="s">
        <v>531</v>
      </c>
    </row>
    <row r="169" spans="2:9" hidden="1">
      <c r="C169" t="s">
        <v>20</v>
      </c>
      <c r="D169" s="329">
        <v>175</v>
      </c>
      <c r="I169" s="331" t="s">
        <v>531</v>
      </c>
    </row>
    <row r="170" spans="2:9" hidden="1">
      <c r="D170" s="329">
        <v>187</v>
      </c>
      <c r="I170" s="331" t="s">
        <v>531</v>
      </c>
    </row>
    <row r="171" spans="2:9">
      <c r="C171" s="329" t="s">
        <v>628</v>
      </c>
      <c r="D171" s="329"/>
      <c r="E171" s="12">
        <v>302</v>
      </c>
      <c r="F171" s="12">
        <v>414</v>
      </c>
      <c r="G171" s="331" t="s">
        <v>584</v>
      </c>
      <c r="H171" s="331" t="s">
        <v>531</v>
      </c>
      <c r="I171" s="331" t="s">
        <v>531</v>
      </c>
    </row>
    <row r="172" spans="2:9" hidden="1">
      <c r="B172" s="329" t="s">
        <v>629</v>
      </c>
      <c r="C172" s="329"/>
      <c r="D172" s="329"/>
      <c r="I172" s="331" t="s">
        <v>531</v>
      </c>
    </row>
    <row r="173" spans="2:9" hidden="1">
      <c r="B173" t="s">
        <v>39</v>
      </c>
      <c r="C173" t="s">
        <v>40</v>
      </c>
      <c r="D173" s="329">
        <v>2250</v>
      </c>
      <c r="I173" s="331" t="s">
        <v>531</v>
      </c>
    </row>
    <row r="174" spans="2:9">
      <c r="C174" s="329" t="s">
        <v>630</v>
      </c>
      <c r="D174" s="329"/>
      <c r="E174" s="12">
        <v>600</v>
      </c>
      <c r="F174" s="12">
        <v>6012</v>
      </c>
      <c r="G174" s="331" t="s">
        <v>584</v>
      </c>
      <c r="H174" s="331" t="s">
        <v>531</v>
      </c>
      <c r="I174" s="331" t="s">
        <v>531</v>
      </c>
    </row>
    <row r="175" spans="2:9" hidden="1">
      <c r="B175" s="329" t="s">
        <v>631</v>
      </c>
      <c r="C175" s="329"/>
      <c r="D175" s="329"/>
    </row>
    <row r="176" spans="2:9" hidden="1">
      <c r="B176" t="s">
        <v>76</v>
      </c>
      <c r="C176" t="s">
        <v>77</v>
      </c>
      <c r="D176" s="329">
        <v>8000</v>
      </c>
    </row>
    <row r="177" spans="1:4" hidden="1">
      <c r="C177" s="329" t="s">
        <v>632</v>
      </c>
      <c r="D177" s="329"/>
    </row>
    <row r="178" spans="1:4" hidden="1">
      <c r="B178" s="329" t="s">
        <v>633</v>
      </c>
      <c r="C178" s="329"/>
      <c r="D178" s="329"/>
    </row>
    <row r="179" spans="1:4" hidden="1">
      <c r="A179" s="329" t="s">
        <v>634</v>
      </c>
      <c r="B179" s="329"/>
      <c r="C179" s="329"/>
      <c r="D179" s="329"/>
    </row>
    <row r="180" spans="1:4" hidden="1">
      <c r="A180" t="s">
        <v>544</v>
      </c>
      <c r="B180" t="s">
        <v>544</v>
      </c>
      <c r="C180" t="s">
        <v>544</v>
      </c>
      <c r="D180" t="s">
        <v>544</v>
      </c>
    </row>
    <row r="181" spans="1:4" hidden="1">
      <c r="C181" s="329" t="s">
        <v>635</v>
      </c>
      <c r="D181" s="329"/>
    </row>
    <row r="182" spans="1:4">
      <c r="B182" s="329" t="s">
        <v>635</v>
      </c>
      <c r="C182" s="329"/>
      <c r="D182" s="329"/>
    </row>
    <row r="183" spans="1:4">
      <c r="A183" s="329" t="s">
        <v>635</v>
      </c>
      <c r="B183" s="329"/>
      <c r="C183" s="329"/>
      <c r="D183" s="329"/>
    </row>
    <row r="184" spans="1:4">
      <c r="A184" s="329" t="s">
        <v>636</v>
      </c>
      <c r="B184" s="329"/>
      <c r="C184" s="329"/>
      <c r="D184" s="329"/>
    </row>
    <row r="185" spans="1:4">
      <c r="D185"/>
    </row>
    <row r="186" spans="1:4">
      <c r="D186"/>
    </row>
    <row r="187" spans="1:4">
      <c r="D187"/>
    </row>
    <row r="188" spans="1:4">
      <c r="D188"/>
    </row>
    <row r="189" spans="1:4">
      <c r="D189"/>
    </row>
    <row r="190" spans="1:4">
      <c r="D190"/>
    </row>
    <row r="191" spans="1:4">
      <c r="D191"/>
    </row>
    <row r="192" spans="1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91CC-CAD7-4FA2-9047-0F992C446A50}">
  <dimension ref="A1:AM77"/>
  <sheetViews>
    <sheetView showGridLines="0" workbookViewId="0">
      <pane xSplit="6" ySplit="5" topLeftCell="U23" activePane="bottomRight" state="frozen"/>
      <selection pane="topRight"/>
      <selection pane="bottomLeft"/>
      <selection pane="bottomRight" activeCell="U23" sqref="U23"/>
    </sheetView>
  </sheetViews>
  <sheetFormatPr defaultRowHeight="14.4"/>
  <cols>
    <col min="1" max="2" width="28.6640625" customWidth="1"/>
    <col min="4" max="4" width="11.33203125" bestFit="1" customWidth="1"/>
    <col min="5" max="5" width="12" bestFit="1" customWidth="1"/>
    <col min="6" max="6" width="16" bestFit="1" customWidth="1"/>
    <col min="7" max="7" width="9.109375" style="12"/>
    <col min="8" max="8" width="4" customWidth="1"/>
    <col min="9" max="9" width="4.5546875" customWidth="1"/>
    <col min="10" max="11" width="4" customWidth="1"/>
    <col min="12" max="12" width="3.6640625" customWidth="1"/>
    <col min="13" max="13" width="4" hidden="1" customWidth="1"/>
    <col min="14" max="14" width="4.44140625" customWidth="1"/>
    <col min="15" max="21" width="4" customWidth="1"/>
    <col min="22" max="22" width="9.109375" customWidth="1"/>
    <col min="23" max="23" width="5" hidden="1" customWidth="1"/>
    <col min="24" max="27" width="3" hidden="1" customWidth="1"/>
    <col min="28" max="28" width="9.109375" customWidth="1"/>
    <col min="31" max="31" width="32.6640625" customWidth="1"/>
  </cols>
  <sheetData>
    <row r="1" spans="1:39">
      <c r="A1" t="s">
        <v>637</v>
      </c>
      <c r="B1">
        <f>COUNTA('Bereketli Satış'!D:D)-1</f>
        <v>75</v>
      </c>
      <c r="H1" s="401" t="s">
        <v>638</v>
      </c>
      <c r="I1" s="402"/>
      <c r="J1" s="402"/>
      <c r="K1" s="402"/>
      <c r="L1" s="403"/>
      <c r="M1" s="371"/>
      <c r="N1" s="390" t="s">
        <v>639</v>
      </c>
      <c r="O1" s="391"/>
      <c r="P1" s="391"/>
      <c r="Q1" s="391"/>
      <c r="R1" s="391"/>
      <c r="S1" s="391"/>
      <c r="T1" s="391"/>
      <c r="U1" s="391"/>
      <c r="V1" s="392"/>
      <c r="W1" s="369"/>
      <c r="X1" s="390" t="s">
        <v>640</v>
      </c>
      <c r="Y1" s="391"/>
      <c r="Z1" s="391"/>
      <c r="AA1" s="392"/>
    </row>
    <row r="2" spans="1:39">
      <c r="A2" s="375" t="str">
        <f>IF(B1=G74,"Tablo Güncel","Tabloda Eksik Var")</f>
        <v>Tabloda Eksik Var</v>
      </c>
      <c r="B2" s="376"/>
      <c r="H2" s="404"/>
      <c r="I2" s="405"/>
      <c r="J2" s="405"/>
      <c r="K2" s="405"/>
      <c r="L2" s="406"/>
      <c r="M2" s="372"/>
      <c r="N2" s="393"/>
      <c r="O2" s="394"/>
      <c r="P2" s="394"/>
      <c r="Q2" s="394"/>
      <c r="R2" s="394"/>
      <c r="S2" s="394"/>
      <c r="T2" s="394"/>
      <c r="U2" s="394"/>
      <c r="V2" s="395"/>
      <c r="W2" s="370"/>
      <c r="X2" s="393"/>
      <c r="Y2" s="394"/>
      <c r="Z2" s="394"/>
      <c r="AA2" s="395"/>
    </row>
    <row r="3" spans="1:39">
      <c r="H3" s="404"/>
      <c r="I3" s="405"/>
      <c r="J3" s="405"/>
      <c r="K3" s="405"/>
      <c r="L3" s="406"/>
      <c r="M3" s="137"/>
      <c r="N3" s="393"/>
      <c r="O3" s="394"/>
      <c r="P3" s="394"/>
      <c r="Q3" s="394"/>
      <c r="R3" s="394"/>
      <c r="S3" s="394"/>
      <c r="T3" s="394"/>
      <c r="U3" s="394"/>
      <c r="V3" s="395"/>
      <c r="W3" s="370"/>
      <c r="X3" s="393"/>
      <c r="Y3" s="394"/>
      <c r="Z3" s="394"/>
      <c r="AA3" s="395"/>
    </row>
    <row r="4" spans="1:39" ht="140.4">
      <c r="H4" s="172" t="s">
        <v>179</v>
      </c>
      <c r="I4" s="173" t="s">
        <v>201</v>
      </c>
      <c r="J4" s="173" t="s">
        <v>189</v>
      </c>
      <c r="K4" s="173" t="s">
        <v>205</v>
      </c>
      <c r="L4" s="174" t="s">
        <v>236</v>
      </c>
      <c r="M4" s="158"/>
      <c r="N4" s="175" t="s">
        <v>190</v>
      </c>
      <c r="O4" s="176" t="s">
        <v>238</v>
      </c>
      <c r="P4" s="176" t="s">
        <v>200</v>
      </c>
      <c r="Q4" s="176" t="s">
        <v>236</v>
      </c>
      <c r="R4" s="176" t="s">
        <v>641</v>
      </c>
      <c r="S4" s="176" t="s">
        <v>202</v>
      </c>
      <c r="T4" s="176" t="s">
        <v>142</v>
      </c>
      <c r="U4" s="185" t="s">
        <v>179</v>
      </c>
      <c r="V4" s="177" t="s">
        <v>205</v>
      </c>
      <c r="W4" s="133"/>
      <c r="X4" s="134" t="s">
        <v>642</v>
      </c>
      <c r="Y4" s="135" t="s">
        <v>643</v>
      </c>
      <c r="Z4" s="135" t="s">
        <v>644</v>
      </c>
      <c r="AA4" s="136" t="s">
        <v>645</v>
      </c>
      <c r="AB4" t="s">
        <v>646</v>
      </c>
    </row>
    <row r="5" spans="1:39">
      <c r="D5" s="138" t="s">
        <v>0</v>
      </c>
      <c r="E5" s="139" t="s">
        <v>1</v>
      </c>
      <c r="F5" s="140" t="s">
        <v>2</v>
      </c>
      <c r="G5" s="171" t="s">
        <v>647</v>
      </c>
      <c r="AC5" s="387" t="s">
        <v>648</v>
      </c>
      <c r="AD5" s="407" t="s">
        <v>649</v>
      </c>
      <c r="AE5" s="407"/>
      <c r="AF5" s="407"/>
      <c r="AG5" s="407"/>
      <c r="AH5" s="407"/>
      <c r="AI5" s="407"/>
      <c r="AJ5" s="407"/>
      <c r="AK5" s="407"/>
      <c r="AL5" s="408"/>
      <c r="AM5" s="409"/>
    </row>
    <row r="6" spans="1:39">
      <c r="D6" s="141" t="s">
        <v>36</v>
      </c>
      <c r="E6" s="142" t="s">
        <v>37</v>
      </c>
      <c r="F6" s="143" t="s">
        <v>38</v>
      </c>
      <c r="G6" s="181">
        <f>COUNTIFS('Bereketli Satış'!D:D,D6,'Bereketli Satış'!$E:$E,E6,'Bereketli Satış'!$F:$F,F6)</f>
        <v>1</v>
      </c>
      <c r="H6" s="161">
        <f>COUNTIFS('Bereketli Satış'!$D:$D,D6,'Bereketli Satış'!$E:$E,E6,'Bereketli Satış'!$F:$F,F6,'Bereketli Satış'!$L:$L,$H$4)</f>
        <v>0</v>
      </c>
      <c r="I6" s="162">
        <f>COUNTIFS('Bereketli Satış'!$D:$D,D6,'Bereketli Satış'!$E:$E,E6,'Bereketli Satış'!$F:$F,F6,'Bereketli Satış'!$L:$L,$I$4)</f>
        <v>0</v>
      </c>
      <c r="J6" s="162">
        <f>COUNTIFS('Bereketli Satış'!$D:$D,D6,'Bereketli Satış'!$E:$E,E6,'Bereketli Satış'!$F:$F,F6,'Bereketli Satış'!$L:$L,$J$4)</f>
        <v>0</v>
      </c>
      <c r="K6" s="162">
        <f>COUNTIFS('Bereketli Satış'!$D:$D,D6,'Bereketli Satış'!$E:$E,E6,'Bereketli Satış'!$F:$F,F6,'Bereketli Satış'!$L:$L,$K$4)</f>
        <v>1</v>
      </c>
      <c r="L6" s="163">
        <f>COUNTIFS('Bereketli Satış'!$D:$D,D6,'Bereketli Satış'!$E:$E,E6,'Bereketli Satış'!$F:$F,F6,'Bereketli Satış'!$L:$L,$L$4)</f>
        <v>0</v>
      </c>
      <c r="M6" s="178">
        <f>SUM(H6:L6)</f>
        <v>1</v>
      </c>
      <c r="N6" s="161">
        <f>COUNTIFS('Bereketli Satış'!$D:$D,D6,'Bereketli Satış'!$E:$E,E6,'Bereketli Satış'!$F:$F,F6,'Bereketli Satış'!$M:$M,$N$4)</f>
        <v>0</v>
      </c>
      <c r="O6" s="162">
        <f>COUNTIFS('Bereketli Satış'!$D:$D,D6,'Bereketli Satış'!$E:$E,E6,'Bereketli Satış'!$F:$F,F6,'Bereketli Satış'!$M:$M,$O$4)</f>
        <v>0</v>
      </c>
      <c r="P6" s="162">
        <f>COUNTIFS('Bereketli Satış'!$D:$D,D6,'Bereketli Satış'!$E:$E,E6,'Bereketli Satış'!$F:$F,F6,'Bereketli Satış'!$M:$M,$P$4)</f>
        <v>0</v>
      </c>
      <c r="Q6" s="162">
        <f>COUNTIFS('Bereketli Satış'!$D:$D,D6,'Bereketli Satış'!$E:$E,E6,'Bereketli Satış'!$F:$F,F6,'Bereketli Satış'!$M:$M,$Q$4)</f>
        <v>0</v>
      </c>
      <c r="R6" s="162">
        <f>COUNTIFS('Bereketli Satış'!$D:$D,D6,'Bereketli Satış'!$E:$E,E6,'Bereketli Satış'!$F:$F,F6,'Bereketli Satış'!$M:$M,$R$4)</f>
        <v>0</v>
      </c>
      <c r="S6" s="162">
        <f>COUNTIFS('Bereketli Satış'!$D:$D,D6,'Bereketli Satış'!$E:$E,E6,'Bereketli Satış'!$F:$F,F6,'Bereketli Satış'!$M:$M,$S$4)</f>
        <v>0</v>
      </c>
      <c r="T6" s="169">
        <f>COUNTIFS('Bereketli Satış'!$D:$D,D6,'Bereketli Satış'!$E:$E,E6,'Bereketli Satış'!$F:$F,F6,'Bereketli Satış'!$M:$M,$T$4)</f>
        <v>0</v>
      </c>
      <c r="U6" s="162">
        <f>COUNTIFS('Bereketli Satış'!$D:$D,D6,'Bereketli Satış'!$E:$E,E6,'Bereketli Satış'!$F:$F,F6,'Bereketli Satış'!$M:$M,$U$4)</f>
        <v>1</v>
      </c>
      <c r="V6" s="182">
        <f>COUNTIFS('Bereketli Satış'!$D:$D,D6,'Bereketli Satış'!$E:$E,E6,'Bereketli Satış'!$F:$F,F6,'Bereketli Satış'!$M:$M,$V$4)</f>
        <v>0</v>
      </c>
      <c r="W6">
        <f>SUM(N6:V6)</f>
        <v>1</v>
      </c>
      <c r="AB6" t="str">
        <f t="shared" ref="AB6:AB37" si="0">IF(M6=W6,"Uygun","Verilerde Hata Var")</f>
        <v>Uygun</v>
      </c>
      <c r="AC6" s="388"/>
      <c r="AL6" s="410" t="s">
        <v>650</v>
      </c>
      <c r="AM6" s="411"/>
    </row>
    <row r="7" spans="1:39">
      <c r="D7" s="144" t="s">
        <v>84</v>
      </c>
      <c r="E7" s="142" t="s">
        <v>85</v>
      </c>
      <c r="F7" s="143" t="s">
        <v>86</v>
      </c>
      <c r="G7" s="181">
        <f>COUNTIFS('Bereketli Satış'!D:D,D7,'Bereketli Satış'!$E:$E,E7,'Bereketli Satış'!$F:$F,F7)</f>
        <v>1</v>
      </c>
      <c r="H7" s="164">
        <f>COUNTIFS('Bereketli Satış'!$D:$D,D7,'Bereketli Satış'!$E:$E,E7,'Bereketli Satış'!$F:$F,F7,'Bereketli Satış'!$L:$L,$H$4)</f>
        <v>0</v>
      </c>
      <c r="I7" s="159">
        <f>COUNTIFS('Bereketli Satış'!$D:$D,D7,'Bereketli Satış'!$E:$E,E7,'Bereketli Satış'!$F:$F,F7,'Bereketli Satış'!$L:$L,$I$4)</f>
        <v>0</v>
      </c>
      <c r="J7" s="159">
        <f>COUNTIFS('Bereketli Satış'!$D:$D,D7,'Bereketli Satış'!$E:$E,E7,'Bereketli Satış'!$F:$F,F7,'Bereketli Satış'!$L:$L,$J$4)</f>
        <v>0</v>
      </c>
      <c r="K7" s="159">
        <f>COUNTIFS('Bereketli Satış'!$D:$D,D7,'Bereketli Satış'!$E:$E,E7,'Bereketli Satış'!$F:$F,F7,'Bereketli Satış'!$L:$L,$K$4)</f>
        <v>0</v>
      </c>
      <c r="L7" s="165">
        <f>COUNTIFS('Bereketli Satış'!$D:$D,D7,'Bereketli Satış'!$E:$E,E7,'Bereketli Satış'!$F:$F,F7,'Bereketli Satış'!$L:$L,$L$4)</f>
        <v>1</v>
      </c>
      <c r="M7" s="179">
        <f t="shared" ref="M7:M72" si="1">SUM(H7:L7)</f>
        <v>1</v>
      </c>
      <c r="N7" s="164">
        <f>COUNTIFS('Bereketli Satış'!$D:$D,D7,'Bereketli Satış'!$E:$E,E7,'Bereketli Satış'!$F:$F,F7,'Bereketli Satış'!$M:$M,$N$4)</f>
        <v>0</v>
      </c>
      <c r="O7" s="159">
        <f>COUNTIFS('Bereketli Satış'!$D:$D,D7,'Bereketli Satış'!$E:$E,E7,'Bereketli Satış'!$F:$F,F7,'Bereketli Satış'!$M:$M,$O$4)</f>
        <v>0</v>
      </c>
      <c r="P7" s="159">
        <f>COUNTIFS('Bereketli Satış'!$D:$D,D7,'Bereketli Satış'!$E:$E,E7,'Bereketli Satış'!$F:$F,F7,'Bereketli Satış'!$M:$M,$P$4)</f>
        <v>0</v>
      </c>
      <c r="Q7" s="159">
        <f>COUNTIFS('Bereketli Satış'!$D:$D,D7,'Bereketli Satış'!$E:$E,E7,'Bereketli Satış'!$F:$F,F7,'Bereketli Satış'!$M:$M,$Q$4)</f>
        <v>0</v>
      </c>
      <c r="R7" s="159">
        <f>COUNTIFS('Bereketli Satış'!$D:$D,D7,'Bereketli Satış'!$E:$E,E7,'Bereketli Satış'!$F:$F,F7,'Bereketli Satış'!$M:$M,$R$4)</f>
        <v>0</v>
      </c>
      <c r="S7" s="159">
        <f>COUNTIFS('Bereketli Satış'!$D:$D,D7,'Bereketli Satış'!$E:$E,E7,'Bereketli Satış'!$F:$F,F7,'Bereketli Satış'!$M:$M,$S$4)</f>
        <v>1</v>
      </c>
      <c r="T7" s="160">
        <f>COUNTIFS('Bereketli Satış'!$D:$D,D7,'Bereketli Satış'!$E:$E,E7,'Bereketli Satış'!$F:$F,F7,'Bereketli Satış'!$M:$M,$T$4)</f>
        <v>0</v>
      </c>
      <c r="U7" s="159">
        <f>COUNTIFS('Bereketli Satış'!$D:$D,D7,'Bereketli Satış'!$E:$E,E7,'Bereketli Satış'!$F:$F,F7,'Bereketli Satış'!$M:$M,$U$4)</f>
        <v>0</v>
      </c>
      <c r="V7" s="183">
        <f>COUNTIFS('Bereketli Satış'!$D:$D,D7,'Bereketli Satış'!$E:$E,E7,'Bereketli Satış'!$F:$F,F7,'Bereketli Satış'!$M:$M,$V$4)</f>
        <v>0</v>
      </c>
      <c r="W7">
        <f t="shared" ref="W7:W72" si="2">SUM(N7:V7)</f>
        <v>1</v>
      </c>
      <c r="AB7" t="str">
        <f t="shared" si="0"/>
        <v>Uygun</v>
      </c>
      <c r="AC7" s="388"/>
      <c r="AE7" s="396" t="s">
        <v>651</v>
      </c>
      <c r="AF7" s="397"/>
      <c r="AG7" s="397"/>
      <c r="AH7" s="397"/>
      <c r="AI7" s="397"/>
      <c r="AJ7" s="397"/>
      <c r="AK7" s="397"/>
      <c r="AL7" s="412">
        <f>N73+Q73+S73</f>
        <v>14</v>
      </c>
      <c r="AM7" s="413"/>
    </row>
    <row r="8" spans="1:39">
      <c r="D8" s="145" t="s">
        <v>30</v>
      </c>
      <c r="E8" s="142" t="s">
        <v>31</v>
      </c>
      <c r="F8" s="143" t="s">
        <v>32</v>
      </c>
      <c r="G8" s="181">
        <f>COUNTIFS('Bereketli Satış'!D:D,D8,'Bereketli Satış'!$E:$E,E8,'Bereketli Satış'!$F:$F,F8)</f>
        <v>1</v>
      </c>
      <c r="H8" s="164">
        <f>COUNTIFS('Bereketli Satış'!$D:$D,D8,'Bereketli Satış'!$E:$E,E8,'Bereketli Satış'!$F:$F,F8,'Bereketli Satış'!$L:$L,$H$4)</f>
        <v>1</v>
      </c>
      <c r="I8" s="159">
        <f>COUNTIFS('Bereketli Satış'!$D:$D,D8,'Bereketli Satış'!$E:$E,E8,'Bereketli Satış'!$F:$F,F8,'Bereketli Satış'!$L:$L,$I$4)</f>
        <v>0</v>
      </c>
      <c r="J8" s="159">
        <f>COUNTIFS('Bereketli Satış'!$D:$D,D8,'Bereketli Satış'!$E:$E,E8,'Bereketli Satış'!$F:$F,F8,'Bereketli Satış'!$L:$L,$J$4)</f>
        <v>0</v>
      </c>
      <c r="K8" s="159">
        <f>COUNTIFS('Bereketli Satış'!$D:$D,D8,'Bereketli Satış'!$E:$E,E8,'Bereketli Satış'!$F:$F,F8,'Bereketli Satış'!$L:$L,$K$4)</f>
        <v>0</v>
      </c>
      <c r="L8" s="165">
        <f>COUNTIFS('Bereketli Satış'!$D:$D,D8,'Bereketli Satış'!$E:$E,E8,'Bereketli Satış'!$F:$F,F8,'Bereketli Satış'!$L:$L,$L$4)</f>
        <v>0</v>
      </c>
      <c r="M8" s="179">
        <f t="shared" si="1"/>
        <v>1</v>
      </c>
      <c r="N8" s="164">
        <f>COUNTIFS('Bereketli Satış'!$D:$D,D8,'Bereketli Satış'!$E:$E,E8,'Bereketli Satış'!$F:$F,F8,'Bereketli Satış'!$M:$M,$N$4)</f>
        <v>0</v>
      </c>
      <c r="O8" s="159">
        <f>COUNTIFS('Bereketli Satış'!$D:$D,D8,'Bereketli Satış'!$E:$E,E8,'Bereketli Satış'!$F:$F,F8,'Bereketli Satış'!$M:$M,$O$4)</f>
        <v>0</v>
      </c>
      <c r="P8" s="159">
        <f>COUNTIFS('Bereketli Satış'!$D:$D,D8,'Bereketli Satış'!$E:$E,E8,'Bereketli Satış'!$F:$F,F8,'Bereketli Satış'!$M:$M,$P$4)</f>
        <v>0</v>
      </c>
      <c r="Q8" s="159">
        <f>COUNTIFS('Bereketli Satış'!$D:$D,D8,'Bereketli Satış'!$E:$E,E8,'Bereketli Satış'!$F:$F,F8,'Bereketli Satış'!$M:$M,$Q$4)</f>
        <v>0</v>
      </c>
      <c r="R8" s="159">
        <f>COUNTIFS('Bereketli Satış'!$D:$D,D8,'Bereketli Satış'!$E:$E,E8,'Bereketli Satış'!$F:$F,F8,'Bereketli Satış'!$M:$M,$R$4)</f>
        <v>0</v>
      </c>
      <c r="S8" s="159">
        <f>COUNTIFS('Bereketli Satış'!$D:$D,D8,'Bereketli Satış'!$E:$E,E8,'Bereketli Satış'!$F:$F,F8,'Bereketli Satış'!$M:$M,$S$4)</f>
        <v>1</v>
      </c>
      <c r="T8" s="160">
        <f>COUNTIFS('Bereketli Satış'!$D:$D,D8,'Bereketli Satış'!$E:$E,E8,'Bereketli Satış'!$F:$F,F8,'Bereketli Satış'!$M:$M,$T$4)</f>
        <v>0</v>
      </c>
      <c r="U8" s="159">
        <f>COUNTIFS('Bereketli Satış'!$D:$D,D8,'Bereketli Satış'!$E:$E,E8,'Bereketli Satış'!$F:$F,F8,'Bereketli Satış'!$M:$M,$U$4)</f>
        <v>0</v>
      </c>
      <c r="V8" s="183">
        <f>COUNTIFS('Bereketli Satış'!$D:$D,D8,'Bereketli Satış'!$E:$E,E8,'Bereketli Satış'!$F:$F,F8,'Bereketli Satış'!$M:$M,$V$4)</f>
        <v>0</v>
      </c>
      <c r="W8">
        <f t="shared" si="2"/>
        <v>1</v>
      </c>
      <c r="AB8" t="str">
        <f t="shared" si="0"/>
        <v>Uygun</v>
      </c>
      <c r="AC8" s="388"/>
      <c r="AE8" s="398" t="s">
        <v>652</v>
      </c>
      <c r="AF8" s="399"/>
      <c r="AG8" s="399"/>
      <c r="AH8" s="399"/>
      <c r="AI8" s="399"/>
      <c r="AJ8" s="399"/>
      <c r="AK8" s="399"/>
      <c r="AL8" s="414">
        <f>O73+P73+R73+T73</f>
        <v>22</v>
      </c>
      <c r="AM8" s="415"/>
    </row>
    <row r="9" spans="1:39">
      <c r="D9" s="145" t="s">
        <v>30</v>
      </c>
      <c r="E9" s="142" t="s">
        <v>208</v>
      </c>
      <c r="F9" s="143" t="s">
        <v>209</v>
      </c>
      <c r="G9" s="181">
        <f>COUNTIFS('Bereketli Satış'!D:D,D9,'Bereketli Satış'!$E:$E,E9,'Bereketli Satış'!$F:$F,F9)</f>
        <v>1</v>
      </c>
      <c r="H9" s="164">
        <f>COUNTIFS('Bereketli Satış'!$D:$D,D9,'Bereketli Satış'!$E:$E,E9,'Bereketli Satış'!$F:$F,F9,'Bereketli Satış'!$L:$L,$H$4)</f>
        <v>1</v>
      </c>
      <c r="I9" s="159">
        <f>COUNTIFS('Bereketli Satış'!$D:$D,D9,'Bereketli Satış'!$E:$E,E9,'Bereketli Satış'!$F:$F,F9,'Bereketli Satış'!$L:$L,$I$4)</f>
        <v>0</v>
      </c>
      <c r="J9" s="159">
        <f>COUNTIFS('Bereketli Satış'!$D:$D,D9,'Bereketli Satış'!$E:$E,E9,'Bereketli Satış'!$F:$F,F9,'Bereketli Satış'!$L:$L,$J$4)</f>
        <v>0</v>
      </c>
      <c r="K9" s="159">
        <f>COUNTIFS('Bereketli Satış'!$D:$D,D9,'Bereketli Satış'!$E:$E,E9,'Bereketli Satış'!$F:$F,F9,'Bereketli Satış'!$L:$L,$K$4)</f>
        <v>0</v>
      </c>
      <c r="L9" s="165">
        <f>COUNTIFS('Bereketli Satış'!$D:$D,D9,'Bereketli Satış'!$E:$E,E9,'Bereketli Satış'!$F:$F,F9,'Bereketli Satış'!$L:$L,$L$4)</f>
        <v>0</v>
      </c>
      <c r="M9" s="179">
        <f t="shared" ref="M9" si="3">SUM(H9:L9)</f>
        <v>1</v>
      </c>
      <c r="N9" s="164">
        <f>COUNTIFS('Bereketli Satış'!$D:$D,D9,'Bereketli Satış'!$E:$E,E9,'Bereketli Satış'!$F:$F,F9,'Bereketli Satış'!$M:$M,$N$4)</f>
        <v>0</v>
      </c>
      <c r="O9" s="159">
        <f>COUNTIFS('Bereketli Satış'!$D:$D,D9,'Bereketli Satış'!$E:$E,E9,'Bereketli Satış'!$F:$F,F9,'Bereketli Satış'!$M:$M,$O$4)</f>
        <v>0</v>
      </c>
      <c r="P9" s="159">
        <f>COUNTIFS('Bereketli Satış'!$D:$D,D9,'Bereketli Satış'!$E:$E,E9,'Bereketli Satış'!$F:$F,F9,'Bereketli Satış'!$M:$M,$P$4)</f>
        <v>1</v>
      </c>
      <c r="Q9" s="159">
        <f>COUNTIFS('Bereketli Satış'!$D:$D,D9,'Bereketli Satış'!$E:$E,E9,'Bereketli Satış'!$F:$F,F9,'Bereketli Satış'!$M:$M,$Q$4)</f>
        <v>0</v>
      </c>
      <c r="R9" s="159">
        <f>COUNTIFS('Bereketli Satış'!$D:$D,D9,'Bereketli Satış'!$E:$E,E9,'Bereketli Satış'!$F:$F,F9,'Bereketli Satış'!$M:$M,$R$4)</f>
        <v>0</v>
      </c>
      <c r="S9" s="159">
        <f>COUNTIFS('Bereketli Satış'!$D:$D,D9,'Bereketli Satış'!$E:$E,E9,'Bereketli Satış'!$F:$F,F9,'Bereketli Satış'!$M:$M,$S$4)</f>
        <v>0</v>
      </c>
      <c r="T9" s="160">
        <f>COUNTIFS('Bereketli Satış'!$D:$D,D9,'Bereketli Satış'!$E:$E,E9,'Bereketli Satış'!$F:$F,F9,'Bereketli Satış'!$M:$M,$T$4)</f>
        <v>0</v>
      </c>
      <c r="U9" s="159">
        <f>COUNTIFS('Bereketli Satış'!$D:$D,D9,'Bereketli Satış'!$E:$E,E9,'Bereketli Satış'!$F:$F,F9,'Bereketli Satış'!$M:$M,$U$4)</f>
        <v>0</v>
      </c>
      <c r="V9" s="183">
        <f>COUNTIFS('Bereketli Satış'!$D:$D,D9,'Bereketli Satış'!$E:$E,E9,'Bereketli Satış'!$F:$F,F9,'Bereketli Satış'!$M:$M,$V$4)</f>
        <v>0</v>
      </c>
      <c r="W9">
        <f t="shared" si="2"/>
        <v>1</v>
      </c>
      <c r="AB9" t="str">
        <f t="shared" si="0"/>
        <v>Uygun</v>
      </c>
      <c r="AC9" s="388"/>
      <c r="AE9" s="377" t="s">
        <v>653</v>
      </c>
      <c r="AF9" s="378"/>
      <c r="AG9" s="378"/>
      <c r="AH9" s="378"/>
      <c r="AI9" s="378"/>
      <c r="AJ9" s="378"/>
      <c r="AK9" s="378"/>
      <c r="AL9" s="416">
        <f>AL8/AL7</f>
        <v>1.5714285714285714</v>
      </c>
      <c r="AM9" s="417"/>
    </row>
    <row r="10" spans="1:39">
      <c r="D10" s="145" t="s">
        <v>87</v>
      </c>
      <c r="E10" s="142" t="s">
        <v>88</v>
      </c>
      <c r="F10" s="143" t="s">
        <v>32</v>
      </c>
      <c r="G10" s="181">
        <f>COUNTIFS('Bereketli Satış'!D:D,D10,'Bereketli Satış'!$E:$E,E10,'Bereketli Satış'!$F:$F,F10)</f>
        <v>1</v>
      </c>
      <c r="H10" s="164">
        <f>COUNTIFS('Bereketli Satış'!$D:$D,D10,'Bereketli Satış'!$E:$E,E10,'Bereketli Satış'!$F:$F,F10,'Bereketli Satış'!$L:$L,$H$4)</f>
        <v>1</v>
      </c>
      <c r="I10" s="159">
        <f>COUNTIFS('Bereketli Satış'!$D:$D,D10,'Bereketli Satış'!$E:$E,E10,'Bereketli Satış'!$F:$F,F10,'Bereketli Satış'!$L:$L,$I$4)</f>
        <v>0</v>
      </c>
      <c r="J10" s="159">
        <f>COUNTIFS('Bereketli Satış'!$D:$D,D10,'Bereketli Satış'!$E:$E,E10,'Bereketli Satış'!$F:$F,F10,'Bereketli Satış'!$L:$L,$J$4)</f>
        <v>0</v>
      </c>
      <c r="K10" s="159">
        <f>COUNTIFS('Bereketli Satış'!$D:$D,D10,'Bereketli Satış'!$E:$E,E10,'Bereketli Satış'!$F:$F,F10,'Bereketli Satış'!$L:$L,$K$4)</f>
        <v>0</v>
      </c>
      <c r="L10" s="165">
        <f>COUNTIFS('Bereketli Satış'!$D:$D,D10,'Bereketli Satış'!$E:$E,E10,'Bereketli Satış'!$F:$F,F10,'Bereketli Satış'!$L:$L,$L$4)</f>
        <v>0</v>
      </c>
      <c r="M10" s="179">
        <f t="shared" si="1"/>
        <v>1</v>
      </c>
      <c r="N10" s="164">
        <f>COUNTIFS('Bereketli Satış'!$D:$D,D10,'Bereketli Satış'!$E:$E,E10,'Bereketli Satış'!$F:$F,F10,'Bereketli Satış'!$M:$M,$N$4)</f>
        <v>0</v>
      </c>
      <c r="O10" s="159">
        <f>COUNTIFS('Bereketli Satış'!$D:$D,D10,'Bereketli Satış'!$E:$E,E10,'Bereketli Satış'!$F:$F,F10,'Bereketli Satış'!$M:$M,$O$4)</f>
        <v>0</v>
      </c>
      <c r="P10" s="159">
        <f>COUNTIFS('Bereketli Satış'!$D:$D,D10,'Bereketli Satış'!$E:$E,E10,'Bereketli Satış'!$F:$F,F10,'Bereketli Satış'!$M:$M,$P$4)</f>
        <v>0</v>
      </c>
      <c r="Q10" s="159">
        <f>COUNTIFS('Bereketli Satış'!$D:$D,D10,'Bereketli Satış'!$E:$E,E10,'Bereketli Satış'!$F:$F,F10,'Bereketli Satış'!$M:$M,$Q$4)</f>
        <v>0</v>
      </c>
      <c r="R10" s="159">
        <f>COUNTIFS('Bereketli Satış'!$D:$D,D10,'Bereketli Satış'!$E:$E,E10,'Bereketli Satış'!$F:$F,F10,'Bereketli Satış'!$M:$M,$R$4)</f>
        <v>0</v>
      </c>
      <c r="S10" s="159">
        <f>COUNTIFS('Bereketli Satış'!$D:$D,D10,'Bereketli Satış'!$E:$E,E10,'Bereketli Satış'!$F:$F,F10,'Bereketli Satış'!$M:$M,$S$4)</f>
        <v>0</v>
      </c>
      <c r="T10" s="160">
        <f>COUNTIFS('Bereketli Satış'!$D:$D,D10,'Bereketli Satış'!$E:$E,E10,'Bereketli Satış'!$F:$F,F10,'Bereketli Satış'!$M:$M,$T$4)</f>
        <v>0</v>
      </c>
      <c r="U10" s="159">
        <f>COUNTIFS('Bereketli Satış'!$D:$D,D10,'Bereketli Satış'!$E:$E,E10,'Bereketli Satış'!$F:$F,F10,'Bereketli Satış'!$M:$M,$U$4)</f>
        <v>1</v>
      </c>
      <c r="V10" s="183">
        <f>COUNTIFS('Bereketli Satış'!$D:$D,D10,'Bereketli Satış'!$E:$E,E10,'Bereketli Satış'!$F:$F,F10,'Bereketli Satış'!$M:$M,$V$4)</f>
        <v>0</v>
      </c>
      <c r="W10">
        <f t="shared" si="2"/>
        <v>1</v>
      </c>
      <c r="AB10" t="str">
        <f t="shared" si="0"/>
        <v>Uygun</v>
      </c>
      <c r="AC10" s="388"/>
      <c r="AK10" s="12"/>
      <c r="AL10" s="192"/>
      <c r="AM10" s="189"/>
    </row>
    <row r="11" spans="1:39">
      <c r="D11" s="193" t="s">
        <v>186</v>
      </c>
      <c r="E11" s="194" t="s">
        <v>187</v>
      </c>
      <c r="F11" s="195" t="s">
        <v>283</v>
      </c>
      <c r="G11" s="181">
        <f>COUNTIFS('Bereketli Satış'!D:D,D11,'Bereketli Satış'!$E:$E,E11,'Bereketli Satış'!$F:$F,F11)</f>
        <v>1</v>
      </c>
      <c r="H11" s="164">
        <f>COUNTIFS('Bereketli Satış'!$D:$D,D11,'Bereketli Satış'!$E:$E,E11,'Bereketli Satış'!$F:$F,F11,'Bereketli Satış'!$L:$L,$H$4)</f>
        <v>0</v>
      </c>
      <c r="I11" s="159">
        <f>COUNTIFS('Bereketli Satış'!$D:$D,D11,'Bereketli Satış'!$E:$E,E11,'Bereketli Satış'!$F:$F,F11,'Bereketli Satış'!$L:$L,$I$4)</f>
        <v>0</v>
      </c>
      <c r="J11" s="159">
        <f>COUNTIFS('Bereketli Satış'!$D:$D,D11,'Bereketli Satış'!$E:$E,E11,'Bereketli Satış'!$F:$F,F11,'Bereketli Satış'!$L:$L,$J$4)</f>
        <v>0</v>
      </c>
      <c r="K11" s="159">
        <f>COUNTIFS('Bereketli Satış'!$D:$D,D11,'Bereketli Satış'!$E:$E,E11,'Bereketli Satış'!$F:$F,F11,'Bereketli Satış'!$L:$L,$K$4)</f>
        <v>0</v>
      </c>
      <c r="L11" s="165">
        <f>COUNTIFS('Bereketli Satış'!$D:$D,D11,'Bereketli Satış'!$E:$E,E11,'Bereketli Satış'!$F:$F,F11,'Bereketli Satış'!$L:$L,$L$4)</f>
        <v>1</v>
      </c>
      <c r="M11" s="179">
        <f t="shared" si="1"/>
        <v>1</v>
      </c>
      <c r="N11" s="164">
        <f>COUNTIFS('Bereketli Satış'!$D:$D,D11,'Bereketli Satış'!$E:$E,E11,'Bereketli Satış'!$F:$F,F11,'Bereketli Satış'!$M:$M,$N$4)</f>
        <v>0</v>
      </c>
      <c r="O11" s="159">
        <f>COUNTIFS('Bereketli Satış'!$D:$D,D11,'Bereketli Satış'!$E:$E,E11,'Bereketli Satış'!$F:$F,F11,'Bereketli Satış'!$M:$M,$O$4)</f>
        <v>0</v>
      </c>
      <c r="P11" s="159">
        <f>COUNTIFS('Bereketli Satış'!$D:$D,D11,'Bereketli Satış'!$E:$E,E11,'Bereketli Satış'!$F:$F,F11,'Bereketli Satış'!$M:$M,$P$4)</f>
        <v>0</v>
      </c>
      <c r="Q11" s="159">
        <f>COUNTIFS('Bereketli Satış'!$D:$D,D11,'Bereketli Satış'!$E:$E,E11,'Bereketli Satış'!$F:$F,F11,'Bereketli Satış'!$M:$M,$Q$4)</f>
        <v>1</v>
      </c>
      <c r="R11" s="159">
        <f>COUNTIFS('Bereketli Satış'!$D:$D,D11,'Bereketli Satış'!$E:$E,E11,'Bereketli Satış'!$F:$F,F11,'Bereketli Satış'!$M:$M,$R$4)</f>
        <v>0</v>
      </c>
      <c r="S11" s="159">
        <f>COUNTIFS('Bereketli Satış'!$D:$D,D11,'Bereketli Satış'!$E:$E,E11,'Bereketli Satış'!$F:$F,F11,'Bereketli Satış'!$M:$M,$S$4)</f>
        <v>0</v>
      </c>
      <c r="T11" s="160">
        <f>COUNTIFS('Bereketli Satış'!$D:$D,D11,'Bereketli Satış'!$E:$E,E11,'Bereketli Satış'!$F:$F,F11,'Bereketli Satış'!$M:$M,$T$4)</f>
        <v>0</v>
      </c>
      <c r="U11" s="159">
        <f>COUNTIFS('Bereketli Satış'!$D:$D,D11,'Bereketli Satış'!$E:$E,E11,'Bereketli Satış'!$F:$F,F11,'Bereketli Satış'!$M:$M,$U$4)</f>
        <v>0</v>
      </c>
      <c r="V11" s="183">
        <f>COUNTIFS('Bereketli Satış'!$D:$D,D11,'Bereketli Satış'!$E:$E,E11,'Bereketli Satış'!$F:$F,F11,'Bereketli Satış'!$M:$M,$V$4)</f>
        <v>0</v>
      </c>
      <c r="W11">
        <f t="shared" si="2"/>
        <v>1</v>
      </c>
      <c r="AB11" t="str">
        <f t="shared" si="0"/>
        <v>Uygun</v>
      </c>
      <c r="AC11" s="388"/>
      <c r="AE11" s="385" t="s">
        <v>654</v>
      </c>
      <c r="AF11" s="386"/>
      <c r="AG11" s="386"/>
      <c r="AH11" s="386"/>
      <c r="AI11" s="386"/>
      <c r="AJ11" s="386"/>
      <c r="AK11" s="386"/>
      <c r="AL11" s="418">
        <f>H73+K73</f>
        <v>33</v>
      </c>
      <c r="AM11" s="419"/>
    </row>
    <row r="12" spans="1:39">
      <c r="D12" s="252" t="s">
        <v>186</v>
      </c>
      <c r="E12" s="253" t="s">
        <v>187</v>
      </c>
      <c r="F12" s="195" t="s">
        <v>188</v>
      </c>
      <c r="G12" s="181">
        <f>COUNTIFS('Bereketli Satış'!D:D,D12,'Bereketli Satış'!$E:$E,E12,'Bereketli Satış'!$F:$F,F12)</f>
        <v>1</v>
      </c>
      <c r="H12" s="164">
        <f>COUNTIFS('Bereketli Satış'!$D:$D,D12,'Bereketli Satış'!$E:$E,E12,'Bereketli Satış'!$F:$F,F12,'Bereketli Satış'!$L:$L,$H$4)</f>
        <v>0</v>
      </c>
      <c r="I12" s="159">
        <f>COUNTIFS('Bereketli Satış'!$D:$D,D12,'Bereketli Satış'!$E:$E,E12,'Bereketli Satış'!$F:$F,F12,'Bereketli Satış'!$L:$L,$I$4)</f>
        <v>0</v>
      </c>
      <c r="J12" s="159">
        <f>COUNTIFS('Bereketli Satış'!$D:$D,D12,'Bereketli Satış'!$E:$E,E12,'Bereketli Satış'!$F:$F,F12,'Bereketli Satış'!$L:$L,$J$4)</f>
        <v>1</v>
      </c>
      <c r="K12" s="159">
        <f>COUNTIFS('Bereketli Satış'!$D:$D,D12,'Bereketli Satış'!$E:$E,E12,'Bereketli Satış'!$F:$F,F12,'Bereketli Satış'!$L:$L,$K$4)</f>
        <v>0</v>
      </c>
      <c r="L12" s="165">
        <f>COUNTIFS('Bereketli Satış'!$D:$D,D12,'Bereketli Satış'!$E:$E,E12,'Bereketli Satış'!$F:$F,F12,'Bereketli Satış'!$L:$L,$L$4)</f>
        <v>0</v>
      </c>
      <c r="M12" s="179">
        <f>SUM(H12:L12)</f>
        <v>1</v>
      </c>
      <c r="N12" s="164">
        <f>COUNTIFS('Bereketli Satış'!$D:$D,D12,'Bereketli Satış'!$E:$E,E12,'Bereketli Satış'!$F:$F,F12,'Bereketli Satış'!$M:$M,$N$4)</f>
        <v>1</v>
      </c>
      <c r="O12" s="159">
        <f>COUNTIFS('Bereketli Satış'!$D:$D,D12,'Bereketli Satış'!$E:$E,E12,'Bereketli Satış'!$F:$F,F12,'Bereketli Satış'!$M:$M,$O$4)</f>
        <v>0</v>
      </c>
      <c r="P12" s="159">
        <f>COUNTIFS('Bereketli Satış'!$D:$D,D12,'Bereketli Satış'!$E:$E,E12,'Bereketli Satış'!$F:$F,F12,'Bereketli Satış'!$M:$M,$P$4)</f>
        <v>0</v>
      </c>
      <c r="Q12" s="159">
        <f>COUNTIFS('Bereketli Satış'!$D:$D,D12,'Bereketli Satış'!$E:$E,E12,'Bereketli Satış'!$F:$F,F12,'Bereketli Satış'!$M:$M,$Q$4)</f>
        <v>0</v>
      </c>
      <c r="R12" s="159">
        <f>COUNTIFS('Bereketli Satış'!$D:$D,D12,'Bereketli Satış'!$E:$E,E12,'Bereketli Satış'!$F:$F,F12,'Bereketli Satış'!$M:$M,$R$4)</f>
        <v>0</v>
      </c>
      <c r="S12" s="159">
        <f>COUNTIFS('Bereketli Satış'!$D:$D,D12,'Bereketli Satış'!$E:$E,E12,'Bereketli Satış'!$F:$F,F12,'Bereketli Satış'!$M:$M,$S$4)</f>
        <v>0</v>
      </c>
      <c r="T12" s="160">
        <f>COUNTIFS('Bereketli Satış'!$D:$D,D12,'Bereketli Satış'!$E:$E,E12,'Bereketli Satış'!$F:$F,F12,'Bereketli Satış'!$M:$M,$T$4)</f>
        <v>0</v>
      </c>
      <c r="U12" s="159">
        <f>COUNTIFS('Bereketli Satış'!$D:$D,D12,'Bereketli Satış'!$E:$E,E12,'Bereketli Satış'!$F:$F,F12,'Bereketli Satış'!$M:$M,$U$4)</f>
        <v>0</v>
      </c>
      <c r="V12" s="183">
        <f>COUNTIFS('Bereketli Satış'!$D:$D,D12,'Bereketli Satış'!$E:$E,E12,'Bereketli Satış'!$F:$F,F12,'Bereketli Satış'!$M:$M,$V$4)</f>
        <v>0</v>
      </c>
      <c r="W12">
        <f>SUM(N12:V12)</f>
        <v>1</v>
      </c>
      <c r="AB12" t="str">
        <f t="shared" si="0"/>
        <v>Uygun</v>
      </c>
      <c r="AC12" s="388"/>
      <c r="AE12" s="367"/>
      <c r="AF12" s="368"/>
      <c r="AG12" s="368"/>
      <c r="AH12" s="368"/>
      <c r="AI12" s="368"/>
      <c r="AJ12" s="368"/>
      <c r="AK12" s="368"/>
      <c r="AL12" s="373"/>
      <c r="AM12" s="374"/>
    </row>
    <row r="13" spans="1:39">
      <c r="D13" s="146" t="s">
        <v>46</v>
      </c>
      <c r="E13" s="147" t="s">
        <v>47</v>
      </c>
      <c r="F13" s="143" t="s">
        <v>48</v>
      </c>
      <c r="G13" s="181">
        <f>COUNTIFS('Bereketli Satış'!D:D,D13,'Bereketli Satış'!$E:$E,E13,'Bereketli Satış'!$F:$F,F13)</f>
        <v>1</v>
      </c>
      <c r="H13" s="164">
        <f>COUNTIFS('Bereketli Satış'!$D:$D,D13,'Bereketli Satış'!$E:$E,E13,'Bereketli Satış'!$F:$F,F13,'Bereketli Satış'!$L:$L,$H$4)</f>
        <v>0</v>
      </c>
      <c r="I13" s="159">
        <f>COUNTIFS('Bereketli Satış'!$D:$D,D13,'Bereketli Satış'!$E:$E,E13,'Bereketli Satış'!$F:$F,F13,'Bereketli Satış'!$L:$L,$I$4)</f>
        <v>1</v>
      </c>
      <c r="J13" s="159">
        <f>COUNTIFS('Bereketli Satış'!$D:$D,D13,'Bereketli Satış'!$E:$E,E13,'Bereketli Satış'!$F:$F,F13,'Bereketli Satış'!$L:$L,$J$4)</f>
        <v>0</v>
      </c>
      <c r="K13" s="159">
        <f>COUNTIFS('Bereketli Satış'!$D:$D,D13,'Bereketli Satış'!$E:$E,E13,'Bereketli Satış'!$F:$F,F13,'Bereketli Satış'!$L:$L,$K$4)</f>
        <v>0</v>
      </c>
      <c r="L13" s="165">
        <f>COUNTIFS('Bereketli Satış'!$D:$D,D13,'Bereketli Satış'!$E:$E,E13,'Bereketli Satış'!$F:$F,F13,'Bereketli Satış'!$L:$L,$L$4)</f>
        <v>0</v>
      </c>
      <c r="M13" s="179">
        <f t="shared" si="1"/>
        <v>1</v>
      </c>
      <c r="N13" s="164">
        <f>COUNTIFS('Bereketli Satış'!$D:$D,D13,'Bereketli Satış'!$E:$E,E13,'Bereketli Satış'!$F:$F,F13,'Bereketli Satış'!$M:$M,$N$4)</f>
        <v>0</v>
      </c>
      <c r="O13" s="159">
        <f>COUNTIFS('Bereketli Satış'!$D:$D,D13,'Bereketli Satış'!$E:$E,E13,'Bereketli Satış'!$F:$F,F13,'Bereketli Satış'!$M:$M,$O$4)</f>
        <v>0</v>
      </c>
      <c r="P13" s="159">
        <f>COUNTIFS('Bereketli Satış'!$D:$D,D13,'Bereketli Satış'!$E:$E,E13,'Bereketli Satış'!$F:$F,F13,'Bereketli Satış'!$M:$M,$P$4)</f>
        <v>0</v>
      </c>
      <c r="Q13" s="159">
        <f>COUNTIFS('Bereketli Satış'!$D:$D,D13,'Bereketli Satış'!$E:$E,E13,'Bereketli Satış'!$F:$F,F13,'Bereketli Satış'!$M:$M,$Q$4)</f>
        <v>0</v>
      </c>
      <c r="R13" s="159">
        <f>COUNTIFS('Bereketli Satış'!$D:$D,D13,'Bereketli Satış'!$E:$E,E13,'Bereketli Satış'!$F:$F,F13,'Bereketli Satış'!$M:$M,$R$4)</f>
        <v>0</v>
      </c>
      <c r="S13" s="159">
        <f>COUNTIFS('Bereketli Satış'!$D:$D,D13,'Bereketli Satış'!$E:$E,E13,'Bereketli Satış'!$F:$F,F13,'Bereketli Satış'!$M:$M,$S$4)</f>
        <v>1</v>
      </c>
      <c r="T13" s="160">
        <f>COUNTIFS('Bereketli Satış'!$D:$D,D13,'Bereketli Satış'!$E:$E,E13,'Bereketli Satış'!$F:$F,F13,'Bereketli Satış'!$M:$M,$T$4)</f>
        <v>0</v>
      </c>
      <c r="U13" s="159">
        <f>COUNTIFS('Bereketli Satış'!$D:$D,D13,'Bereketli Satış'!$E:$E,E13,'Bereketli Satış'!$F:$F,F13,'Bereketli Satış'!$M:$M,$U$4)</f>
        <v>0</v>
      </c>
      <c r="V13" s="183">
        <f>COUNTIFS('Bereketli Satış'!$D:$D,D13,'Bereketli Satış'!$E:$E,E13,'Bereketli Satış'!$F:$F,F13,'Bereketli Satış'!$M:$M,$V$4)</f>
        <v>0</v>
      </c>
      <c r="W13">
        <f t="shared" si="2"/>
        <v>1</v>
      </c>
      <c r="AB13" t="str">
        <f t="shared" si="0"/>
        <v>Uygun</v>
      </c>
      <c r="AC13" s="388"/>
      <c r="AE13" s="381" t="s">
        <v>655</v>
      </c>
      <c r="AF13" s="382"/>
      <c r="AG13" s="382"/>
      <c r="AH13" s="382"/>
      <c r="AI13" s="382"/>
      <c r="AJ13" s="382"/>
      <c r="AK13" s="382"/>
      <c r="AL13" s="412">
        <f>G74-AL11</f>
        <v>34</v>
      </c>
      <c r="AM13" s="413"/>
    </row>
    <row r="14" spans="1:39">
      <c r="D14" s="148" t="s">
        <v>46</v>
      </c>
      <c r="E14" s="142" t="s">
        <v>47</v>
      </c>
      <c r="F14" s="143" t="s">
        <v>70</v>
      </c>
      <c r="G14" s="181">
        <f>COUNTIFS('Bereketli Satış'!D:D,D14,'Bereketli Satış'!$E:$E,E14,'Bereketli Satış'!$F:$F,F14)</f>
        <v>1</v>
      </c>
      <c r="H14" s="164">
        <f>COUNTIFS('Bereketli Satış'!$D:$D,D14,'Bereketli Satış'!$E:$E,E14,'Bereketli Satış'!$F:$F,F14,'Bereketli Satış'!$L:$L,$H$4)</f>
        <v>1</v>
      </c>
      <c r="I14" s="159">
        <f>COUNTIFS('Bereketli Satış'!$D:$D,D14,'Bereketli Satış'!$E:$E,E14,'Bereketli Satış'!$F:$F,F14,'Bereketli Satış'!$L:$L,$I$4)</f>
        <v>0</v>
      </c>
      <c r="J14" s="159">
        <f>COUNTIFS('Bereketli Satış'!$D:$D,D14,'Bereketli Satış'!$E:$E,E14,'Bereketli Satış'!$F:$F,F14,'Bereketli Satış'!$L:$L,$J$4)</f>
        <v>0</v>
      </c>
      <c r="K14" s="159">
        <f>COUNTIFS('Bereketli Satış'!$D:$D,D14,'Bereketli Satış'!$E:$E,E14,'Bereketli Satış'!$F:$F,F14,'Bereketli Satış'!$L:$L,$K$4)</f>
        <v>0</v>
      </c>
      <c r="L14" s="165">
        <f>COUNTIFS('Bereketli Satış'!$D:$D,D14,'Bereketli Satış'!$E:$E,E14,'Bereketli Satış'!$F:$F,F14,'Bereketli Satış'!$L:$L,$L$4)</f>
        <v>0</v>
      </c>
      <c r="M14" s="179">
        <f t="shared" si="1"/>
        <v>1</v>
      </c>
      <c r="N14" s="164">
        <f>COUNTIFS('Bereketli Satış'!$D:$D,D14,'Bereketli Satış'!$E:$E,E14,'Bereketli Satış'!$F:$F,F14,'Bereketli Satış'!$M:$M,$N$4)</f>
        <v>0</v>
      </c>
      <c r="O14" s="159">
        <f>COUNTIFS('Bereketli Satış'!$D:$D,D14,'Bereketli Satış'!$E:$E,E14,'Bereketli Satış'!$F:$F,F14,'Bereketli Satış'!$M:$M,$O$4)</f>
        <v>0</v>
      </c>
      <c r="P14" s="159">
        <f>COUNTIFS('Bereketli Satış'!$D:$D,D14,'Bereketli Satış'!$E:$E,E14,'Bereketli Satış'!$F:$F,F14,'Bereketli Satış'!$M:$M,$P$4)</f>
        <v>0</v>
      </c>
      <c r="Q14" s="159">
        <f>COUNTIFS('Bereketli Satış'!$D:$D,D14,'Bereketli Satış'!$E:$E,E14,'Bereketli Satış'!$F:$F,F14,'Bereketli Satış'!$M:$M,$Q$4)</f>
        <v>0</v>
      </c>
      <c r="R14" s="159">
        <f>COUNTIFS('Bereketli Satış'!$D:$D,D14,'Bereketli Satış'!$E:$E,E14,'Bereketli Satış'!$F:$F,F14,'Bereketli Satış'!$M:$M,$R$4)</f>
        <v>0</v>
      </c>
      <c r="S14" s="159">
        <f>COUNTIFS('Bereketli Satış'!$D:$D,D14,'Bereketli Satış'!$E:$E,E14,'Bereketli Satış'!$F:$F,F14,'Bereketli Satış'!$M:$M,$S$4)</f>
        <v>0</v>
      </c>
      <c r="T14" s="160">
        <f>COUNTIFS('Bereketli Satış'!$D:$D,D14,'Bereketli Satış'!$E:$E,E14,'Bereketli Satış'!$F:$F,F14,'Bereketli Satış'!$M:$M,$T$4)</f>
        <v>0</v>
      </c>
      <c r="U14" s="159">
        <f>COUNTIFS('Bereketli Satış'!$D:$D,D14,'Bereketli Satış'!$E:$E,E14,'Bereketli Satış'!$F:$F,F14,'Bereketli Satış'!$M:$M,$U$4)</f>
        <v>1</v>
      </c>
      <c r="V14" s="183">
        <f>COUNTIFS('Bereketli Satış'!$D:$D,D14,'Bereketli Satış'!$E:$E,E14,'Bereketli Satış'!$F:$F,F14,'Bereketli Satış'!$M:$M,$V$4)</f>
        <v>0</v>
      </c>
      <c r="W14">
        <f t="shared" si="2"/>
        <v>1</v>
      </c>
      <c r="AB14" t="str">
        <f t="shared" si="0"/>
        <v>Uygun</v>
      </c>
      <c r="AC14" s="388"/>
      <c r="AE14" s="381" t="s">
        <v>656</v>
      </c>
      <c r="AF14" s="382"/>
      <c r="AG14" s="382"/>
      <c r="AH14" s="382"/>
      <c r="AI14" s="382"/>
      <c r="AJ14" s="382"/>
      <c r="AK14" s="382"/>
      <c r="AL14" s="412">
        <f>AL7</f>
        <v>14</v>
      </c>
      <c r="AM14" s="413"/>
    </row>
    <row r="15" spans="1:39">
      <c r="D15" s="149" t="s">
        <v>81</v>
      </c>
      <c r="E15" s="147" t="s">
        <v>102</v>
      </c>
      <c r="F15" s="143" t="s">
        <v>256</v>
      </c>
      <c r="G15" s="181">
        <f>COUNTIFS('Bereketli Satış'!D:D,D15,'Bereketli Satış'!$E:$E,E15,'Bereketli Satış'!$F:$F,F15)</f>
        <v>1</v>
      </c>
      <c r="H15" s="164">
        <f>COUNTIFS('Bereketli Satış'!$D:$D,D15,'Bereketli Satış'!$E:$E,E15,'Bereketli Satış'!$F:$F,F15,'Bereketli Satış'!$L:$L,$H$4)</f>
        <v>0</v>
      </c>
      <c r="I15" s="159">
        <f>COUNTIFS('Bereketli Satış'!$D:$D,D15,'Bereketli Satış'!$E:$E,E15,'Bereketli Satış'!$F:$F,F15,'Bereketli Satış'!$L:$L,$I$4)</f>
        <v>1</v>
      </c>
      <c r="J15" s="159">
        <f>COUNTIFS('Bereketli Satış'!$D:$D,D15,'Bereketli Satış'!$E:$E,E15,'Bereketli Satış'!$F:$F,F15,'Bereketli Satış'!$L:$L,$J$4)</f>
        <v>0</v>
      </c>
      <c r="K15" s="159">
        <f>COUNTIFS('Bereketli Satış'!$D:$D,D15,'Bereketli Satış'!$E:$E,E15,'Bereketli Satış'!$F:$F,F15,'Bereketli Satış'!$L:$L,$K$4)</f>
        <v>0</v>
      </c>
      <c r="L15" s="165">
        <f>COUNTIFS('Bereketli Satış'!$D:$D,D15,'Bereketli Satış'!$E:$E,E15,'Bereketli Satış'!$F:$F,F15,'Bereketli Satış'!$L:$L,$L$4)</f>
        <v>0</v>
      </c>
      <c r="M15" s="179">
        <f t="shared" si="1"/>
        <v>1</v>
      </c>
      <c r="N15" s="164">
        <f>COUNTIFS('Bereketli Satış'!$D:$D,D15,'Bereketli Satış'!$E:$E,E15,'Bereketli Satış'!$F:$F,F15,'Bereketli Satış'!$M:$M,$N$4)</f>
        <v>0</v>
      </c>
      <c r="O15" s="159">
        <f>COUNTIFS('Bereketli Satış'!$D:$D,D15,'Bereketli Satış'!$E:$E,E15,'Bereketli Satış'!$F:$F,F15,'Bereketli Satış'!$M:$M,$O$4)</f>
        <v>0</v>
      </c>
      <c r="P15" s="159">
        <f>COUNTIFS('Bereketli Satış'!$D:$D,D15,'Bereketli Satış'!$E:$E,E15,'Bereketli Satış'!$F:$F,F15,'Bereketli Satış'!$M:$M,$P$4)</f>
        <v>0</v>
      </c>
      <c r="Q15" s="159">
        <f>COUNTIFS('Bereketli Satış'!$D:$D,D15,'Bereketli Satış'!$E:$E,E15,'Bereketli Satış'!$F:$F,F15,'Bereketli Satış'!$M:$M,$Q$4)</f>
        <v>0</v>
      </c>
      <c r="R15" s="159">
        <f>COUNTIFS('Bereketli Satış'!$D:$D,D15,'Bereketli Satış'!$E:$E,E15,'Bereketli Satış'!$F:$F,F15,'Bereketli Satış'!$M:$M,$R$4)</f>
        <v>0</v>
      </c>
      <c r="S15" s="159">
        <f>COUNTIFS('Bereketli Satış'!$D:$D,D15,'Bereketli Satış'!$E:$E,E15,'Bereketli Satış'!$F:$F,F15,'Bereketli Satış'!$M:$M,$S$4)</f>
        <v>0</v>
      </c>
      <c r="T15" s="160">
        <f>COUNTIFS('Bereketli Satış'!$D:$D,D15,'Bereketli Satış'!$E:$E,E15,'Bereketli Satış'!$F:$F,F15,'Bereketli Satış'!$M:$M,$T$4)</f>
        <v>1</v>
      </c>
      <c r="U15" s="159">
        <f>COUNTIFS('Bereketli Satış'!$D:$D,D15,'Bereketli Satış'!$E:$E,E15,'Bereketli Satış'!$F:$F,F15,'Bereketli Satış'!$M:$M,$U$4)</f>
        <v>0</v>
      </c>
      <c r="V15" s="183">
        <f>COUNTIFS('Bereketli Satış'!$D:$D,D15,'Bereketli Satış'!$E:$E,E15,'Bereketli Satış'!$F:$F,F15,'Bereketli Satış'!$M:$M,$V$4)</f>
        <v>0</v>
      </c>
      <c r="W15">
        <f t="shared" si="2"/>
        <v>1</v>
      </c>
      <c r="AB15" t="str">
        <f t="shared" si="0"/>
        <v>Uygun</v>
      </c>
      <c r="AC15" s="388"/>
      <c r="AE15" s="383" t="s">
        <v>657</v>
      </c>
      <c r="AF15" s="384"/>
      <c r="AG15" s="384"/>
      <c r="AH15" s="384"/>
      <c r="AI15" s="384"/>
      <c r="AJ15" s="384"/>
      <c r="AK15" s="384"/>
      <c r="AL15" s="379">
        <f>AL8</f>
        <v>22</v>
      </c>
      <c r="AM15" s="380"/>
    </row>
    <row r="16" spans="1:39">
      <c r="D16" s="149" t="s">
        <v>81</v>
      </c>
      <c r="E16" s="142" t="s">
        <v>102</v>
      </c>
      <c r="F16" s="143" t="s">
        <v>103</v>
      </c>
      <c r="G16" s="181">
        <f>COUNTIFS('Bereketli Satış'!D:D,D16,'Bereketli Satış'!$E:$E,E16,'Bereketli Satış'!$F:$F,F16)</f>
        <v>1</v>
      </c>
      <c r="H16" s="164">
        <f>COUNTIFS('Bereketli Satış'!$D:$D,D16,'Bereketli Satış'!$E:$E,E16,'Bereketli Satış'!$F:$F,F16,'Bereketli Satış'!$L:$L,$H$4)</f>
        <v>0</v>
      </c>
      <c r="I16" s="159">
        <f>COUNTIFS('Bereketli Satış'!$D:$D,D16,'Bereketli Satış'!$E:$E,E16,'Bereketli Satış'!$F:$F,F16,'Bereketli Satış'!$L:$L,$I$4)</f>
        <v>0</v>
      </c>
      <c r="J16" s="159">
        <f>COUNTIFS('Bereketli Satış'!$D:$D,D16,'Bereketli Satış'!$E:$E,E16,'Bereketli Satış'!$F:$F,F16,'Bereketli Satış'!$L:$L,$J$4)</f>
        <v>0</v>
      </c>
      <c r="K16" s="159">
        <f>COUNTIFS('Bereketli Satış'!$D:$D,D16,'Bereketli Satış'!$E:$E,E16,'Bereketli Satış'!$F:$F,F16,'Bereketli Satış'!$L:$L,$K$4)</f>
        <v>0</v>
      </c>
      <c r="L16" s="165">
        <f>COUNTIFS('Bereketli Satış'!$D:$D,D16,'Bereketli Satış'!$E:$E,E16,'Bereketli Satış'!$F:$F,F16,'Bereketli Satış'!$L:$L,$L$4)</f>
        <v>1</v>
      </c>
      <c r="M16" s="179">
        <f t="shared" si="1"/>
        <v>1</v>
      </c>
      <c r="N16" s="164">
        <f>COUNTIFS('Bereketli Satış'!$D:$D,D16,'Bereketli Satış'!$E:$E,E16,'Bereketli Satış'!$F:$F,F16,'Bereketli Satış'!$M:$M,$N$4)</f>
        <v>0</v>
      </c>
      <c r="O16" s="159">
        <f>COUNTIFS('Bereketli Satış'!$D:$D,D16,'Bereketli Satış'!$E:$E,E16,'Bereketli Satış'!$F:$F,F16,'Bereketli Satış'!$M:$M,$O$4)</f>
        <v>0</v>
      </c>
      <c r="P16" s="159">
        <f>COUNTIFS('Bereketli Satış'!$D:$D,D16,'Bereketli Satış'!$E:$E,E16,'Bereketli Satış'!$F:$F,F16,'Bereketli Satış'!$M:$M,$P$4)</f>
        <v>0</v>
      </c>
      <c r="Q16" s="159">
        <f>COUNTIFS('Bereketli Satış'!$D:$D,D16,'Bereketli Satış'!$E:$E,E16,'Bereketli Satış'!$F:$F,F16,'Bereketli Satış'!$M:$M,$Q$4)</f>
        <v>0</v>
      </c>
      <c r="R16" s="159">
        <f>COUNTIFS('Bereketli Satış'!$D:$D,D16,'Bereketli Satış'!$E:$E,E16,'Bereketli Satış'!$F:$F,F16,'Bereketli Satış'!$M:$M,$R$4)</f>
        <v>0</v>
      </c>
      <c r="S16" s="159">
        <f>COUNTIFS('Bereketli Satış'!$D:$D,D16,'Bereketli Satış'!$E:$E,E16,'Bereketli Satış'!$F:$F,F16,'Bereketli Satış'!$M:$M,$S$4)</f>
        <v>1</v>
      </c>
      <c r="T16" s="160">
        <f>COUNTIFS('Bereketli Satış'!$D:$D,D16,'Bereketli Satış'!$E:$E,E16,'Bereketli Satış'!$F:$F,F16,'Bereketli Satış'!$M:$M,$T$4)</f>
        <v>0</v>
      </c>
      <c r="U16" s="159">
        <f>COUNTIFS('Bereketli Satış'!$D:$D,D16,'Bereketli Satış'!$E:$E,E16,'Bereketli Satış'!$F:$F,F16,'Bereketli Satış'!$M:$M,$U$4)</f>
        <v>0</v>
      </c>
      <c r="V16" s="183">
        <f>COUNTIFS('Bereketli Satış'!$D:$D,D16,'Bereketli Satış'!$E:$E,E16,'Bereketli Satış'!$F:$F,F16,'Bereketli Satış'!$M:$M,$V$4)</f>
        <v>0</v>
      </c>
      <c r="W16">
        <f t="shared" si="2"/>
        <v>1</v>
      </c>
      <c r="AB16" t="str">
        <f t="shared" si="0"/>
        <v>Uygun</v>
      </c>
      <c r="AC16" s="388"/>
      <c r="AM16" s="189"/>
    </row>
    <row r="17" spans="4:39">
      <c r="D17" s="149" t="s">
        <v>81</v>
      </c>
      <c r="E17" s="142" t="s">
        <v>82</v>
      </c>
      <c r="F17" s="143" t="s">
        <v>83</v>
      </c>
      <c r="G17" s="181">
        <f>COUNTIFS('Bereketli Satış'!D:D,D17,'Bereketli Satış'!$E:$E,E17,'Bereketli Satış'!$F:$F,F17)</f>
        <v>1</v>
      </c>
      <c r="H17" s="164">
        <f>COUNTIFS('Bereketli Satış'!$D:$D,D17,'Bereketli Satış'!$E:$E,E17,'Bereketli Satış'!$F:$F,F17,'Bereketli Satış'!$L:$L,$H$4)</f>
        <v>1</v>
      </c>
      <c r="I17" s="159">
        <f>COUNTIFS('Bereketli Satış'!$D:$D,D17,'Bereketli Satış'!$E:$E,E17,'Bereketli Satış'!$F:$F,F17,'Bereketli Satış'!$L:$L,$I$4)</f>
        <v>0</v>
      </c>
      <c r="J17" s="159">
        <f>COUNTIFS('Bereketli Satış'!$D:$D,D17,'Bereketli Satış'!$E:$E,E17,'Bereketli Satış'!$F:$F,F17,'Bereketli Satış'!$L:$L,$J$4)</f>
        <v>0</v>
      </c>
      <c r="K17" s="159">
        <f>COUNTIFS('Bereketli Satış'!$D:$D,D17,'Bereketli Satış'!$E:$E,E17,'Bereketli Satış'!$F:$F,F17,'Bereketli Satış'!$L:$L,$K$4)</f>
        <v>0</v>
      </c>
      <c r="L17" s="165">
        <f>COUNTIFS('Bereketli Satış'!$D:$D,D17,'Bereketli Satış'!$E:$E,E17,'Bereketli Satış'!$F:$F,F17,'Bereketli Satış'!$L:$L,$L$4)</f>
        <v>0</v>
      </c>
      <c r="M17" s="179">
        <f t="shared" si="1"/>
        <v>1</v>
      </c>
      <c r="N17" s="164">
        <f>COUNTIFS('Bereketli Satış'!$D:$D,D17,'Bereketli Satış'!$E:$E,E17,'Bereketli Satış'!$F:$F,F17,'Bereketli Satış'!$M:$M,$N$4)</f>
        <v>0</v>
      </c>
      <c r="O17" s="159">
        <f>COUNTIFS('Bereketli Satış'!$D:$D,D17,'Bereketli Satış'!$E:$E,E17,'Bereketli Satış'!$F:$F,F17,'Bereketli Satış'!$M:$M,$O$4)</f>
        <v>0</v>
      </c>
      <c r="P17" s="159">
        <f>COUNTIFS('Bereketli Satış'!$D:$D,D17,'Bereketli Satış'!$E:$E,E17,'Bereketli Satış'!$F:$F,F17,'Bereketli Satış'!$M:$M,$P$4)</f>
        <v>0</v>
      </c>
      <c r="Q17" s="159">
        <f>COUNTIFS('Bereketli Satış'!$D:$D,D17,'Bereketli Satış'!$E:$E,E17,'Bereketli Satış'!$F:$F,F17,'Bereketli Satış'!$M:$M,$Q$4)</f>
        <v>0</v>
      </c>
      <c r="R17" s="159">
        <f>COUNTIFS('Bereketli Satış'!$D:$D,D17,'Bereketli Satış'!$E:$E,E17,'Bereketli Satış'!$F:$F,F17,'Bereketli Satış'!$M:$M,$R$4)</f>
        <v>0</v>
      </c>
      <c r="S17" s="159">
        <f>COUNTIFS('Bereketli Satış'!$D:$D,D17,'Bereketli Satış'!$E:$E,E17,'Bereketli Satış'!$F:$F,F17,'Bereketli Satış'!$M:$M,$S$4)</f>
        <v>1</v>
      </c>
      <c r="T17" s="160">
        <f>COUNTIFS('Bereketli Satış'!$D:$D,D17,'Bereketli Satış'!$E:$E,E17,'Bereketli Satış'!$F:$F,F17,'Bereketli Satış'!$M:$M,$T$4)</f>
        <v>0</v>
      </c>
      <c r="U17" s="159">
        <f>COUNTIFS('Bereketli Satış'!$D:$D,D17,'Bereketli Satış'!$E:$E,E17,'Bereketli Satış'!$F:$F,F17,'Bereketli Satış'!$M:$M,$U$4)</f>
        <v>0</v>
      </c>
      <c r="V17" s="183">
        <f>COUNTIFS('Bereketli Satış'!$D:$D,D17,'Bereketli Satış'!$E:$E,E17,'Bereketli Satış'!$F:$F,F17,'Bereketli Satış'!$M:$M,$V$4)</f>
        <v>0</v>
      </c>
      <c r="W17">
        <f t="shared" si="2"/>
        <v>1</v>
      </c>
      <c r="AB17" t="str">
        <f t="shared" si="0"/>
        <v>Uygun</v>
      </c>
      <c r="AC17" s="389"/>
      <c r="AD17" s="190"/>
      <c r="AE17" s="190"/>
      <c r="AF17" s="190"/>
      <c r="AG17" s="190"/>
      <c r="AH17" s="190"/>
      <c r="AI17" s="190"/>
      <c r="AJ17" s="190"/>
      <c r="AK17" s="190"/>
      <c r="AL17" s="190"/>
      <c r="AM17" s="191"/>
    </row>
    <row r="18" spans="4:39">
      <c r="D18" s="150" t="s">
        <v>81</v>
      </c>
      <c r="E18" s="186" t="s">
        <v>112</v>
      </c>
      <c r="F18" s="187" t="s">
        <v>69</v>
      </c>
      <c r="G18" s="181">
        <f>COUNTIFS('Bereketli Satış'!D:D,D18,'Bereketli Satış'!$E:$E,E18,'Bereketli Satış'!$F:$F,F18)</f>
        <v>1</v>
      </c>
      <c r="H18" s="164">
        <f>COUNTIFS('Bereketli Satış'!$D:$D,D18,'Bereketli Satış'!$E:$E,E18,'Bereketli Satış'!$F:$F,F18,'Bereketli Satış'!$L:$L,$H$4)</f>
        <v>0</v>
      </c>
      <c r="I18" s="159">
        <f>COUNTIFS('Bereketli Satış'!$D:$D,D18,'Bereketli Satış'!$E:$E,E18,'Bereketli Satış'!$F:$F,F18,'Bereketli Satış'!$L:$L,$I$4)</f>
        <v>0</v>
      </c>
      <c r="J18" s="159">
        <f>COUNTIFS('Bereketli Satış'!$D:$D,D18,'Bereketli Satış'!$E:$E,E18,'Bereketli Satış'!$F:$F,F18,'Bereketli Satış'!$L:$L,$J$4)</f>
        <v>0</v>
      </c>
      <c r="K18" s="159">
        <f>COUNTIFS('Bereketli Satış'!$D:$D,D18,'Bereketli Satış'!$E:$E,E18,'Bereketli Satış'!$F:$F,F18,'Bereketli Satış'!$L:$L,$K$4)</f>
        <v>0</v>
      </c>
      <c r="L18" s="165">
        <f>COUNTIFS('Bereketli Satış'!$D:$D,D18,'Bereketli Satış'!$E:$E,E18,'Bereketli Satış'!$F:$F,F18,'Bereketli Satış'!$L:$L,$L$4)</f>
        <v>1</v>
      </c>
      <c r="M18" s="179">
        <f t="shared" si="1"/>
        <v>1</v>
      </c>
      <c r="N18" s="164">
        <f>COUNTIFS('Bereketli Satış'!$D:$D,D18,'Bereketli Satış'!$E:$E,E18,'Bereketli Satış'!$F:$F,F18,'Bereketli Satış'!$M:$M,$N$4)</f>
        <v>0</v>
      </c>
      <c r="O18" s="159">
        <f>COUNTIFS('Bereketli Satış'!$D:$D,D18,'Bereketli Satış'!$E:$E,E18,'Bereketli Satış'!$F:$F,F18,'Bereketli Satış'!$M:$M,$O$4)</f>
        <v>0</v>
      </c>
      <c r="P18" s="159">
        <f>COUNTIFS('Bereketli Satış'!$D:$D,D18,'Bereketli Satış'!$E:$E,E18,'Bereketli Satış'!$F:$F,F18,'Bereketli Satış'!$M:$M,$P$4)</f>
        <v>0</v>
      </c>
      <c r="Q18" s="159">
        <f>COUNTIFS('Bereketli Satış'!$D:$D,D18,'Bereketli Satış'!$E:$E,E18,'Bereketli Satış'!$F:$F,F18,'Bereketli Satış'!$M:$M,$Q$4)</f>
        <v>0</v>
      </c>
      <c r="R18" s="159">
        <f>COUNTIFS('Bereketli Satış'!$D:$D,D18,'Bereketli Satış'!$E:$E,E18,'Bereketli Satış'!$F:$F,F18,'Bereketli Satış'!$M:$M,$R$4)</f>
        <v>0</v>
      </c>
      <c r="S18" s="159">
        <f>COUNTIFS('Bereketli Satış'!$D:$D,D18,'Bereketli Satış'!$E:$E,E18,'Bereketli Satış'!$F:$F,F18,'Bereketli Satış'!$M:$M,$S$4)</f>
        <v>1</v>
      </c>
      <c r="T18" s="160">
        <f>COUNTIFS('Bereketli Satış'!$D:$D,D18,'Bereketli Satış'!$E:$E,E18,'Bereketli Satış'!$F:$F,F18,'Bereketli Satış'!$M:$M,$T$4)</f>
        <v>0</v>
      </c>
      <c r="U18" s="159">
        <f>COUNTIFS('Bereketli Satış'!$D:$D,D18,'Bereketli Satış'!$E:$E,E18,'Bereketli Satış'!$F:$F,F18,'Bereketli Satış'!$M:$M,$U$4)</f>
        <v>0</v>
      </c>
      <c r="V18" s="183">
        <f>COUNTIFS('Bereketli Satış'!$D:$D,D18,'Bereketli Satış'!$E:$E,E18,'Bereketli Satış'!$F:$F,F18,'Bereketli Satış'!$M:$M,$V$4)</f>
        <v>0</v>
      </c>
      <c r="W18">
        <f t="shared" si="2"/>
        <v>1</v>
      </c>
      <c r="AB18" t="str">
        <f t="shared" si="0"/>
        <v>Uygun</v>
      </c>
    </row>
    <row r="19" spans="4:39">
      <c r="D19" s="146" t="s">
        <v>49</v>
      </c>
      <c r="E19" s="147" t="s">
        <v>50</v>
      </c>
      <c r="F19" s="143" t="s">
        <v>93</v>
      </c>
      <c r="G19" s="181">
        <f>COUNTIFS('Bereketli Satış'!D:D,D19,'Bereketli Satış'!$E:$E,E19,'Bereketli Satış'!$F:$F,F19)</f>
        <v>1</v>
      </c>
      <c r="H19" s="164">
        <f>COUNTIFS('Bereketli Satış'!$D:$D,D19,'Bereketli Satış'!$E:$E,E19,'Bereketli Satış'!$F:$F,F19,'Bereketli Satış'!$L:$L,$H$4)</f>
        <v>1</v>
      </c>
      <c r="I19" s="159">
        <f>COUNTIFS('Bereketli Satış'!$D:$D,D19,'Bereketli Satış'!$E:$E,E19,'Bereketli Satış'!$F:$F,F19,'Bereketli Satış'!$L:$L,$I$4)</f>
        <v>0</v>
      </c>
      <c r="J19" s="159">
        <f>COUNTIFS('Bereketli Satış'!$D:$D,D19,'Bereketli Satış'!$E:$E,E19,'Bereketli Satış'!$F:$F,F19,'Bereketli Satış'!$L:$L,$J$4)</f>
        <v>0</v>
      </c>
      <c r="K19" s="159">
        <f>COUNTIFS('Bereketli Satış'!$D:$D,D19,'Bereketli Satış'!$E:$E,E19,'Bereketli Satış'!$F:$F,F19,'Bereketli Satış'!$L:$L,$K$4)</f>
        <v>0</v>
      </c>
      <c r="L19" s="165">
        <f>COUNTIFS('Bereketli Satış'!$D:$D,D19,'Bereketli Satış'!$E:$E,E19,'Bereketli Satış'!$F:$F,F19,'Bereketli Satış'!$L:$L,$L$4)</f>
        <v>0</v>
      </c>
      <c r="M19" s="179">
        <f t="shared" si="1"/>
        <v>1</v>
      </c>
      <c r="N19" s="164">
        <f>COUNTIFS('Bereketli Satış'!$D:$D,D19,'Bereketli Satış'!$E:$E,E19,'Bereketli Satış'!$F:$F,F19,'Bereketli Satış'!$M:$M,$N$4)</f>
        <v>0</v>
      </c>
      <c r="O19" s="159">
        <f>COUNTIFS('Bereketli Satış'!$D:$D,D19,'Bereketli Satış'!$E:$E,E19,'Bereketli Satış'!$F:$F,F19,'Bereketli Satış'!$M:$M,$O$4)</f>
        <v>0</v>
      </c>
      <c r="P19" s="159">
        <f>COUNTIFS('Bereketli Satış'!$D:$D,D19,'Bereketli Satış'!$E:$E,E19,'Bereketli Satış'!$F:$F,F19,'Bereketli Satış'!$M:$M,$P$4)</f>
        <v>0</v>
      </c>
      <c r="Q19" s="159">
        <f>COUNTIFS('Bereketli Satış'!$D:$D,D19,'Bereketli Satış'!$E:$E,E19,'Bereketli Satış'!$F:$F,F19,'Bereketli Satış'!$M:$M,$Q$4)</f>
        <v>0</v>
      </c>
      <c r="R19" s="159">
        <f>COUNTIFS('Bereketli Satış'!$D:$D,D19,'Bereketli Satış'!$E:$E,E19,'Bereketli Satış'!$F:$F,F19,'Bereketli Satış'!$M:$M,$R$4)</f>
        <v>0</v>
      </c>
      <c r="S19" s="159">
        <f>COUNTIFS('Bereketli Satış'!$D:$D,D19,'Bereketli Satış'!$E:$E,E19,'Bereketli Satış'!$F:$F,F19,'Bereketli Satış'!$M:$M,$S$4)</f>
        <v>0</v>
      </c>
      <c r="T19" s="160">
        <f>COUNTIFS('Bereketli Satış'!$D:$D,D19,'Bereketli Satış'!$E:$E,E19,'Bereketli Satış'!$F:$F,F19,'Bereketli Satış'!$M:$M,$T$4)</f>
        <v>0</v>
      </c>
      <c r="U19" s="159">
        <f>COUNTIFS('Bereketli Satış'!$D:$D,D19,'Bereketli Satış'!$E:$E,E19,'Bereketli Satış'!$F:$F,F19,'Bereketli Satış'!$M:$M,$U$4)</f>
        <v>1</v>
      </c>
      <c r="V19" s="183">
        <f>COUNTIFS('Bereketli Satış'!$D:$D,D19,'Bereketli Satış'!$E:$E,E19,'Bereketli Satış'!$F:$F,F19,'Bereketli Satış'!$M:$M,$V$4)</f>
        <v>0</v>
      </c>
      <c r="W19">
        <f t="shared" si="2"/>
        <v>1</v>
      </c>
      <c r="AB19" t="str">
        <f t="shared" si="0"/>
        <v>Uygun</v>
      </c>
    </row>
    <row r="20" spans="4:39">
      <c r="D20" s="146" t="s">
        <v>49</v>
      </c>
      <c r="E20" s="142" t="s">
        <v>50</v>
      </c>
      <c r="F20" s="143" t="s">
        <v>51</v>
      </c>
      <c r="G20" s="181">
        <f>COUNTIFS('Bereketli Satış'!D:D,D20,'Bereketli Satış'!$E:$E,E20,'Bereketli Satış'!$F:$F,F20)</f>
        <v>1</v>
      </c>
      <c r="H20" s="164">
        <f>COUNTIFS('Bereketli Satış'!$D:$D,D20,'Bereketli Satış'!$E:$E,E20,'Bereketli Satış'!$F:$F,F20,'Bereketli Satış'!$L:$L,$H$4)</f>
        <v>0</v>
      </c>
      <c r="I20" s="159">
        <f>COUNTIFS('Bereketli Satış'!$D:$D,D20,'Bereketli Satış'!$E:$E,E20,'Bereketli Satış'!$F:$F,F20,'Bereketli Satış'!$L:$L,$I$4)</f>
        <v>1</v>
      </c>
      <c r="J20" s="159">
        <f>COUNTIFS('Bereketli Satış'!$D:$D,D20,'Bereketli Satış'!$E:$E,E20,'Bereketli Satış'!$F:$F,F20,'Bereketli Satış'!$L:$L,$J$4)</f>
        <v>0</v>
      </c>
      <c r="K20" s="159">
        <f>COUNTIFS('Bereketli Satış'!$D:$D,D20,'Bereketli Satış'!$E:$E,E20,'Bereketli Satış'!$F:$F,F20,'Bereketli Satış'!$L:$L,$K$4)</f>
        <v>0</v>
      </c>
      <c r="L20" s="165">
        <f>COUNTIFS('Bereketli Satış'!$D:$D,D20,'Bereketli Satış'!$E:$E,E20,'Bereketli Satış'!$F:$F,F20,'Bereketli Satış'!$L:$L,$L$4)</f>
        <v>0</v>
      </c>
      <c r="M20" s="179">
        <f t="shared" si="1"/>
        <v>1</v>
      </c>
      <c r="N20" s="164">
        <f>COUNTIFS('Bereketli Satış'!$D:$D,D20,'Bereketli Satış'!$E:$E,E20,'Bereketli Satış'!$F:$F,F20,'Bereketli Satış'!$M:$M,$N$4)</f>
        <v>0</v>
      </c>
      <c r="O20" s="159">
        <f>COUNTIFS('Bereketli Satış'!$D:$D,D20,'Bereketli Satış'!$E:$E,E20,'Bereketli Satış'!$F:$F,F20,'Bereketli Satış'!$M:$M,$O$4)</f>
        <v>0</v>
      </c>
      <c r="P20" s="159">
        <f>COUNTIFS('Bereketli Satış'!$D:$D,D20,'Bereketli Satış'!$E:$E,E20,'Bereketli Satış'!$F:$F,F20,'Bereketli Satış'!$M:$M,$P$4)</f>
        <v>1</v>
      </c>
      <c r="Q20" s="159">
        <f>COUNTIFS('Bereketli Satış'!$D:$D,D20,'Bereketli Satış'!$E:$E,E20,'Bereketli Satış'!$F:$F,F20,'Bereketli Satış'!$M:$M,$Q$4)</f>
        <v>0</v>
      </c>
      <c r="R20" s="159">
        <f>COUNTIFS('Bereketli Satış'!$D:$D,D20,'Bereketli Satış'!$E:$E,E20,'Bereketli Satış'!$F:$F,F20,'Bereketli Satış'!$M:$M,$R$4)</f>
        <v>0</v>
      </c>
      <c r="S20" s="159">
        <f>COUNTIFS('Bereketli Satış'!$D:$D,D20,'Bereketli Satış'!$E:$E,E20,'Bereketli Satış'!$F:$F,F20,'Bereketli Satış'!$M:$M,$S$4)</f>
        <v>0</v>
      </c>
      <c r="T20" s="160">
        <f>COUNTIFS('Bereketli Satış'!$D:$D,D20,'Bereketli Satış'!$E:$E,E20,'Bereketli Satış'!$F:$F,F20,'Bereketli Satış'!$M:$M,$T$4)</f>
        <v>0</v>
      </c>
      <c r="U20" s="159">
        <f>COUNTIFS('Bereketli Satış'!$D:$D,D20,'Bereketli Satış'!$E:$E,E20,'Bereketli Satış'!$F:$F,F20,'Bereketli Satış'!$M:$M,$U$4)</f>
        <v>0</v>
      </c>
      <c r="V20" s="183">
        <f>COUNTIFS('Bereketli Satış'!$D:$D,D20,'Bereketli Satış'!$E:$E,E20,'Bereketli Satış'!$F:$F,F20,'Bereketli Satış'!$M:$M,$V$4)</f>
        <v>0</v>
      </c>
      <c r="W20">
        <f t="shared" si="2"/>
        <v>1</v>
      </c>
      <c r="AB20" t="str">
        <f t="shared" si="0"/>
        <v>Uygun</v>
      </c>
    </row>
    <row r="21" spans="4:39">
      <c r="D21" s="146" t="s">
        <v>49</v>
      </c>
      <c r="E21" s="142" t="s">
        <v>90</v>
      </c>
      <c r="F21" s="143" t="s">
        <v>91</v>
      </c>
      <c r="G21" s="181">
        <f>COUNTIFS('Bereketli Satış'!D:D,D21,'Bereketli Satış'!$E:$E,E21,'Bereketli Satış'!$F:$F,F21)</f>
        <v>1</v>
      </c>
      <c r="H21" s="164">
        <f>COUNTIFS('Bereketli Satış'!$D:$D,D21,'Bereketli Satış'!$E:$E,E21,'Bereketli Satış'!$F:$F,F21,'Bereketli Satış'!$L:$L,$H$4)</f>
        <v>0</v>
      </c>
      <c r="I21" s="159">
        <f>COUNTIFS('Bereketli Satış'!$D:$D,D21,'Bereketli Satış'!$E:$E,E21,'Bereketli Satış'!$F:$F,F21,'Bereketli Satış'!$L:$L,$I$4)</f>
        <v>0</v>
      </c>
      <c r="J21" s="159">
        <f>COUNTIFS('Bereketli Satış'!$D:$D,D21,'Bereketli Satış'!$E:$E,E21,'Bereketli Satış'!$F:$F,F21,'Bereketli Satış'!$L:$L,$J$4)</f>
        <v>0</v>
      </c>
      <c r="K21" s="159">
        <f>COUNTIFS('Bereketli Satış'!$D:$D,D21,'Bereketli Satış'!$E:$E,E21,'Bereketli Satış'!$F:$F,F21,'Bereketli Satış'!$L:$L,$K$4)</f>
        <v>1</v>
      </c>
      <c r="L21" s="165">
        <f>COUNTIFS('Bereketli Satış'!$D:$D,D21,'Bereketli Satış'!$E:$E,E21,'Bereketli Satış'!$F:$F,F21,'Bereketli Satış'!$L:$L,$L$4)</f>
        <v>0</v>
      </c>
      <c r="M21" s="179">
        <f t="shared" si="1"/>
        <v>1</v>
      </c>
      <c r="N21" s="164">
        <f>COUNTIFS('Bereketli Satış'!$D:$D,D21,'Bereketli Satış'!$E:$E,E21,'Bereketli Satış'!$F:$F,F21,'Bereketli Satış'!$M:$M,$N$4)</f>
        <v>0</v>
      </c>
      <c r="O21" s="159">
        <f>COUNTIFS('Bereketli Satış'!$D:$D,D21,'Bereketli Satış'!$E:$E,E21,'Bereketli Satış'!$F:$F,F21,'Bereketli Satış'!$M:$M,$O$4)</f>
        <v>0</v>
      </c>
      <c r="P21" s="159">
        <f>COUNTIFS('Bereketli Satış'!$D:$D,D21,'Bereketli Satış'!$E:$E,E21,'Bereketli Satış'!$F:$F,F21,'Bereketli Satış'!$M:$M,$P$4)</f>
        <v>0</v>
      </c>
      <c r="Q21" s="159">
        <f>COUNTIFS('Bereketli Satış'!$D:$D,D21,'Bereketli Satış'!$E:$E,E21,'Bereketli Satış'!$F:$F,F21,'Bereketli Satış'!$M:$M,$Q$4)</f>
        <v>0</v>
      </c>
      <c r="R21" s="159">
        <f>COUNTIFS('Bereketli Satış'!$D:$D,D21,'Bereketli Satış'!$E:$E,E21,'Bereketli Satış'!$F:$F,F21,'Bereketli Satış'!$M:$M,$R$4)</f>
        <v>0</v>
      </c>
      <c r="S21" s="159">
        <f>COUNTIFS('Bereketli Satış'!$D:$D,D21,'Bereketli Satış'!$E:$E,E21,'Bereketli Satış'!$F:$F,F21,'Bereketli Satış'!$M:$M,$S$4)</f>
        <v>0</v>
      </c>
      <c r="T21" s="160">
        <f>COUNTIFS('Bereketli Satış'!$D:$D,D21,'Bereketli Satış'!$E:$E,E21,'Bereketli Satış'!$F:$F,F21,'Bereketli Satış'!$M:$M,$T$4)</f>
        <v>0</v>
      </c>
      <c r="U21" s="159">
        <f>COUNTIFS('Bereketli Satış'!$D:$D,D21,'Bereketli Satış'!$E:$E,E21,'Bereketli Satış'!$F:$F,F21,'Bereketli Satış'!$M:$M,$U$4)</f>
        <v>1</v>
      </c>
      <c r="V21" s="183">
        <f>COUNTIFS('Bereketli Satış'!$D:$D,D21,'Bereketli Satış'!$E:$E,E21,'Bereketli Satış'!$F:$F,F21,'Bereketli Satış'!$M:$M,$V$4)</f>
        <v>0</v>
      </c>
      <c r="W21">
        <f t="shared" si="2"/>
        <v>1</v>
      </c>
      <c r="AB21" t="str">
        <f t="shared" si="0"/>
        <v>Uygun</v>
      </c>
    </row>
    <row r="22" spans="4:39">
      <c r="D22" s="148" t="s">
        <v>49</v>
      </c>
      <c r="E22" s="142" t="s">
        <v>68</v>
      </c>
      <c r="F22" s="143" t="s">
        <v>69</v>
      </c>
      <c r="G22" s="181">
        <f>COUNTIFS('Bereketli Satış'!D:D,D22,'Bereketli Satış'!$E:$E,E22,'Bereketli Satış'!$F:$F,F22)</f>
        <v>1</v>
      </c>
      <c r="H22" s="164">
        <f>COUNTIFS('Bereketli Satış'!$D:$D,D22,'Bereketli Satış'!$E:$E,E22,'Bereketli Satış'!$F:$F,F22,'Bereketli Satış'!$L:$L,$H$4)</f>
        <v>0</v>
      </c>
      <c r="I22" s="159">
        <f>COUNTIFS('Bereketli Satış'!$D:$D,D22,'Bereketli Satış'!$E:$E,E22,'Bereketli Satış'!$F:$F,F22,'Bereketli Satış'!$L:$L,$I$4)</f>
        <v>0</v>
      </c>
      <c r="J22" s="159">
        <f>COUNTIFS('Bereketli Satış'!$D:$D,D22,'Bereketli Satış'!$E:$E,E22,'Bereketli Satış'!$F:$F,F22,'Bereketli Satış'!$L:$L,$J$4)</f>
        <v>1</v>
      </c>
      <c r="K22" s="159">
        <f>COUNTIFS('Bereketli Satış'!$D:$D,D22,'Bereketli Satış'!$E:$E,E22,'Bereketli Satış'!$F:$F,F22,'Bereketli Satış'!$L:$L,$K$4)</f>
        <v>0</v>
      </c>
      <c r="L22" s="165">
        <f>COUNTIFS('Bereketli Satış'!$D:$D,D22,'Bereketli Satış'!$E:$E,E22,'Bereketli Satış'!$F:$F,F22,'Bereketli Satış'!$L:$L,$L$4)</f>
        <v>0</v>
      </c>
      <c r="M22" s="179">
        <f t="shared" si="1"/>
        <v>1</v>
      </c>
      <c r="N22" s="164">
        <f>COUNTIFS('Bereketli Satış'!$D:$D,D22,'Bereketli Satış'!$E:$E,E22,'Bereketli Satış'!$F:$F,F22,'Bereketli Satış'!$M:$M,$N$4)</f>
        <v>0</v>
      </c>
      <c r="O22" s="159">
        <f>COUNTIFS('Bereketli Satış'!$D:$D,D22,'Bereketli Satış'!$E:$E,E22,'Bereketli Satış'!$F:$F,F22,'Bereketli Satış'!$M:$M,$O$4)</f>
        <v>1</v>
      </c>
      <c r="P22" s="159">
        <f>COUNTIFS('Bereketli Satış'!$D:$D,D22,'Bereketli Satış'!$E:$E,E22,'Bereketli Satış'!$F:$F,F22,'Bereketli Satış'!$M:$M,$P$4)</f>
        <v>0</v>
      </c>
      <c r="Q22" s="159">
        <f>COUNTIFS('Bereketli Satış'!$D:$D,D22,'Bereketli Satış'!$E:$E,E22,'Bereketli Satış'!$F:$F,F22,'Bereketli Satış'!$M:$M,$Q$4)</f>
        <v>0</v>
      </c>
      <c r="R22" s="159">
        <f>COUNTIFS('Bereketli Satış'!$D:$D,D22,'Bereketli Satış'!$E:$E,E22,'Bereketli Satış'!$F:$F,F22,'Bereketli Satış'!$M:$M,$R$4)</f>
        <v>0</v>
      </c>
      <c r="S22" s="159">
        <f>COUNTIFS('Bereketli Satış'!$D:$D,D22,'Bereketli Satış'!$E:$E,E22,'Bereketli Satış'!$F:$F,F22,'Bereketli Satış'!$M:$M,$S$4)</f>
        <v>0</v>
      </c>
      <c r="T22" s="160">
        <f>COUNTIFS('Bereketli Satış'!$D:$D,D22,'Bereketli Satış'!$E:$E,E22,'Bereketli Satış'!$F:$F,F22,'Bereketli Satış'!$M:$M,$T$4)</f>
        <v>0</v>
      </c>
      <c r="U22" s="159">
        <f>COUNTIFS('Bereketli Satış'!$D:$D,D22,'Bereketli Satış'!$E:$E,E22,'Bereketli Satış'!$F:$F,F22,'Bereketli Satış'!$M:$M,$U$4)</f>
        <v>0</v>
      </c>
      <c r="V22" s="183">
        <f>COUNTIFS('Bereketli Satış'!$D:$D,D22,'Bereketli Satış'!$E:$E,E22,'Bereketli Satış'!$F:$F,F22,'Bereketli Satış'!$M:$M,$V$4)</f>
        <v>0</v>
      </c>
      <c r="W22">
        <f t="shared" si="2"/>
        <v>1</v>
      </c>
      <c r="AB22" t="str">
        <f t="shared" si="0"/>
        <v>Uygun</v>
      </c>
    </row>
    <row r="23" spans="4:39">
      <c r="D23" s="151" t="s">
        <v>17</v>
      </c>
      <c r="E23" s="147" t="s">
        <v>57</v>
      </c>
      <c r="F23" s="143" t="s">
        <v>104</v>
      </c>
      <c r="G23" s="181">
        <f>COUNTIFS('Bereketli Satış'!D:D,D23,'Bereketli Satış'!$E:$E,E23,'Bereketli Satış'!$F:$F,F23)</f>
        <v>1</v>
      </c>
      <c r="H23" s="164">
        <f>COUNTIFS('Bereketli Satış'!$D:$D,D23,'Bereketli Satış'!$E:$E,E23,'Bereketli Satış'!$F:$F,F23,'Bereketli Satış'!$L:$L,$H$4)</f>
        <v>1</v>
      </c>
      <c r="I23" s="159">
        <f>COUNTIFS('Bereketli Satış'!$D:$D,D23,'Bereketli Satış'!$E:$E,E23,'Bereketli Satış'!$F:$F,F23,'Bereketli Satış'!$L:$L,$I$4)</f>
        <v>0</v>
      </c>
      <c r="J23" s="159">
        <f>COUNTIFS('Bereketli Satış'!$D:$D,D23,'Bereketli Satış'!$E:$E,E23,'Bereketli Satış'!$F:$F,F23,'Bereketli Satış'!$L:$L,$J$4)</f>
        <v>0</v>
      </c>
      <c r="K23" s="159">
        <f>COUNTIFS('Bereketli Satış'!$D:$D,D23,'Bereketli Satış'!$E:$E,E23,'Bereketli Satış'!$F:$F,F23,'Bereketli Satış'!$L:$L,$K$4)</f>
        <v>0</v>
      </c>
      <c r="L23" s="165">
        <f>COUNTIFS('Bereketli Satış'!$D:$D,D23,'Bereketli Satış'!$E:$E,E23,'Bereketli Satış'!$F:$F,F23,'Bereketli Satış'!$L:$L,$L$4)</f>
        <v>0</v>
      </c>
      <c r="M23" s="179">
        <f t="shared" si="1"/>
        <v>1</v>
      </c>
      <c r="N23" s="164">
        <f>COUNTIFS('Bereketli Satış'!$D:$D,D23,'Bereketli Satış'!$E:$E,E23,'Bereketli Satış'!$F:$F,F23,'Bereketli Satış'!$M:$M,$N$4)</f>
        <v>0</v>
      </c>
      <c r="O23" s="159">
        <f>COUNTIFS('Bereketli Satış'!$D:$D,D23,'Bereketli Satış'!$E:$E,E23,'Bereketli Satış'!$F:$F,F23,'Bereketli Satış'!$M:$M,$O$4)</f>
        <v>0</v>
      </c>
      <c r="P23" s="159">
        <f>COUNTIFS('Bereketli Satış'!$D:$D,D23,'Bereketli Satış'!$E:$E,E23,'Bereketli Satış'!$F:$F,F23,'Bereketli Satış'!$M:$M,$P$4)</f>
        <v>0</v>
      </c>
      <c r="Q23" s="159">
        <f>COUNTIFS('Bereketli Satış'!$D:$D,D23,'Bereketli Satış'!$E:$E,E23,'Bereketli Satış'!$F:$F,F23,'Bereketli Satış'!$M:$M,$Q$4)</f>
        <v>0</v>
      </c>
      <c r="R23" s="159">
        <f>COUNTIFS('Bereketli Satış'!$D:$D,D23,'Bereketli Satış'!$E:$E,E23,'Bereketli Satış'!$F:$F,F23,'Bereketli Satış'!$M:$M,$R$4)</f>
        <v>0</v>
      </c>
      <c r="S23" s="159">
        <f>COUNTIFS('Bereketli Satış'!$D:$D,D23,'Bereketli Satış'!$E:$E,E23,'Bereketli Satış'!$F:$F,F23,'Bereketli Satış'!$M:$M,$S$4)</f>
        <v>0</v>
      </c>
      <c r="T23" s="160">
        <f>COUNTIFS('Bereketli Satış'!$D:$D,D23,'Bereketli Satış'!$E:$E,E23,'Bereketli Satış'!$F:$F,F23,'Bereketli Satış'!$M:$M,$T$4)</f>
        <v>0</v>
      </c>
      <c r="U23" s="159">
        <f>COUNTIFS('Bereketli Satış'!$D:$D,D23,'Bereketli Satış'!$E:$E,E23,'Bereketli Satış'!$F:$F,F23,'Bereketli Satış'!$M:$M,$U$4)</f>
        <v>1</v>
      </c>
      <c r="V23" s="183">
        <f>COUNTIFS('Bereketli Satış'!$D:$D,D23,'Bereketli Satış'!$E:$E,E23,'Bereketli Satış'!$F:$F,F23,'Bereketli Satış'!$M:$M,$V$4)</f>
        <v>0</v>
      </c>
      <c r="W23">
        <f t="shared" si="2"/>
        <v>1</v>
      </c>
      <c r="AB23" t="str">
        <f t="shared" si="0"/>
        <v>Uygun</v>
      </c>
    </row>
    <row r="24" spans="4:39">
      <c r="D24" s="151" t="s">
        <v>17</v>
      </c>
      <c r="E24" s="147" t="s">
        <v>57</v>
      </c>
      <c r="F24" s="143" t="s">
        <v>58</v>
      </c>
      <c r="G24" s="181">
        <f>COUNTIFS('Bereketli Satış'!D:D,D24,'Bereketli Satış'!$E:$E,E24,'Bereketli Satış'!$F:$F,F24)</f>
        <v>1</v>
      </c>
      <c r="H24" s="164">
        <f>COUNTIFS('Bereketli Satış'!$D:$D,D24,'Bereketli Satış'!$E:$E,E24,'Bereketli Satış'!$F:$F,F24,'Bereketli Satış'!$L:$L,$H$4)</f>
        <v>0</v>
      </c>
      <c r="I24" s="159">
        <f>COUNTIFS('Bereketli Satış'!$D:$D,D24,'Bereketli Satış'!$E:$E,E24,'Bereketli Satış'!$F:$F,F24,'Bereketli Satış'!$L:$L,$I$4)</f>
        <v>0</v>
      </c>
      <c r="J24" s="159">
        <f>COUNTIFS('Bereketli Satış'!$D:$D,D24,'Bereketli Satış'!$E:$E,E24,'Bereketli Satış'!$F:$F,F24,'Bereketli Satış'!$L:$L,$J$4)</f>
        <v>1</v>
      </c>
      <c r="K24" s="159">
        <f>COUNTIFS('Bereketli Satış'!$D:$D,D24,'Bereketli Satış'!$E:$E,E24,'Bereketli Satış'!$F:$F,F24,'Bereketli Satış'!$L:$L,$K$4)</f>
        <v>0</v>
      </c>
      <c r="L24" s="165">
        <f>COUNTIFS('Bereketli Satış'!$D:$D,D24,'Bereketli Satış'!$E:$E,E24,'Bereketli Satış'!$F:$F,F24,'Bereketli Satış'!$L:$L,$L$4)</f>
        <v>0</v>
      </c>
      <c r="M24" s="179">
        <f t="shared" si="1"/>
        <v>1</v>
      </c>
      <c r="N24" s="164">
        <f>COUNTIFS('Bereketli Satış'!$D:$D,D24,'Bereketli Satış'!$E:$E,E24,'Bereketli Satış'!$F:$F,F24,'Bereketli Satış'!$M:$M,$N$4)</f>
        <v>0</v>
      </c>
      <c r="O24" s="159">
        <f>COUNTIFS('Bereketli Satış'!$D:$D,D24,'Bereketli Satış'!$E:$E,E24,'Bereketli Satış'!$F:$F,F24,'Bereketli Satış'!$M:$M,$O$4)</f>
        <v>0</v>
      </c>
      <c r="P24" s="159">
        <f>COUNTIFS('Bereketli Satış'!$D:$D,D24,'Bereketli Satış'!$E:$E,E24,'Bereketli Satış'!$F:$F,F24,'Bereketli Satış'!$M:$M,$P$4)</f>
        <v>1</v>
      </c>
      <c r="Q24" s="159">
        <f>COUNTIFS('Bereketli Satış'!$D:$D,D24,'Bereketli Satış'!$E:$E,E24,'Bereketli Satış'!$F:$F,F24,'Bereketli Satış'!$M:$M,$Q$4)</f>
        <v>0</v>
      </c>
      <c r="R24" s="159">
        <f>COUNTIFS('Bereketli Satış'!$D:$D,D24,'Bereketli Satış'!$E:$E,E24,'Bereketli Satış'!$F:$F,F24,'Bereketli Satış'!$M:$M,$R$4)</f>
        <v>0</v>
      </c>
      <c r="S24" s="159">
        <f>COUNTIFS('Bereketli Satış'!$D:$D,D24,'Bereketli Satış'!$E:$E,E24,'Bereketli Satış'!$F:$F,F24,'Bereketli Satış'!$M:$M,$S$4)</f>
        <v>0</v>
      </c>
      <c r="T24" s="160">
        <f>COUNTIFS('Bereketli Satış'!$D:$D,D24,'Bereketli Satış'!$E:$E,E24,'Bereketli Satış'!$F:$F,F24,'Bereketli Satış'!$M:$M,$T$4)</f>
        <v>0</v>
      </c>
      <c r="U24" s="159">
        <f>COUNTIFS('Bereketli Satış'!$D:$D,D24,'Bereketli Satış'!$E:$E,E24,'Bereketli Satış'!$F:$F,F24,'Bereketli Satış'!$M:$M,$U$4)</f>
        <v>0</v>
      </c>
      <c r="V24" s="183">
        <f>COUNTIFS('Bereketli Satış'!$D:$D,D24,'Bereketli Satış'!$E:$E,E24,'Bereketli Satış'!$F:$F,F24,'Bereketli Satış'!$M:$M,$V$4)</f>
        <v>0</v>
      </c>
      <c r="W24">
        <f t="shared" si="2"/>
        <v>1</v>
      </c>
      <c r="AB24" t="str">
        <f t="shared" si="0"/>
        <v>Uygun</v>
      </c>
    </row>
    <row r="25" spans="4:39">
      <c r="D25" s="151" t="s">
        <v>17</v>
      </c>
      <c r="E25" s="152" t="s">
        <v>21</v>
      </c>
      <c r="F25" s="143" t="s">
        <v>52</v>
      </c>
      <c r="G25" s="181">
        <f>COUNTIFS('Bereketli Satış'!D:D,D25,'Bereketli Satış'!$E:$E,E25,'Bereketli Satış'!$F:$F,F25)</f>
        <v>1</v>
      </c>
      <c r="H25" s="164">
        <f>COUNTIFS('Bereketli Satış'!$D:$D,D25,'Bereketli Satış'!$E:$E,E25,'Bereketli Satış'!$F:$F,F25,'Bereketli Satış'!$L:$L,$H$4)</f>
        <v>0</v>
      </c>
      <c r="I25" s="159">
        <f>COUNTIFS('Bereketli Satış'!$D:$D,D25,'Bereketli Satış'!$E:$E,E25,'Bereketli Satış'!$F:$F,F25,'Bereketli Satış'!$L:$L,$I$4)</f>
        <v>0</v>
      </c>
      <c r="J25" s="159">
        <f>COUNTIFS('Bereketli Satış'!$D:$D,D25,'Bereketli Satış'!$E:$E,E25,'Bereketli Satış'!$F:$F,F25,'Bereketli Satış'!$L:$L,$J$4)</f>
        <v>1</v>
      </c>
      <c r="K25" s="159">
        <f>COUNTIFS('Bereketli Satış'!$D:$D,D25,'Bereketli Satış'!$E:$E,E25,'Bereketli Satış'!$F:$F,F25,'Bereketli Satış'!$L:$L,$K$4)</f>
        <v>0</v>
      </c>
      <c r="L25" s="165">
        <f>COUNTIFS('Bereketli Satış'!$D:$D,D25,'Bereketli Satış'!$E:$E,E25,'Bereketli Satış'!$F:$F,F25,'Bereketli Satış'!$L:$L,$L$4)</f>
        <v>0</v>
      </c>
      <c r="M25" s="179">
        <f t="shared" si="1"/>
        <v>1</v>
      </c>
      <c r="N25" s="164">
        <f>COUNTIFS('Bereketli Satış'!$D:$D,D25,'Bereketli Satış'!$E:$E,E25,'Bereketli Satış'!$F:$F,F25,'Bereketli Satış'!$M:$M,$N$4)</f>
        <v>0</v>
      </c>
      <c r="O25" s="159">
        <f>COUNTIFS('Bereketli Satış'!$D:$D,D25,'Bereketli Satış'!$E:$E,E25,'Bereketli Satış'!$F:$F,F25,'Bereketli Satış'!$M:$M,$O$4)</f>
        <v>0</v>
      </c>
      <c r="P25" s="159">
        <f>COUNTIFS('Bereketli Satış'!$D:$D,D25,'Bereketli Satış'!$E:$E,E25,'Bereketli Satış'!$F:$F,F25,'Bereketli Satış'!$M:$M,$P$4)</f>
        <v>1</v>
      </c>
      <c r="Q25" s="159">
        <f>COUNTIFS('Bereketli Satış'!$D:$D,D25,'Bereketli Satış'!$E:$E,E25,'Bereketli Satış'!$F:$F,F25,'Bereketli Satış'!$M:$M,$Q$4)</f>
        <v>0</v>
      </c>
      <c r="R25" s="159">
        <f>COUNTIFS('Bereketli Satış'!$D:$D,D25,'Bereketli Satış'!$E:$E,E25,'Bereketli Satış'!$F:$F,F25,'Bereketli Satış'!$M:$M,$R$4)</f>
        <v>0</v>
      </c>
      <c r="S25" s="159">
        <f>COUNTIFS('Bereketli Satış'!$D:$D,D25,'Bereketli Satış'!$E:$E,E25,'Bereketli Satış'!$F:$F,F25,'Bereketli Satış'!$M:$M,$S$4)</f>
        <v>0</v>
      </c>
      <c r="T25" s="160">
        <f>COUNTIFS('Bereketli Satış'!$D:$D,D25,'Bereketli Satış'!$E:$E,E25,'Bereketli Satış'!$F:$F,F25,'Bereketli Satış'!$M:$M,$T$4)</f>
        <v>0</v>
      </c>
      <c r="U25" s="159">
        <f>COUNTIFS('Bereketli Satış'!$D:$D,D25,'Bereketli Satış'!$E:$E,E25,'Bereketli Satış'!$F:$F,F25,'Bereketli Satış'!$M:$M,$U$4)</f>
        <v>0</v>
      </c>
      <c r="V25" s="183">
        <f>COUNTIFS('Bereketli Satış'!$D:$D,D25,'Bereketli Satış'!$E:$E,E25,'Bereketli Satış'!$F:$F,F25,'Bereketli Satış'!$M:$M,$V$4)</f>
        <v>0</v>
      </c>
      <c r="W25">
        <f t="shared" si="2"/>
        <v>1</v>
      </c>
      <c r="AB25" t="str">
        <f t="shared" si="0"/>
        <v>Uygun</v>
      </c>
    </row>
    <row r="26" spans="4:39">
      <c r="D26" s="151" t="s">
        <v>17</v>
      </c>
      <c r="E26" s="153" t="s">
        <v>21</v>
      </c>
      <c r="F26" s="143" t="s">
        <v>22</v>
      </c>
      <c r="G26" s="181">
        <f>COUNTIFS('Bereketli Satış'!D:D,D26,'Bereketli Satış'!$E:$E,E26,'Bereketli Satış'!$F:$F,F26)</f>
        <v>1</v>
      </c>
      <c r="H26" s="164">
        <f>COUNTIFS('Bereketli Satış'!$D:$D,D26,'Bereketli Satış'!$E:$E,E26,'Bereketli Satış'!$F:$F,F26,'Bereketli Satış'!$L:$L,$H$4)</f>
        <v>0</v>
      </c>
      <c r="I26" s="159">
        <f>COUNTIFS('Bereketli Satış'!$D:$D,D26,'Bereketli Satış'!$E:$E,E26,'Bereketli Satış'!$F:$F,F26,'Bereketli Satış'!$L:$L,$I$4)</f>
        <v>0</v>
      </c>
      <c r="J26" s="159">
        <f>COUNTIFS('Bereketli Satış'!$D:$D,D26,'Bereketli Satış'!$E:$E,E26,'Bereketli Satış'!$F:$F,F26,'Bereketli Satış'!$L:$L,$J$4)</f>
        <v>1</v>
      </c>
      <c r="K26" s="159">
        <f>COUNTIFS('Bereketli Satış'!$D:$D,D26,'Bereketli Satış'!$E:$E,E26,'Bereketli Satış'!$F:$F,F26,'Bereketli Satış'!$L:$L,$K$4)</f>
        <v>0</v>
      </c>
      <c r="L26" s="165">
        <f>COUNTIFS('Bereketli Satış'!$D:$D,D26,'Bereketli Satış'!$E:$E,E26,'Bereketli Satış'!$F:$F,F26,'Bereketli Satış'!$L:$L,$L$4)</f>
        <v>0</v>
      </c>
      <c r="M26" s="179">
        <f t="shared" si="1"/>
        <v>1</v>
      </c>
      <c r="N26" s="164">
        <f>COUNTIFS('Bereketli Satış'!$D:$D,D26,'Bereketli Satış'!$E:$E,E26,'Bereketli Satış'!$F:$F,F26,'Bereketli Satış'!$M:$M,$N$4)</f>
        <v>0</v>
      </c>
      <c r="O26" s="159">
        <f>COUNTIFS('Bereketli Satış'!$D:$D,D26,'Bereketli Satış'!$E:$E,E26,'Bereketli Satış'!$F:$F,F26,'Bereketli Satış'!$M:$M,$O$4)</f>
        <v>0</v>
      </c>
      <c r="P26" s="159">
        <f>COUNTIFS('Bereketli Satış'!$D:$D,D26,'Bereketli Satış'!$E:$E,E26,'Bereketli Satış'!$F:$F,F26,'Bereketli Satış'!$M:$M,$P$4)</f>
        <v>1</v>
      </c>
      <c r="Q26" s="159">
        <f>COUNTIFS('Bereketli Satış'!$D:$D,D26,'Bereketli Satış'!$E:$E,E26,'Bereketli Satış'!$F:$F,F26,'Bereketli Satış'!$M:$M,$Q$4)</f>
        <v>0</v>
      </c>
      <c r="R26" s="159">
        <f>COUNTIFS('Bereketli Satış'!$D:$D,D26,'Bereketli Satış'!$E:$E,E26,'Bereketli Satış'!$F:$F,F26,'Bereketli Satış'!$M:$M,$R$4)</f>
        <v>0</v>
      </c>
      <c r="S26" s="159">
        <f>COUNTIFS('Bereketli Satış'!$D:$D,D26,'Bereketli Satış'!$E:$E,E26,'Bereketli Satış'!$F:$F,F26,'Bereketli Satış'!$M:$M,$S$4)</f>
        <v>0</v>
      </c>
      <c r="T26" s="160">
        <f>COUNTIFS('Bereketli Satış'!$D:$D,D26,'Bereketli Satış'!$E:$E,E26,'Bereketli Satış'!$F:$F,F26,'Bereketli Satış'!$M:$M,$T$4)</f>
        <v>0</v>
      </c>
      <c r="U26" s="159">
        <f>COUNTIFS('Bereketli Satış'!$D:$D,D26,'Bereketli Satış'!$E:$E,E26,'Bereketli Satış'!$F:$F,F26,'Bereketli Satış'!$M:$M,$U$4)</f>
        <v>0</v>
      </c>
      <c r="V26" s="183">
        <f>COUNTIFS('Bereketli Satış'!$D:$D,D26,'Bereketli Satış'!$E:$E,E26,'Bereketli Satış'!$F:$F,F26,'Bereketli Satış'!$M:$M,$V$4)</f>
        <v>0</v>
      </c>
      <c r="W26">
        <f t="shared" si="2"/>
        <v>1</v>
      </c>
      <c r="AB26" t="str">
        <f t="shared" si="0"/>
        <v>Uygun</v>
      </c>
    </row>
    <row r="27" spans="4:39">
      <c r="D27" s="151" t="s">
        <v>17</v>
      </c>
      <c r="E27" s="154" t="s">
        <v>21</v>
      </c>
      <c r="F27" s="143" t="s">
        <v>111</v>
      </c>
      <c r="G27" s="181">
        <f>COUNTIFS('Bereketli Satış'!D:D,D27,'Bereketli Satış'!$E:$E,E27,'Bereketli Satış'!$F:$F,F27)</f>
        <v>1</v>
      </c>
      <c r="H27" s="164">
        <f>COUNTIFS('Bereketli Satış'!$D:$D,D27,'Bereketli Satış'!$E:$E,E27,'Bereketli Satış'!$F:$F,F27,'Bereketli Satış'!$L:$L,$H$4)</f>
        <v>1</v>
      </c>
      <c r="I27" s="159">
        <f>COUNTIFS('Bereketli Satış'!$D:$D,D27,'Bereketli Satış'!$E:$E,E27,'Bereketli Satış'!$F:$F,F27,'Bereketli Satış'!$L:$L,$I$4)</f>
        <v>0</v>
      </c>
      <c r="J27" s="159">
        <f>COUNTIFS('Bereketli Satış'!$D:$D,D27,'Bereketli Satış'!$E:$E,E27,'Bereketli Satış'!$F:$F,F27,'Bereketli Satış'!$L:$L,$J$4)</f>
        <v>0</v>
      </c>
      <c r="K27" s="159">
        <f>COUNTIFS('Bereketli Satış'!$D:$D,D27,'Bereketli Satış'!$E:$E,E27,'Bereketli Satış'!$F:$F,F27,'Bereketli Satış'!$L:$L,$K$4)</f>
        <v>0</v>
      </c>
      <c r="L27" s="165">
        <f>COUNTIFS('Bereketli Satış'!$D:$D,D27,'Bereketli Satış'!$E:$E,E27,'Bereketli Satış'!$F:$F,F27,'Bereketli Satış'!$L:$L,$L$4)</f>
        <v>0</v>
      </c>
      <c r="M27" s="179">
        <f t="shared" si="1"/>
        <v>1</v>
      </c>
      <c r="N27" s="164">
        <f>COUNTIFS('Bereketli Satış'!$D:$D,D27,'Bereketli Satış'!$E:$E,E27,'Bereketli Satış'!$F:$F,F27,'Bereketli Satış'!$M:$M,$N$4)</f>
        <v>0</v>
      </c>
      <c r="O27" s="159">
        <f>COUNTIFS('Bereketli Satış'!$D:$D,D27,'Bereketli Satış'!$E:$E,E27,'Bereketli Satış'!$F:$F,F27,'Bereketli Satış'!$M:$M,$O$4)</f>
        <v>0</v>
      </c>
      <c r="P27" s="159">
        <f>COUNTIFS('Bereketli Satış'!$D:$D,D27,'Bereketli Satış'!$E:$E,E27,'Bereketli Satış'!$F:$F,F27,'Bereketli Satış'!$M:$M,$P$4)</f>
        <v>0</v>
      </c>
      <c r="Q27" s="159">
        <f>COUNTIFS('Bereketli Satış'!$D:$D,D27,'Bereketli Satış'!$E:$E,E27,'Bereketli Satış'!$F:$F,F27,'Bereketli Satış'!$M:$M,$Q$4)</f>
        <v>0</v>
      </c>
      <c r="R27" s="159">
        <f>COUNTIFS('Bereketli Satış'!$D:$D,D27,'Bereketli Satış'!$E:$E,E27,'Bereketli Satış'!$F:$F,F27,'Bereketli Satış'!$M:$M,$R$4)</f>
        <v>0</v>
      </c>
      <c r="S27" s="159">
        <f>COUNTIFS('Bereketli Satış'!$D:$D,D27,'Bereketli Satış'!$E:$E,E27,'Bereketli Satış'!$F:$F,F27,'Bereketli Satış'!$M:$M,$S$4)</f>
        <v>0</v>
      </c>
      <c r="T27" s="160">
        <f>COUNTIFS('Bereketli Satış'!$D:$D,D27,'Bereketli Satış'!$E:$E,E27,'Bereketli Satış'!$F:$F,F27,'Bereketli Satış'!$M:$M,$T$4)</f>
        <v>0</v>
      </c>
      <c r="U27" s="159">
        <f>COUNTIFS('Bereketli Satış'!$D:$D,D27,'Bereketli Satış'!$E:$E,E27,'Bereketli Satış'!$F:$F,F27,'Bereketli Satış'!$M:$M,$U$4)</f>
        <v>1</v>
      </c>
      <c r="V27" s="183">
        <f>COUNTIFS('Bereketli Satış'!$D:$D,D27,'Bereketli Satış'!$E:$E,E27,'Bereketli Satış'!$F:$F,F27,'Bereketli Satış'!$M:$M,$V$4)</f>
        <v>0</v>
      </c>
      <c r="W27">
        <f t="shared" si="2"/>
        <v>1</v>
      </c>
      <c r="AB27" t="str">
        <f t="shared" si="0"/>
        <v>Uygun</v>
      </c>
    </row>
    <row r="28" spans="4:39">
      <c r="D28" s="151" t="s">
        <v>17</v>
      </c>
      <c r="E28" s="147" t="s">
        <v>18</v>
      </c>
      <c r="F28" s="143" t="s">
        <v>140</v>
      </c>
      <c r="G28" s="181">
        <f>COUNTIFS('Bereketli Satış'!D:D,D28,'Bereketli Satış'!$E:$E,E28,'Bereketli Satış'!$F:$F,F28)</f>
        <v>1</v>
      </c>
      <c r="H28" s="164">
        <f>COUNTIFS('Bereketli Satış'!$D:$D,D28,'Bereketli Satış'!$E:$E,E28,'Bereketli Satış'!$F:$F,F28,'Bereketli Satış'!$L:$L,$H$4)</f>
        <v>1</v>
      </c>
      <c r="I28" s="159">
        <f>COUNTIFS('Bereketli Satış'!$D:$D,D28,'Bereketli Satış'!$E:$E,E28,'Bereketli Satış'!$F:$F,F28,'Bereketli Satış'!$L:$L,$I$4)</f>
        <v>0</v>
      </c>
      <c r="J28" s="159">
        <f>COUNTIFS('Bereketli Satış'!$D:$D,D28,'Bereketli Satış'!$E:$E,E28,'Bereketli Satış'!$F:$F,F28,'Bereketli Satış'!$L:$L,$J$4)</f>
        <v>0</v>
      </c>
      <c r="K28" s="159">
        <f>COUNTIFS('Bereketli Satış'!$D:$D,D28,'Bereketli Satış'!$E:$E,E28,'Bereketli Satış'!$F:$F,F28,'Bereketli Satış'!$L:$L,$K$4)</f>
        <v>0</v>
      </c>
      <c r="L28" s="165">
        <f>COUNTIFS('Bereketli Satış'!$D:$D,D28,'Bereketli Satış'!$E:$E,E28,'Bereketli Satış'!$F:$F,F28,'Bereketli Satış'!$L:$L,$L$4)</f>
        <v>0</v>
      </c>
      <c r="M28" s="179">
        <f t="shared" si="1"/>
        <v>1</v>
      </c>
      <c r="N28" s="164">
        <f>COUNTIFS('Bereketli Satış'!$D:$D,D28,'Bereketli Satış'!$E:$E,E28,'Bereketli Satış'!$F:$F,F28,'Bereketli Satış'!$M:$M,$N$4)</f>
        <v>0</v>
      </c>
      <c r="O28" s="159">
        <f>COUNTIFS('Bereketli Satış'!$D:$D,D28,'Bereketli Satış'!$E:$E,E28,'Bereketli Satış'!$F:$F,F28,'Bereketli Satış'!$M:$M,$O$4)</f>
        <v>0</v>
      </c>
      <c r="P28" s="159">
        <f>COUNTIFS('Bereketli Satış'!$D:$D,D28,'Bereketli Satış'!$E:$E,E28,'Bereketli Satış'!$F:$F,F28,'Bereketli Satış'!$M:$M,$P$4)</f>
        <v>0</v>
      </c>
      <c r="Q28" s="159">
        <f>COUNTIFS('Bereketli Satış'!$D:$D,D28,'Bereketli Satış'!$E:$E,E28,'Bereketli Satış'!$F:$F,F28,'Bereketli Satış'!$M:$M,$Q$4)</f>
        <v>0</v>
      </c>
      <c r="R28" s="159">
        <f>COUNTIFS('Bereketli Satış'!$D:$D,D28,'Bereketli Satış'!$E:$E,E28,'Bereketli Satış'!$F:$F,F28,'Bereketli Satış'!$M:$M,$R$4)</f>
        <v>0</v>
      </c>
      <c r="S28" s="159">
        <f>COUNTIFS('Bereketli Satış'!$D:$D,D28,'Bereketli Satış'!$E:$E,E28,'Bereketli Satış'!$F:$F,F28,'Bereketli Satış'!$M:$M,$S$4)</f>
        <v>0</v>
      </c>
      <c r="T28" s="160">
        <f>COUNTIFS('Bereketli Satış'!$D:$D,D28,'Bereketli Satış'!$E:$E,E28,'Bereketli Satış'!$F:$F,F28,'Bereketli Satış'!$M:$M,$T$4)</f>
        <v>0</v>
      </c>
      <c r="U28" s="159">
        <f>COUNTIFS('Bereketli Satış'!$D:$D,D28,'Bereketli Satış'!$E:$E,E28,'Bereketli Satış'!$F:$F,F28,'Bereketli Satış'!$M:$M,$U$4)</f>
        <v>1</v>
      </c>
      <c r="V28" s="183">
        <f>COUNTIFS('Bereketli Satış'!$D:$D,D28,'Bereketli Satış'!$E:$E,E28,'Bereketli Satış'!$F:$F,F28,'Bereketli Satış'!$M:$M,$V$4)</f>
        <v>0</v>
      </c>
      <c r="W28">
        <f t="shared" si="2"/>
        <v>1</v>
      </c>
      <c r="AB28" t="str">
        <f t="shared" si="0"/>
        <v>Uygun</v>
      </c>
    </row>
    <row r="29" spans="4:39">
      <c r="D29" s="151" t="s">
        <v>17</v>
      </c>
      <c r="E29" s="147" t="s">
        <v>18</v>
      </c>
      <c r="F29" s="143" t="s">
        <v>25</v>
      </c>
      <c r="G29" s="181">
        <f>COUNTIFS('Bereketli Satış'!D:D,D29,'Bereketli Satış'!$E:$E,E29,'Bereketli Satış'!$F:$F,F29)</f>
        <v>1</v>
      </c>
      <c r="H29" s="164">
        <f>COUNTIFS('Bereketli Satış'!$D:$D,D29,'Bereketli Satış'!$E:$E,E29,'Bereketli Satış'!$F:$F,F29,'Bereketli Satış'!$L:$L,$H$4)</f>
        <v>0</v>
      </c>
      <c r="I29" s="159">
        <f>COUNTIFS('Bereketli Satış'!$D:$D,D29,'Bereketli Satış'!$E:$E,E29,'Bereketli Satış'!$F:$F,F29,'Bereketli Satış'!$L:$L,$I$4)</f>
        <v>0</v>
      </c>
      <c r="J29" s="159">
        <f>COUNTIFS('Bereketli Satış'!$D:$D,D29,'Bereketli Satış'!$E:$E,E29,'Bereketli Satış'!$F:$F,F29,'Bereketli Satış'!$L:$L,$J$4)</f>
        <v>1</v>
      </c>
      <c r="K29" s="159">
        <f>COUNTIFS('Bereketli Satış'!$D:$D,D29,'Bereketli Satış'!$E:$E,E29,'Bereketli Satış'!$F:$F,F29,'Bereketli Satış'!$L:$L,$K$4)</f>
        <v>0</v>
      </c>
      <c r="L29" s="165">
        <f>COUNTIFS('Bereketli Satış'!$D:$D,D29,'Bereketli Satış'!$E:$E,E29,'Bereketli Satış'!$F:$F,F29,'Bereketli Satış'!$L:$L,$L$4)</f>
        <v>0</v>
      </c>
      <c r="M29" s="179">
        <f t="shared" si="1"/>
        <v>1</v>
      </c>
      <c r="N29" s="164">
        <f>COUNTIFS('Bereketli Satış'!$D:$D,D29,'Bereketli Satış'!$E:$E,E29,'Bereketli Satış'!$F:$F,F29,'Bereketli Satış'!$M:$M,$N$4)</f>
        <v>0</v>
      </c>
      <c r="O29" s="159">
        <f>COUNTIFS('Bereketli Satış'!$D:$D,D29,'Bereketli Satış'!$E:$E,E29,'Bereketli Satış'!$F:$F,F29,'Bereketli Satış'!$M:$M,$O$4)</f>
        <v>1</v>
      </c>
      <c r="P29" s="159">
        <f>COUNTIFS('Bereketli Satış'!$D:$D,D29,'Bereketli Satış'!$E:$E,E29,'Bereketli Satış'!$F:$F,F29,'Bereketli Satış'!$M:$M,$P$4)</f>
        <v>0</v>
      </c>
      <c r="Q29" s="159">
        <f>COUNTIFS('Bereketli Satış'!$D:$D,D29,'Bereketli Satış'!$E:$E,E29,'Bereketli Satış'!$F:$F,F29,'Bereketli Satış'!$M:$M,$Q$4)</f>
        <v>0</v>
      </c>
      <c r="R29" s="159">
        <f>COUNTIFS('Bereketli Satış'!$D:$D,D29,'Bereketli Satış'!$E:$E,E29,'Bereketli Satış'!$F:$F,F29,'Bereketli Satış'!$M:$M,$R$4)</f>
        <v>0</v>
      </c>
      <c r="S29" s="159">
        <f>COUNTIFS('Bereketli Satış'!$D:$D,D29,'Bereketli Satış'!$E:$E,E29,'Bereketli Satış'!$F:$F,F29,'Bereketli Satış'!$M:$M,$S$4)</f>
        <v>0</v>
      </c>
      <c r="T29" s="160">
        <f>COUNTIFS('Bereketli Satış'!$D:$D,D29,'Bereketli Satış'!$E:$E,E29,'Bereketli Satış'!$F:$F,F29,'Bereketli Satış'!$M:$M,$T$4)</f>
        <v>0</v>
      </c>
      <c r="U29" s="159">
        <f>COUNTIFS('Bereketli Satış'!$D:$D,D29,'Bereketli Satış'!$E:$E,E29,'Bereketli Satış'!$F:$F,F29,'Bereketli Satış'!$M:$M,$U$4)</f>
        <v>0</v>
      </c>
      <c r="V29" s="183">
        <f>COUNTIFS('Bereketli Satış'!$D:$D,D29,'Bereketli Satış'!$E:$E,E29,'Bereketli Satış'!$F:$F,F29,'Bereketli Satış'!$M:$M,$V$4)</f>
        <v>0</v>
      </c>
      <c r="W29">
        <f t="shared" si="2"/>
        <v>1</v>
      </c>
      <c r="AB29" t="str">
        <f t="shared" si="0"/>
        <v>Uygun</v>
      </c>
    </row>
    <row r="30" spans="4:39">
      <c r="D30" s="151" t="s">
        <v>17</v>
      </c>
      <c r="E30" s="147" t="s">
        <v>18</v>
      </c>
      <c r="F30" s="143" t="s">
        <v>19</v>
      </c>
      <c r="G30" s="181">
        <f>COUNTIFS('Bereketli Satış'!D:D,D30,'Bereketli Satış'!$E:$E,E30,'Bereketli Satış'!$F:$F,F30)</f>
        <v>1</v>
      </c>
      <c r="H30" s="164">
        <f>COUNTIFS('Bereketli Satış'!$D:$D,D30,'Bereketli Satış'!$E:$E,E30,'Bereketli Satış'!$F:$F,F30,'Bereketli Satış'!$L:$L,$H$4)</f>
        <v>0</v>
      </c>
      <c r="I30" s="159">
        <f>COUNTIFS('Bereketli Satış'!$D:$D,D30,'Bereketli Satış'!$E:$E,E30,'Bereketli Satış'!$F:$F,F30,'Bereketli Satış'!$L:$L,$I$4)</f>
        <v>0</v>
      </c>
      <c r="J30" s="159">
        <f>COUNTIFS('Bereketli Satış'!$D:$D,D30,'Bereketli Satış'!$E:$E,E30,'Bereketli Satış'!$F:$F,F30,'Bereketli Satış'!$L:$L,$J$4)</f>
        <v>1</v>
      </c>
      <c r="K30" s="159">
        <f>COUNTIFS('Bereketli Satış'!$D:$D,D30,'Bereketli Satış'!$E:$E,E30,'Bereketli Satış'!$F:$F,F30,'Bereketli Satış'!$L:$L,$K$4)</f>
        <v>0</v>
      </c>
      <c r="L30" s="165">
        <f>COUNTIFS('Bereketli Satış'!$D:$D,D30,'Bereketli Satış'!$E:$E,E30,'Bereketli Satış'!$F:$F,F30,'Bereketli Satış'!$L:$L,$L$4)</f>
        <v>0</v>
      </c>
      <c r="M30" s="179">
        <f t="shared" si="1"/>
        <v>1</v>
      </c>
      <c r="N30" s="164">
        <f>COUNTIFS('Bereketli Satış'!$D:$D,D30,'Bereketli Satış'!$E:$E,E30,'Bereketli Satış'!$F:$F,F30,'Bereketli Satış'!$M:$M,$N$4)</f>
        <v>0</v>
      </c>
      <c r="O30" s="159">
        <f>COUNTIFS('Bereketli Satış'!$D:$D,D30,'Bereketli Satış'!$E:$E,E30,'Bereketli Satış'!$F:$F,F30,'Bereketli Satış'!$M:$M,$O$4)</f>
        <v>1</v>
      </c>
      <c r="P30" s="159">
        <f>COUNTIFS('Bereketli Satış'!$D:$D,D30,'Bereketli Satış'!$E:$E,E30,'Bereketli Satış'!$F:$F,F30,'Bereketli Satış'!$M:$M,$P$4)</f>
        <v>0</v>
      </c>
      <c r="Q30" s="159">
        <f>COUNTIFS('Bereketli Satış'!$D:$D,D30,'Bereketli Satış'!$E:$E,E30,'Bereketli Satış'!$F:$F,F30,'Bereketli Satış'!$M:$M,$Q$4)</f>
        <v>0</v>
      </c>
      <c r="R30" s="159">
        <f>COUNTIFS('Bereketli Satış'!$D:$D,D30,'Bereketli Satış'!$E:$E,E30,'Bereketli Satış'!$F:$F,F30,'Bereketli Satış'!$M:$M,$R$4)</f>
        <v>0</v>
      </c>
      <c r="S30" s="159">
        <f>COUNTIFS('Bereketli Satış'!$D:$D,D30,'Bereketli Satış'!$E:$E,E30,'Bereketli Satış'!$F:$F,F30,'Bereketli Satış'!$M:$M,$S$4)</f>
        <v>0</v>
      </c>
      <c r="T30" s="160">
        <f>COUNTIFS('Bereketli Satış'!$D:$D,D30,'Bereketli Satış'!$E:$E,E30,'Bereketli Satış'!$F:$F,F30,'Bereketli Satış'!$M:$M,$T$4)</f>
        <v>0</v>
      </c>
      <c r="U30" s="159">
        <f>COUNTIFS('Bereketli Satış'!$D:$D,D30,'Bereketli Satış'!$E:$E,E30,'Bereketli Satış'!$F:$F,F30,'Bereketli Satış'!$M:$M,$U$4)</f>
        <v>0</v>
      </c>
      <c r="V30" s="183">
        <f>COUNTIFS('Bereketli Satış'!$D:$D,D30,'Bereketli Satış'!$E:$E,E30,'Bereketli Satış'!$F:$F,F30,'Bereketli Satış'!$M:$M,$V$4)</f>
        <v>0</v>
      </c>
      <c r="W30">
        <f t="shared" si="2"/>
        <v>1</v>
      </c>
      <c r="AB30" t="str">
        <f t="shared" si="0"/>
        <v>Uygun</v>
      </c>
    </row>
    <row r="31" spans="4:39">
      <c r="D31" s="151" t="s">
        <v>17</v>
      </c>
      <c r="E31" s="147" t="s">
        <v>18</v>
      </c>
      <c r="F31" s="143" t="s">
        <v>35</v>
      </c>
      <c r="G31" s="181">
        <f>COUNTIFS('Bereketli Satış'!D:D,D31,'Bereketli Satış'!$E:$E,E31,'Bereketli Satış'!$F:$F,F31)</f>
        <v>1</v>
      </c>
      <c r="H31" s="164">
        <f>COUNTIFS('Bereketli Satış'!$D:$D,D31,'Bereketli Satış'!$E:$E,E31,'Bereketli Satış'!$F:$F,F31,'Bereketli Satış'!$L:$L,$H$4)</f>
        <v>0</v>
      </c>
      <c r="I31" s="159">
        <f>COUNTIFS('Bereketli Satış'!$D:$D,D31,'Bereketli Satış'!$E:$E,E31,'Bereketli Satış'!$F:$F,F31,'Bereketli Satış'!$L:$L,$I$4)</f>
        <v>0</v>
      </c>
      <c r="J31" s="159">
        <f>COUNTIFS('Bereketli Satış'!$D:$D,D31,'Bereketli Satış'!$E:$E,E31,'Bereketli Satış'!$F:$F,F31,'Bereketli Satış'!$L:$L,$J$4)</f>
        <v>1</v>
      </c>
      <c r="K31" s="159">
        <f>COUNTIFS('Bereketli Satış'!$D:$D,D31,'Bereketli Satış'!$E:$E,E31,'Bereketli Satış'!$F:$F,F31,'Bereketli Satış'!$L:$L,$K$4)</f>
        <v>0</v>
      </c>
      <c r="L31" s="165">
        <f>COUNTIFS('Bereketli Satış'!$D:$D,D31,'Bereketli Satış'!$E:$E,E31,'Bereketli Satış'!$F:$F,F31,'Bereketli Satış'!$L:$L,$L$4)</f>
        <v>0</v>
      </c>
      <c r="M31" s="179">
        <f t="shared" si="1"/>
        <v>1</v>
      </c>
      <c r="N31" s="164">
        <f>COUNTIFS('Bereketli Satış'!$D:$D,D31,'Bereketli Satış'!$E:$E,E31,'Bereketli Satış'!$F:$F,F31,'Bereketli Satış'!$M:$M,$N$4)</f>
        <v>0</v>
      </c>
      <c r="O31" s="159">
        <f>COUNTIFS('Bereketli Satış'!$D:$D,D31,'Bereketli Satış'!$E:$E,E31,'Bereketli Satış'!$F:$F,F31,'Bereketli Satış'!$M:$M,$O$4)</f>
        <v>1</v>
      </c>
      <c r="P31" s="159">
        <f>COUNTIFS('Bereketli Satış'!$D:$D,D31,'Bereketli Satış'!$E:$E,E31,'Bereketli Satış'!$F:$F,F31,'Bereketli Satış'!$M:$M,$P$4)</f>
        <v>0</v>
      </c>
      <c r="Q31" s="159">
        <f>COUNTIFS('Bereketli Satış'!$D:$D,D31,'Bereketli Satış'!$E:$E,E31,'Bereketli Satış'!$F:$F,F31,'Bereketli Satış'!$M:$M,$Q$4)</f>
        <v>0</v>
      </c>
      <c r="R31" s="159">
        <f>COUNTIFS('Bereketli Satış'!$D:$D,D31,'Bereketli Satış'!$E:$E,E31,'Bereketli Satış'!$F:$F,F31,'Bereketli Satış'!$M:$M,$R$4)</f>
        <v>0</v>
      </c>
      <c r="S31" s="159">
        <f>COUNTIFS('Bereketli Satış'!$D:$D,D31,'Bereketli Satış'!$E:$E,E31,'Bereketli Satış'!$F:$F,F31,'Bereketli Satış'!$M:$M,$S$4)</f>
        <v>0</v>
      </c>
      <c r="T31" s="160">
        <f>COUNTIFS('Bereketli Satış'!$D:$D,D31,'Bereketli Satış'!$E:$E,E31,'Bereketli Satış'!$F:$F,F31,'Bereketli Satış'!$M:$M,$T$4)</f>
        <v>0</v>
      </c>
      <c r="U31" s="159">
        <f>COUNTIFS('Bereketli Satış'!$D:$D,D31,'Bereketli Satış'!$E:$E,E31,'Bereketli Satış'!$F:$F,F31,'Bereketli Satış'!$M:$M,$U$4)</f>
        <v>0</v>
      </c>
      <c r="V31" s="183">
        <f>COUNTIFS('Bereketli Satış'!$D:$D,D31,'Bereketli Satış'!$E:$E,E31,'Bereketli Satış'!$F:$F,F31,'Bereketli Satış'!$M:$M,$V$4)</f>
        <v>0</v>
      </c>
      <c r="W31">
        <f t="shared" si="2"/>
        <v>1</v>
      </c>
      <c r="AB31" t="str">
        <f t="shared" si="0"/>
        <v>Uygun</v>
      </c>
    </row>
    <row r="32" spans="4:39">
      <c r="D32" s="151" t="s">
        <v>17</v>
      </c>
      <c r="E32" s="142" t="s">
        <v>18</v>
      </c>
      <c r="F32" s="143" t="s">
        <v>20</v>
      </c>
      <c r="G32" s="181">
        <f>COUNTIFS('Bereketli Satış'!D:D,D32,'Bereketli Satış'!$E:$E,E32,'Bereketli Satış'!$F:$F,F32)</f>
        <v>1</v>
      </c>
      <c r="H32" s="164">
        <f>COUNTIFS('Bereketli Satış'!$D:$D,D32,'Bereketli Satış'!$E:$E,E32,'Bereketli Satış'!$F:$F,F32,'Bereketli Satış'!$L:$L,$H$4)</f>
        <v>0</v>
      </c>
      <c r="I32" s="159">
        <f>COUNTIFS('Bereketli Satış'!$D:$D,D32,'Bereketli Satış'!$E:$E,E32,'Bereketli Satış'!$F:$F,F32,'Bereketli Satış'!$L:$L,$I$4)</f>
        <v>0</v>
      </c>
      <c r="J32" s="159">
        <f>COUNTIFS('Bereketli Satış'!$D:$D,D32,'Bereketli Satış'!$E:$E,E32,'Bereketli Satış'!$F:$F,F32,'Bereketli Satış'!$L:$L,$J$4)</f>
        <v>1</v>
      </c>
      <c r="K32" s="159">
        <f>COUNTIFS('Bereketli Satış'!$D:$D,D32,'Bereketli Satış'!$E:$E,E32,'Bereketli Satış'!$F:$F,F32,'Bereketli Satış'!$L:$L,$K$4)</f>
        <v>0</v>
      </c>
      <c r="L32" s="165">
        <f>COUNTIFS('Bereketli Satış'!$D:$D,D32,'Bereketli Satış'!$E:$E,E32,'Bereketli Satış'!$F:$F,F32,'Bereketli Satış'!$L:$L,$L$4)</f>
        <v>0</v>
      </c>
      <c r="M32" s="179">
        <f t="shared" si="1"/>
        <v>1</v>
      </c>
      <c r="N32" s="164">
        <f>COUNTIFS('Bereketli Satış'!$D:$D,D32,'Bereketli Satış'!$E:$E,E32,'Bereketli Satış'!$F:$F,F32,'Bereketli Satış'!$M:$M,$N$4)</f>
        <v>0</v>
      </c>
      <c r="O32" s="159">
        <f>COUNTIFS('Bereketli Satış'!$D:$D,D32,'Bereketli Satış'!$E:$E,E32,'Bereketli Satış'!$F:$F,F32,'Bereketli Satış'!$M:$M,$O$4)</f>
        <v>1</v>
      </c>
      <c r="P32" s="159">
        <f>COUNTIFS('Bereketli Satış'!$D:$D,D32,'Bereketli Satış'!$E:$E,E32,'Bereketli Satış'!$F:$F,F32,'Bereketli Satış'!$M:$M,$P$4)</f>
        <v>0</v>
      </c>
      <c r="Q32" s="159">
        <f>COUNTIFS('Bereketli Satış'!$D:$D,D32,'Bereketli Satış'!$E:$E,E32,'Bereketli Satış'!$F:$F,F32,'Bereketli Satış'!$M:$M,$Q$4)</f>
        <v>0</v>
      </c>
      <c r="R32" s="159">
        <f>COUNTIFS('Bereketli Satış'!$D:$D,D32,'Bereketli Satış'!$E:$E,E32,'Bereketli Satış'!$F:$F,F32,'Bereketli Satış'!$M:$M,$R$4)</f>
        <v>0</v>
      </c>
      <c r="S32" s="159">
        <f>COUNTIFS('Bereketli Satış'!$D:$D,D32,'Bereketli Satış'!$E:$E,E32,'Bereketli Satış'!$F:$F,F32,'Bereketli Satış'!$M:$M,$S$4)</f>
        <v>0</v>
      </c>
      <c r="T32" s="160">
        <f>COUNTIFS('Bereketli Satış'!$D:$D,D32,'Bereketli Satış'!$E:$E,E32,'Bereketli Satış'!$F:$F,F32,'Bereketli Satış'!$M:$M,$T$4)</f>
        <v>0</v>
      </c>
      <c r="U32" s="159">
        <f>COUNTIFS('Bereketli Satış'!$D:$D,D32,'Bereketli Satış'!$E:$E,E32,'Bereketli Satış'!$F:$F,F32,'Bereketli Satış'!$M:$M,$U$4)</f>
        <v>0</v>
      </c>
      <c r="V32" s="183">
        <f>COUNTIFS('Bereketli Satış'!$D:$D,D32,'Bereketli Satış'!$E:$E,E32,'Bereketli Satış'!$F:$F,F32,'Bereketli Satış'!$M:$M,$V$4)</f>
        <v>0</v>
      </c>
      <c r="W32">
        <f t="shared" si="2"/>
        <v>1</v>
      </c>
      <c r="AB32" t="str">
        <f t="shared" si="0"/>
        <v>Uygun</v>
      </c>
    </row>
    <row r="33" spans="4:28">
      <c r="D33" s="151" t="s">
        <v>17</v>
      </c>
      <c r="E33" s="142" t="s">
        <v>39</v>
      </c>
      <c r="F33" s="143" t="s">
        <v>40</v>
      </c>
      <c r="G33" s="181">
        <f>COUNTIFS('Bereketli Satış'!D:D,D33,'Bereketli Satış'!$E:$E,E33,'Bereketli Satış'!$F:$F,F33)</f>
        <v>1</v>
      </c>
      <c r="H33" s="164">
        <f>COUNTIFS('Bereketli Satış'!$D:$D,D33,'Bereketli Satış'!$E:$E,E33,'Bereketli Satış'!$F:$F,F33,'Bereketli Satış'!$L:$L,$H$4)</f>
        <v>0</v>
      </c>
      <c r="I33" s="159">
        <f>COUNTIFS('Bereketli Satış'!$D:$D,D33,'Bereketli Satış'!$E:$E,E33,'Bereketli Satış'!$F:$F,F33,'Bereketli Satış'!$L:$L,$I$4)</f>
        <v>0</v>
      </c>
      <c r="J33" s="159">
        <f>COUNTIFS('Bereketli Satış'!$D:$D,D33,'Bereketli Satış'!$E:$E,E33,'Bereketli Satış'!$F:$F,F33,'Bereketli Satış'!$L:$L,$J$4)</f>
        <v>0</v>
      </c>
      <c r="K33" s="159">
        <f>COUNTIFS('Bereketli Satış'!$D:$D,D33,'Bereketli Satış'!$E:$E,E33,'Bereketli Satış'!$F:$F,F33,'Bereketli Satış'!$L:$L,$K$4)</f>
        <v>1</v>
      </c>
      <c r="L33" s="165">
        <f>COUNTIFS('Bereketli Satış'!$D:$D,D33,'Bereketli Satış'!$E:$E,E33,'Bereketli Satış'!$F:$F,F33,'Bereketli Satış'!$L:$L,$L$4)</f>
        <v>0</v>
      </c>
      <c r="M33" s="179">
        <f t="shared" si="1"/>
        <v>1</v>
      </c>
      <c r="N33" s="164">
        <f>COUNTIFS('Bereketli Satış'!$D:$D,D33,'Bereketli Satış'!$E:$E,E33,'Bereketli Satış'!$F:$F,F33,'Bereketli Satış'!$M:$M,$N$4)</f>
        <v>0</v>
      </c>
      <c r="O33" s="159">
        <f>COUNTIFS('Bereketli Satış'!$D:$D,D33,'Bereketli Satış'!$E:$E,E33,'Bereketli Satış'!$F:$F,F33,'Bereketli Satış'!$M:$M,$O$4)</f>
        <v>0</v>
      </c>
      <c r="P33" s="159">
        <f>COUNTIFS('Bereketli Satış'!$D:$D,D33,'Bereketli Satış'!$E:$E,E33,'Bereketli Satış'!$F:$F,F33,'Bereketli Satış'!$M:$M,$P$4)</f>
        <v>0</v>
      </c>
      <c r="Q33" s="159">
        <f>COUNTIFS('Bereketli Satış'!$D:$D,D33,'Bereketli Satış'!$E:$E,E33,'Bereketli Satış'!$F:$F,F33,'Bereketli Satış'!$M:$M,$Q$4)</f>
        <v>0</v>
      </c>
      <c r="R33" s="159">
        <f>COUNTIFS('Bereketli Satış'!$D:$D,D33,'Bereketli Satış'!$E:$E,E33,'Bereketli Satış'!$F:$F,F33,'Bereketli Satış'!$M:$M,$R$4)</f>
        <v>0</v>
      </c>
      <c r="S33" s="159">
        <f>COUNTIFS('Bereketli Satış'!$D:$D,D33,'Bereketli Satış'!$E:$E,E33,'Bereketli Satış'!$F:$F,F33,'Bereketli Satış'!$M:$M,$S$4)</f>
        <v>0</v>
      </c>
      <c r="T33" s="160">
        <f>COUNTIFS('Bereketli Satış'!$D:$D,D33,'Bereketli Satış'!$E:$E,E33,'Bereketli Satış'!$F:$F,F33,'Bereketli Satış'!$M:$M,$T$4)</f>
        <v>0</v>
      </c>
      <c r="U33" s="159">
        <f>COUNTIFS('Bereketli Satış'!$D:$D,D33,'Bereketli Satış'!$E:$E,E33,'Bereketli Satış'!$F:$F,F33,'Bereketli Satış'!$M:$M,$U$4)</f>
        <v>1</v>
      </c>
      <c r="V33" s="183">
        <f>COUNTIFS('Bereketli Satış'!$D:$D,D33,'Bereketli Satış'!$E:$E,E33,'Bereketli Satış'!$F:$F,F33,'Bereketli Satış'!$M:$M,$V$4)</f>
        <v>0</v>
      </c>
      <c r="W33">
        <f t="shared" si="2"/>
        <v>1</v>
      </c>
      <c r="AB33" t="str">
        <f t="shared" si="0"/>
        <v>Uygun</v>
      </c>
    </row>
    <row r="34" spans="4:28">
      <c r="D34" s="151" t="s">
        <v>17</v>
      </c>
      <c r="E34" s="142" t="s">
        <v>76</v>
      </c>
      <c r="F34" s="143" t="s">
        <v>77</v>
      </c>
      <c r="G34" s="181">
        <f>COUNTIFS('Bereketli Satış'!D:D,D34,'Bereketli Satış'!$E:$E,E34,'Bereketli Satış'!$F:$F,F34)</f>
        <v>1</v>
      </c>
      <c r="H34" s="164">
        <f>COUNTIFS('Bereketli Satış'!$D:$D,D34,'Bereketli Satış'!$E:$E,E34,'Bereketli Satış'!$F:$F,F34,'Bereketli Satış'!$L:$L,$H$4)</f>
        <v>0</v>
      </c>
      <c r="I34" s="159">
        <f>COUNTIFS('Bereketli Satış'!$D:$D,D34,'Bereketli Satış'!$E:$E,E34,'Bereketli Satış'!$F:$F,F34,'Bereketli Satış'!$L:$L,$I$4)</f>
        <v>0</v>
      </c>
      <c r="J34" s="159">
        <f>COUNTIFS('Bereketli Satış'!$D:$D,D34,'Bereketli Satış'!$E:$E,E34,'Bereketli Satış'!$F:$F,F34,'Bereketli Satış'!$L:$L,$J$4)</f>
        <v>1</v>
      </c>
      <c r="K34" s="159">
        <f>COUNTIFS('Bereketli Satış'!$D:$D,D34,'Bereketli Satış'!$E:$E,E34,'Bereketli Satış'!$F:$F,F34,'Bereketli Satış'!$L:$L,$K$4)</f>
        <v>0</v>
      </c>
      <c r="L34" s="165">
        <f>COUNTIFS('Bereketli Satış'!$D:$D,D34,'Bereketli Satış'!$E:$E,E34,'Bereketli Satış'!$F:$F,F34,'Bereketli Satış'!$L:$L,$L$4)</f>
        <v>0</v>
      </c>
      <c r="M34" s="179">
        <f t="shared" si="1"/>
        <v>1</v>
      </c>
      <c r="N34" s="164">
        <f>COUNTIFS('Bereketli Satış'!$D:$D,D34,'Bereketli Satış'!$E:$E,E34,'Bereketli Satış'!$F:$F,F34,'Bereketli Satış'!$M:$M,$N$4)</f>
        <v>0</v>
      </c>
      <c r="O34" s="159">
        <f>COUNTIFS('Bereketli Satış'!$D:$D,D34,'Bereketli Satış'!$E:$E,E34,'Bereketli Satış'!$F:$F,F34,'Bereketli Satış'!$M:$M,$O$4)</f>
        <v>0</v>
      </c>
      <c r="P34" s="159">
        <f>COUNTIFS('Bereketli Satış'!$D:$D,D34,'Bereketli Satış'!$E:$E,E34,'Bereketli Satış'!$F:$F,F34,'Bereketli Satış'!$M:$M,$P$4)</f>
        <v>1</v>
      </c>
      <c r="Q34" s="159">
        <f>COUNTIFS('Bereketli Satış'!$D:$D,D34,'Bereketli Satış'!$E:$E,E34,'Bereketli Satış'!$F:$F,F34,'Bereketli Satış'!$M:$M,$Q$4)</f>
        <v>0</v>
      </c>
      <c r="R34" s="159">
        <f>COUNTIFS('Bereketli Satış'!$D:$D,D34,'Bereketli Satış'!$E:$E,E34,'Bereketli Satış'!$F:$F,F34,'Bereketli Satış'!$M:$M,$R$4)</f>
        <v>0</v>
      </c>
      <c r="S34" s="159">
        <f>COUNTIFS('Bereketli Satış'!$D:$D,D34,'Bereketli Satış'!$E:$E,E34,'Bereketli Satış'!$F:$F,F34,'Bereketli Satış'!$M:$M,$S$4)</f>
        <v>0</v>
      </c>
      <c r="T34" s="160">
        <f>COUNTIFS('Bereketli Satış'!$D:$D,D34,'Bereketli Satış'!$E:$E,E34,'Bereketli Satış'!$F:$F,F34,'Bereketli Satış'!$M:$M,$T$4)</f>
        <v>0</v>
      </c>
      <c r="U34" s="159">
        <f>COUNTIFS('Bereketli Satış'!$D:$D,D34,'Bereketli Satış'!$E:$E,E34,'Bereketli Satış'!$F:$F,F34,'Bereketli Satış'!$M:$M,$U$4)</f>
        <v>0</v>
      </c>
      <c r="V34" s="183">
        <f>COUNTIFS('Bereketli Satış'!$D:$D,D34,'Bereketli Satış'!$E:$E,E34,'Bereketli Satış'!$F:$F,F34,'Bereketli Satış'!$M:$M,$V$4)</f>
        <v>0</v>
      </c>
      <c r="W34">
        <f t="shared" si="2"/>
        <v>1</v>
      </c>
      <c r="AB34" t="str">
        <f t="shared" si="0"/>
        <v>Uygun</v>
      </c>
    </row>
    <row r="35" spans="4:28">
      <c r="D35" s="155" t="s">
        <v>14</v>
      </c>
      <c r="E35" s="147" t="s">
        <v>79</v>
      </c>
      <c r="F35" s="143" t="s">
        <v>80</v>
      </c>
      <c r="G35" s="181">
        <f>COUNTIFS('Bereketli Satış'!D:D,D35,'Bereketli Satış'!$E:$E,E35,'Bereketli Satış'!$F:$F,F35)</f>
        <v>1</v>
      </c>
      <c r="H35" s="164">
        <f>COUNTIFS('Bereketli Satış'!$D:$D,D35,'Bereketli Satış'!$E:$E,E35,'Bereketli Satış'!$F:$F,F35,'Bereketli Satış'!$L:$L,$H$4)</f>
        <v>1</v>
      </c>
      <c r="I35" s="159">
        <f>COUNTIFS('Bereketli Satış'!$D:$D,D35,'Bereketli Satış'!$E:$E,E35,'Bereketli Satış'!$F:$F,F35,'Bereketli Satış'!$L:$L,$I$4)</f>
        <v>0</v>
      </c>
      <c r="J35" s="159">
        <f>COUNTIFS('Bereketli Satış'!$D:$D,D35,'Bereketli Satış'!$E:$E,E35,'Bereketli Satış'!$F:$F,F35,'Bereketli Satış'!$L:$L,$J$4)</f>
        <v>0</v>
      </c>
      <c r="K35" s="159">
        <f>COUNTIFS('Bereketli Satış'!$D:$D,D35,'Bereketli Satış'!$E:$E,E35,'Bereketli Satış'!$F:$F,F35,'Bereketli Satış'!$L:$L,$K$4)</f>
        <v>0</v>
      </c>
      <c r="L35" s="165">
        <f>COUNTIFS('Bereketli Satış'!$D:$D,D35,'Bereketli Satış'!$E:$E,E35,'Bereketli Satış'!$F:$F,F35,'Bereketli Satış'!$L:$L,$L$4)</f>
        <v>0</v>
      </c>
      <c r="M35" s="179">
        <f t="shared" si="1"/>
        <v>1</v>
      </c>
      <c r="N35" s="164">
        <f>COUNTIFS('Bereketli Satış'!$D:$D,D35,'Bereketli Satış'!$E:$E,E35,'Bereketli Satış'!$F:$F,F35,'Bereketli Satış'!$M:$M,$N$4)</f>
        <v>0</v>
      </c>
      <c r="O35" s="159">
        <f>COUNTIFS('Bereketli Satış'!$D:$D,D35,'Bereketli Satış'!$E:$E,E35,'Bereketli Satış'!$F:$F,F35,'Bereketli Satış'!$M:$M,$O$4)</f>
        <v>0</v>
      </c>
      <c r="P35" s="159">
        <f>COUNTIFS('Bereketli Satış'!$D:$D,D35,'Bereketli Satış'!$E:$E,E35,'Bereketli Satış'!$F:$F,F35,'Bereketli Satış'!$M:$M,$P$4)</f>
        <v>0</v>
      </c>
      <c r="Q35" s="159">
        <f>COUNTIFS('Bereketli Satış'!$D:$D,D35,'Bereketli Satış'!$E:$E,E35,'Bereketli Satış'!$F:$F,F35,'Bereketli Satış'!$M:$M,$Q$4)</f>
        <v>0</v>
      </c>
      <c r="R35" s="159">
        <f>COUNTIFS('Bereketli Satış'!$D:$D,D35,'Bereketli Satış'!$E:$E,E35,'Bereketli Satış'!$F:$F,F35,'Bereketli Satış'!$M:$M,$R$4)</f>
        <v>0</v>
      </c>
      <c r="S35" s="159">
        <f>COUNTIFS('Bereketli Satış'!$D:$D,D35,'Bereketli Satış'!$E:$E,E35,'Bereketli Satış'!$F:$F,F35,'Bereketli Satış'!$M:$M,$S$4)</f>
        <v>1</v>
      </c>
      <c r="T35" s="160">
        <f>COUNTIFS('Bereketli Satış'!$D:$D,D35,'Bereketli Satış'!$E:$E,E35,'Bereketli Satış'!$F:$F,F35,'Bereketli Satış'!$M:$M,$T$4)</f>
        <v>0</v>
      </c>
      <c r="U35" s="159">
        <f>COUNTIFS('Bereketli Satış'!$D:$D,D35,'Bereketli Satış'!$E:$E,E35,'Bereketli Satış'!$F:$F,F35,'Bereketli Satış'!$M:$M,$U$4)</f>
        <v>0</v>
      </c>
      <c r="V35" s="183">
        <f>COUNTIFS('Bereketli Satış'!$D:$D,D35,'Bereketli Satış'!$E:$E,E35,'Bereketli Satış'!$F:$F,F35,'Bereketli Satış'!$M:$M,$V$4)</f>
        <v>0</v>
      </c>
      <c r="W35">
        <f t="shared" si="2"/>
        <v>1</v>
      </c>
      <c r="AB35" t="str">
        <f t="shared" si="0"/>
        <v>Uygun</v>
      </c>
    </row>
    <row r="36" spans="4:28">
      <c r="D36" s="156" t="s">
        <v>14</v>
      </c>
      <c r="E36" s="147" t="s">
        <v>79</v>
      </c>
      <c r="F36" s="143" t="s">
        <v>107</v>
      </c>
      <c r="G36" s="181">
        <f>COUNTIFS('Bereketli Satış'!D:D,D36,'Bereketli Satış'!$E:$E,E36,'Bereketli Satış'!$F:$F,F36)</f>
        <v>1</v>
      </c>
      <c r="H36" s="164">
        <f>COUNTIFS('Bereketli Satış'!$D:$D,D36,'Bereketli Satış'!$E:$E,E36,'Bereketli Satış'!$F:$F,F36,'Bereketli Satış'!$L:$L,$H$4)</f>
        <v>1</v>
      </c>
      <c r="I36" s="159">
        <f>COUNTIFS('Bereketli Satış'!$D:$D,D36,'Bereketli Satış'!$E:$E,E36,'Bereketli Satış'!$F:$F,F36,'Bereketli Satış'!$L:$L,$I$4)</f>
        <v>0</v>
      </c>
      <c r="J36" s="159">
        <f>COUNTIFS('Bereketli Satış'!$D:$D,D36,'Bereketli Satış'!$E:$E,E36,'Bereketli Satış'!$F:$F,F36,'Bereketli Satış'!$L:$L,$J$4)</f>
        <v>0</v>
      </c>
      <c r="K36" s="159">
        <f>COUNTIFS('Bereketli Satış'!$D:$D,D36,'Bereketli Satış'!$E:$E,E36,'Bereketli Satış'!$F:$F,F36,'Bereketli Satış'!$L:$L,$K$4)</f>
        <v>0</v>
      </c>
      <c r="L36" s="165">
        <f>COUNTIFS('Bereketli Satış'!$D:$D,D36,'Bereketli Satış'!$E:$E,E36,'Bereketli Satış'!$F:$F,F36,'Bereketli Satış'!$L:$L,$L$4)</f>
        <v>0</v>
      </c>
      <c r="M36" s="179">
        <f t="shared" si="1"/>
        <v>1</v>
      </c>
      <c r="N36" s="164">
        <f>COUNTIFS('Bereketli Satış'!$D:$D,D36,'Bereketli Satış'!$E:$E,E36,'Bereketli Satış'!$F:$F,F36,'Bereketli Satış'!$M:$M,$N$4)</f>
        <v>0</v>
      </c>
      <c r="O36" s="159">
        <f>COUNTIFS('Bereketli Satış'!$D:$D,D36,'Bereketli Satış'!$E:$E,E36,'Bereketli Satış'!$F:$F,F36,'Bereketli Satış'!$M:$M,$O$4)</f>
        <v>0</v>
      </c>
      <c r="P36" s="159">
        <f>COUNTIFS('Bereketli Satış'!$D:$D,D36,'Bereketli Satış'!$E:$E,E36,'Bereketli Satış'!$F:$F,F36,'Bereketli Satış'!$M:$M,$P$4)</f>
        <v>0</v>
      </c>
      <c r="Q36" s="159">
        <f>COUNTIFS('Bereketli Satış'!$D:$D,D36,'Bereketli Satış'!$E:$E,E36,'Bereketli Satış'!$F:$F,F36,'Bereketli Satış'!$M:$M,$Q$4)</f>
        <v>0</v>
      </c>
      <c r="R36" s="159">
        <f>COUNTIFS('Bereketli Satış'!$D:$D,D36,'Bereketli Satış'!$E:$E,E36,'Bereketli Satış'!$F:$F,F36,'Bereketli Satış'!$M:$M,$R$4)</f>
        <v>0</v>
      </c>
      <c r="S36" s="159">
        <f>COUNTIFS('Bereketli Satış'!$D:$D,D36,'Bereketli Satış'!$E:$E,E36,'Bereketli Satış'!$F:$F,F36,'Bereketli Satış'!$M:$M,$S$4)</f>
        <v>0</v>
      </c>
      <c r="T36" s="160">
        <f>COUNTIFS('Bereketli Satış'!$D:$D,D36,'Bereketli Satış'!$E:$E,E36,'Bereketli Satış'!$F:$F,F36,'Bereketli Satış'!$M:$M,$T$4)</f>
        <v>0</v>
      </c>
      <c r="U36" s="159">
        <f>COUNTIFS('Bereketli Satış'!$D:$D,D36,'Bereketli Satış'!$E:$E,E36,'Bereketli Satış'!$F:$F,F36,'Bereketli Satış'!$M:$M,$U$4)</f>
        <v>1</v>
      </c>
      <c r="V36" s="183">
        <f>COUNTIFS('Bereketli Satış'!$D:$D,D36,'Bereketli Satış'!$E:$E,E36,'Bereketli Satış'!$F:$F,F36,'Bereketli Satış'!$M:$M,$V$4)</f>
        <v>0</v>
      </c>
      <c r="W36">
        <f t="shared" si="2"/>
        <v>1</v>
      </c>
      <c r="AB36" t="str">
        <f t="shared" si="0"/>
        <v>Uygun</v>
      </c>
    </row>
    <row r="37" spans="4:28">
      <c r="D37" s="156" t="s">
        <v>14</v>
      </c>
      <c r="E37" s="142" t="s">
        <v>79</v>
      </c>
      <c r="F37" s="143" t="s">
        <v>109</v>
      </c>
      <c r="G37" s="181">
        <f>COUNTIFS('Bereketli Satış'!D:D,D37,'Bereketli Satış'!$E:$E,E37,'Bereketli Satış'!$F:$F,F37)</f>
        <v>1</v>
      </c>
      <c r="H37" s="164">
        <f>COUNTIFS('Bereketli Satış'!$D:$D,D37,'Bereketli Satış'!$E:$E,E37,'Bereketli Satış'!$F:$F,F37,'Bereketli Satış'!$L:$L,$H$4)</f>
        <v>1</v>
      </c>
      <c r="I37" s="159">
        <f>COUNTIFS('Bereketli Satış'!$D:$D,D37,'Bereketli Satış'!$E:$E,E37,'Bereketli Satış'!$F:$F,F37,'Bereketli Satış'!$L:$L,$I$4)</f>
        <v>0</v>
      </c>
      <c r="J37" s="159">
        <f>COUNTIFS('Bereketli Satış'!$D:$D,D37,'Bereketli Satış'!$E:$E,E37,'Bereketli Satış'!$F:$F,F37,'Bereketli Satış'!$L:$L,$J$4)</f>
        <v>0</v>
      </c>
      <c r="K37" s="159">
        <f>COUNTIFS('Bereketli Satış'!$D:$D,D37,'Bereketli Satış'!$E:$E,E37,'Bereketli Satış'!$F:$F,F37,'Bereketli Satış'!$L:$L,$K$4)</f>
        <v>0</v>
      </c>
      <c r="L37" s="165">
        <f>COUNTIFS('Bereketli Satış'!$D:$D,D37,'Bereketli Satış'!$E:$E,E37,'Bereketli Satış'!$F:$F,F37,'Bereketli Satış'!$L:$L,$L$4)</f>
        <v>0</v>
      </c>
      <c r="M37" s="179">
        <f t="shared" si="1"/>
        <v>1</v>
      </c>
      <c r="N37" s="164">
        <f>COUNTIFS('Bereketli Satış'!$D:$D,D37,'Bereketli Satış'!$E:$E,E37,'Bereketli Satış'!$F:$F,F37,'Bereketli Satış'!$M:$M,$N$4)</f>
        <v>0</v>
      </c>
      <c r="O37" s="159">
        <f>COUNTIFS('Bereketli Satış'!$D:$D,D37,'Bereketli Satış'!$E:$E,E37,'Bereketli Satış'!$F:$F,F37,'Bereketli Satış'!$M:$M,$O$4)</f>
        <v>0</v>
      </c>
      <c r="P37" s="159">
        <f>COUNTIFS('Bereketli Satış'!$D:$D,D37,'Bereketli Satış'!$E:$E,E37,'Bereketli Satış'!$F:$F,F37,'Bereketli Satış'!$M:$M,$P$4)</f>
        <v>0</v>
      </c>
      <c r="Q37" s="159">
        <f>COUNTIFS('Bereketli Satış'!$D:$D,D37,'Bereketli Satış'!$E:$E,E37,'Bereketli Satış'!$F:$F,F37,'Bereketli Satış'!$M:$M,$Q$4)</f>
        <v>0</v>
      </c>
      <c r="R37" s="159">
        <f>COUNTIFS('Bereketli Satış'!$D:$D,D37,'Bereketli Satış'!$E:$E,E37,'Bereketli Satış'!$F:$F,F37,'Bereketli Satış'!$M:$M,$R$4)</f>
        <v>0</v>
      </c>
      <c r="S37" s="159">
        <f>COUNTIFS('Bereketli Satış'!$D:$D,D37,'Bereketli Satış'!$E:$E,E37,'Bereketli Satış'!$F:$F,F37,'Bereketli Satış'!$M:$M,$S$4)</f>
        <v>0</v>
      </c>
      <c r="T37" s="160">
        <f>COUNTIFS('Bereketli Satış'!$D:$D,D37,'Bereketli Satış'!$E:$E,E37,'Bereketli Satış'!$F:$F,F37,'Bereketli Satış'!$M:$M,$T$4)</f>
        <v>0</v>
      </c>
      <c r="U37" s="159">
        <f>COUNTIFS('Bereketli Satış'!$D:$D,D37,'Bereketli Satış'!$E:$E,E37,'Bereketli Satış'!$F:$F,F37,'Bereketli Satış'!$M:$M,$U$4)</f>
        <v>1</v>
      </c>
      <c r="V37" s="183">
        <f>COUNTIFS('Bereketli Satış'!$D:$D,D37,'Bereketli Satış'!$E:$E,E37,'Bereketli Satış'!$F:$F,F37,'Bereketli Satış'!$M:$M,$V$4)</f>
        <v>0</v>
      </c>
      <c r="W37">
        <f t="shared" si="2"/>
        <v>1</v>
      </c>
      <c r="AB37" t="str">
        <f t="shared" si="0"/>
        <v>Uygun</v>
      </c>
    </row>
    <row r="38" spans="4:28">
      <c r="D38" s="156" t="s">
        <v>14</v>
      </c>
      <c r="E38" s="147" t="s">
        <v>28</v>
      </c>
      <c r="F38" s="143" t="s">
        <v>29</v>
      </c>
      <c r="G38" s="181">
        <f>COUNTIFS('Bereketli Satış'!D:D,D38,'Bereketli Satış'!$E:$E,E38,'Bereketli Satış'!$F:$F,F38)</f>
        <v>1</v>
      </c>
      <c r="H38" s="164">
        <f>COUNTIFS('Bereketli Satış'!$D:$D,D38,'Bereketli Satış'!$E:$E,E38,'Bereketli Satış'!$F:$F,F38,'Bereketli Satış'!$L:$L,$H$4)</f>
        <v>0</v>
      </c>
      <c r="I38" s="159">
        <f>COUNTIFS('Bereketli Satış'!$D:$D,D38,'Bereketli Satış'!$E:$E,E38,'Bereketli Satış'!$F:$F,F38,'Bereketli Satış'!$L:$L,$I$4)</f>
        <v>1</v>
      </c>
      <c r="J38" s="159">
        <f>COUNTIFS('Bereketli Satış'!$D:$D,D38,'Bereketli Satış'!$E:$E,E38,'Bereketli Satış'!$F:$F,F38,'Bereketli Satış'!$L:$L,$J$4)</f>
        <v>0</v>
      </c>
      <c r="K38" s="159">
        <f>COUNTIFS('Bereketli Satış'!$D:$D,D38,'Bereketli Satış'!$E:$E,E38,'Bereketli Satış'!$F:$F,F38,'Bereketli Satış'!$L:$L,$K$4)</f>
        <v>0</v>
      </c>
      <c r="L38" s="165">
        <f>COUNTIFS('Bereketli Satış'!$D:$D,D38,'Bereketli Satış'!$E:$E,E38,'Bereketli Satış'!$F:$F,F38,'Bereketli Satış'!$L:$L,$L$4)</f>
        <v>0</v>
      </c>
      <c r="M38" s="179">
        <f t="shared" si="1"/>
        <v>1</v>
      </c>
      <c r="N38" s="164">
        <f>COUNTIFS('Bereketli Satış'!$D:$D,D38,'Bereketli Satış'!$E:$E,E38,'Bereketli Satış'!$F:$F,F38,'Bereketli Satış'!$M:$M,$N$4)</f>
        <v>0</v>
      </c>
      <c r="O38" s="159">
        <f>COUNTIFS('Bereketli Satış'!$D:$D,D38,'Bereketli Satış'!$E:$E,E38,'Bereketli Satış'!$F:$F,F38,'Bereketli Satış'!$M:$M,$O$4)</f>
        <v>0</v>
      </c>
      <c r="P38" s="159">
        <f>COUNTIFS('Bereketli Satış'!$D:$D,D38,'Bereketli Satış'!$E:$E,E38,'Bereketli Satış'!$F:$F,F38,'Bereketli Satış'!$M:$M,$P$4)</f>
        <v>0</v>
      </c>
      <c r="Q38" s="159">
        <f>COUNTIFS('Bereketli Satış'!$D:$D,D38,'Bereketli Satış'!$E:$E,E38,'Bereketli Satış'!$F:$F,F38,'Bereketli Satış'!$M:$M,$Q$4)</f>
        <v>0</v>
      </c>
      <c r="R38" s="159">
        <f>COUNTIFS('Bereketli Satış'!$D:$D,D38,'Bereketli Satış'!$E:$E,E38,'Bereketli Satış'!$F:$F,F38,'Bereketli Satış'!$M:$M,$R$4)</f>
        <v>0</v>
      </c>
      <c r="S38" s="159">
        <f>COUNTIFS('Bereketli Satış'!$D:$D,D38,'Bereketli Satış'!$E:$E,E38,'Bereketli Satış'!$F:$F,F38,'Bereketli Satış'!$M:$M,$S$4)</f>
        <v>0</v>
      </c>
      <c r="T38" s="160">
        <f>COUNTIFS('Bereketli Satış'!$D:$D,D38,'Bereketli Satış'!$E:$E,E38,'Bereketli Satış'!$F:$F,F38,'Bereketli Satış'!$M:$M,$T$4)</f>
        <v>0</v>
      </c>
      <c r="U38" s="159">
        <f>COUNTIFS('Bereketli Satış'!$D:$D,D38,'Bereketli Satış'!$E:$E,E38,'Bereketli Satış'!$F:$F,F38,'Bereketli Satış'!$M:$M,$U$4)</f>
        <v>1</v>
      </c>
      <c r="V38" s="183">
        <f>COUNTIFS('Bereketli Satış'!$D:$D,D38,'Bereketli Satış'!$E:$E,E38,'Bereketli Satış'!$F:$F,F38,'Bereketli Satış'!$M:$M,$V$4)</f>
        <v>0</v>
      </c>
      <c r="W38">
        <f t="shared" si="2"/>
        <v>1</v>
      </c>
      <c r="AB38" t="str">
        <f t="shared" ref="AB38:AB72" si="4">IF(M38=W38,"Uygun","Verilerde Hata Var")</f>
        <v>Uygun</v>
      </c>
    </row>
    <row r="39" spans="4:28">
      <c r="D39" s="156" t="s">
        <v>14</v>
      </c>
      <c r="E39" s="147" t="s">
        <v>28</v>
      </c>
      <c r="F39" s="143" t="s">
        <v>65</v>
      </c>
      <c r="G39" s="181">
        <f>COUNTIFS('Bereketli Satış'!D:D,D39,'Bereketli Satış'!$E:$E,E39,'Bereketli Satış'!$F:$F,F39)</f>
        <v>1</v>
      </c>
      <c r="H39" s="164">
        <f>COUNTIFS('Bereketli Satış'!$D:$D,D39,'Bereketli Satış'!$E:$E,E39,'Bereketli Satış'!$F:$F,F39,'Bereketli Satış'!$L:$L,$H$4)</f>
        <v>0</v>
      </c>
      <c r="I39" s="159">
        <f>COUNTIFS('Bereketli Satış'!$D:$D,D39,'Bereketli Satış'!$E:$E,E39,'Bereketli Satış'!$F:$F,F39,'Bereketli Satış'!$L:$L,$I$4)</f>
        <v>1</v>
      </c>
      <c r="J39" s="159">
        <f>COUNTIFS('Bereketli Satış'!$D:$D,D39,'Bereketli Satış'!$E:$E,E39,'Bereketli Satış'!$F:$F,F39,'Bereketli Satış'!$L:$L,$J$4)</f>
        <v>0</v>
      </c>
      <c r="K39" s="159">
        <f>COUNTIFS('Bereketli Satış'!$D:$D,D39,'Bereketli Satış'!$E:$E,E39,'Bereketli Satış'!$F:$F,F39,'Bereketli Satış'!$L:$L,$K$4)</f>
        <v>0</v>
      </c>
      <c r="L39" s="165">
        <f>COUNTIFS('Bereketli Satış'!$D:$D,D39,'Bereketli Satış'!$E:$E,E39,'Bereketli Satış'!$F:$F,F39,'Bereketli Satış'!$L:$L,$L$4)</f>
        <v>0</v>
      </c>
      <c r="M39" s="179">
        <f t="shared" si="1"/>
        <v>1</v>
      </c>
      <c r="N39" s="164">
        <f>COUNTIFS('Bereketli Satış'!$D:$D,D39,'Bereketli Satış'!$E:$E,E39,'Bereketli Satış'!$F:$F,F39,'Bereketli Satış'!$M:$M,$N$4)</f>
        <v>0</v>
      </c>
      <c r="O39" s="159">
        <f>COUNTIFS('Bereketli Satış'!$D:$D,D39,'Bereketli Satış'!$E:$E,E39,'Bereketli Satış'!$F:$F,F39,'Bereketli Satış'!$M:$M,$O$4)</f>
        <v>0</v>
      </c>
      <c r="P39" s="159">
        <f>COUNTIFS('Bereketli Satış'!$D:$D,D39,'Bereketli Satış'!$E:$E,E39,'Bereketli Satış'!$F:$F,F39,'Bereketli Satış'!$M:$M,$P$4)</f>
        <v>1</v>
      </c>
      <c r="Q39" s="159">
        <f>COUNTIFS('Bereketli Satış'!$D:$D,D39,'Bereketli Satış'!$E:$E,E39,'Bereketli Satış'!$F:$F,F39,'Bereketli Satış'!$M:$M,$Q$4)</f>
        <v>0</v>
      </c>
      <c r="R39" s="159">
        <f>COUNTIFS('Bereketli Satış'!$D:$D,D39,'Bereketli Satış'!$E:$E,E39,'Bereketli Satış'!$F:$F,F39,'Bereketli Satış'!$M:$M,$R$4)</f>
        <v>0</v>
      </c>
      <c r="S39" s="159">
        <f>COUNTIFS('Bereketli Satış'!$D:$D,D39,'Bereketli Satış'!$E:$E,E39,'Bereketli Satış'!$F:$F,F39,'Bereketli Satış'!$M:$M,$S$4)</f>
        <v>0</v>
      </c>
      <c r="T39" s="160">
        <f>COUNTIFS('Bereketli Satış'!$D:$D,D39,'Bereketli Satış'!$E:$E,E39,'Bereketli Satış'!$F:$F,F39,'Bereketli Satış'!$M:$M,$T$4)</f>
        <v>0</v>
      </c>
      <c r="U39" s="159">
        <f>COUNTIFS('Bereketli Satış'!$D:$D,D39,'Bereketli Satış'!$E:$E,E39,'Bereketli Satış'!$F:$F,F39,'Bereketli Satış'!$M:$M,$U$4)</f>
        <v>0</v>
      </c>
      <c r="V39" s="183">
        <f>COUNTIFS('Bereketli Satış'!$D:$D,D39,'Bereketli Satış'!$E:$E,E39,'Bereketli Satış'!$F:$F,F39,'Bereketli Satış'!$M:$M,$V$4)</f>
        <v>0</v>
      </c>
      <c r="W39">
        <f t="shared" si="2"/>
        <v>1</v>
      </c>
      <c r="AB39" t="str">
        <f t="shared" si="4"/>
        <v>Uygun</v>
      </c>
    </row>
    <row r="40" spans="4:28">
      <c r="D40" s="156" t="s">
        <v>14</v>
      </c>
      <c r="E40" s="147" t="s">
        <v>28</v>
      </c>
      <c r="F40" s="143" t="s">
        <v>45</v>
      </c>
      <c r="G40" s="181">
        <f>COUNTIFS('Bereketli Satış'!D:D,D40,'Bereketli Satış'!$E:$E,E40,'Bereketli Satış'!$F:$F,F40)</f>
        <v>1</v>
      </c>
      <c r="H40" s="164">
        <f>COUNTIFS('Bereketli Satış'!$D:$D,D40,'Bereketli Satış'!$E:$E,E40,'Bereketli Satış'!$F:$F,F40,'Bereketli Satış'!$L:$L,$H$4)</f>
        <v>0</v>
      </c>
      <c r="I40" s="159">
        <f>COUNTIFS('Bereketli Satış'!$D:$D,D40,'Bereketli Satış'!$E:$E,E40,'Bereketli Satış'!$F:$F,F40,'Bereketli Satış'!$L:$L,$I$4)</f>
        <v>1</v>
      </c>
      <c r="J40" s="159">
        <f>COUNTIFS('Bereketli Satış'!$D:$D,D40,'Bereketli Satış'!$E:$E,E40,'Bereketli Satış'!$F:$F,F40,'Bereketli Satış'!$L:$L,$J$4)</f>
        <v>0</v>
      </c>
      <c r="K40" s="159">
        <f>COUNTIFS('Bereketli Satış'!$D:$D,D40,'Bereketli Satış'!$E:$E,E40,'Bereketli Satış'!$F:$F,F40,'Bereketli Satış'!$L:$L,$K$4)</f>
        <v>0</v>
      </c>
      <c r="L40" s="165">
        <f>COUNTIFS('Bereketli Satış'!$D:$D,D40,'Bereketli Satış'!$E:$E,E40,'Bereketli Satış'!$F:$F,F40,'Bereketli Satış'!$L:$L,$L$4)</f>
        <v>0</v>
      </c>
      <c r="M40" s="179">
        <f t="shared" si="1"/>
        <v>1</v>
      </c>
      <c r="N40" s="164">
        <f>COUNTIFS('Bereketli Satış'!$D:$D,D40,'Bereketli Satış'!$E:$E,E40,'Bereketli Satış'!$F:$F,F40,'Bereketli Satış'!$M:$M,$N$4)</f>
        <v>0</v>
      </c>
      <c r="O40" s="159">
        <f>COUNTIFS('Bereketli Satış'!$D:$D,D40,'Bereketli Satış'!$E:$E,E40,'Bereketli Satış'!$F:$F,F40,'Bereketli Satış'!$M:$M,$O$4)</f>
        <v>0</v>
      </c>
      <c r="P40" s="159">
        <f>COUNTIFS('Bereketli Satış'!$D:$D,D40,'Bereketli Satış'!$E:$E,E40,'Bereketli Satış'!$F:$F,F40,'Bereketli Satış'!$M:$M,$P$4)</f>
        <v>1</v>
      </c>
      <c r="Q40" s="159">
        <f>COUNTIFS('Bereketli Satış'!$D:$D,D40,'Bereketli Satış'!$E:$E,E40,'Bereketli Satış'!$F:$F,F40,'Bereketli Satış'!$M:$M,$Q$4)</f>
        <v>0</v>
      </c>
      <c r="R40" s="159">
        <f>COUNTIFS('Bereketli Satış'!$D:$D,D40,'Bereketli Satış'!$E:$E,E40,'Bereketli Satış'!$F:$F,F40,'Bereketli Satış'!$M:$M,$R$4)</f>
        <v>0</v>
      </c>
      <c r="S40" s="159">
        <f>COUNTIFS('Bereketli Satış'!$D:$D,D40,'Bereketli Satış'!$E:$E,E40,'Bereketli Satış'!$F:$F,F40,'Bereketli Satış'!$M:$M,$S$4)</f>
        <v>0</v>
      </c>
      <c r="T40" s="160">
        <f>COUNTIFS('Bereketli Satış'!$D:$D,D40,'Bereketli Satış'!$E:$E,E40,'Bereketli Satış'!$F:$F,F40,'Bereketli Satış'!$M:$M,$T$4)</f>
        <v>0</v>
      </c>
      <c r="U40" s="159">
        <f>COUNTIFS('Bereketli Satış'!$D:$D,D40,'Bereketli Satış'!$E:$E,E40,'Bereketli Satış'!$F:$F,F40,'Bereketli Satış'!$M:$M,$U$4)</f>
        <v>0</v>
      </c>
      <c r="V40" s="183">
        <f>COUNTIFS('Bereketli Satış'!$D:$D,D40,'Bereketli Satış'!$E:$E,E40,'Bereketli Satış'!$F:$F,F40,'Bereketli Satış'!$M:$M,$V$4)</f>
        <v>0</v>
      </c>
      <c r="W40">
        <f t="shared" si="2"/>
        <v>1</v>
      </c>
      <c r="AB40" t="str">
        <f t="shared" si="4"/>
        <v>Uygun</v>
      </c>
    </row>
    <row r="41" spans="4:28">
      <c r="D41" s="156" t="s">
        <v>14</v>
      </c>
      <c r="E41" s="147" t="s">
        <v>28</v>
      </c>
      <c r="F41" s="143" t="s">
        <v>108</v>
      </c>
      <c r="G41" s="181">
        <f>COUNTIFS('Bereketli Satış'!D:D,D41,'Bereketli Satış'!$E:$E,E41,'Bereketli Satış'!$F:$F,F41)</f>
        <v>1</v>
      </c>
      <c r="H41" s="164">
        <f>COUNTIFS('Bereketli Satış'!$D:$D,D41,'Bereketli Satış'!$E:$E,E41,'Bereketli Satış'!$F:$F,F41,'Bereketli Satış'!$L:$L,$H$4)</f>
        <v>1</v>
      </c>
      <c r="I41" s="159">
        <f>COUNTIFS('Bereketli Satış'!$D:$D,D41,'Bereketli Satış'!$E:$E,E41,'Bereketli Satış'!$F:$F,F41,'Bereketli Satış'!$L:$L,$I$4)</f>
        <v>0</v>
      </c>
      <c r="J41" s="159">
        <f>COUNTIFS('Bereketli Satış'!$D:$D,D41,'Bereketli Satış'!$E:$E,E41,'Bereketli Satış'!$F:$F,F41,'Bereketli Satış'!$L:$L,$J$4)</f>
        <v>0</v>
      </c>
      <c r="K41" s="159">
        <f>COUNTIFS('Bereketli Satış'!$D:$D,D41,'Bereketli Satış'!$E:$E,E41,'Bereketli Satış'!$F:$F,F41,'Bereketli Satış'!$L:$L,$K$4)</f>
        <v>0</v>
      </c>
      <c r="L41" s="165">
        <f>COUNTIFS('Bereketli Satış'!$D:$D,D41,'Bereketli Satış'!$E:$E,E41,'Bereketli Satış'!$F:$F,F41,'Bereketli Satış'!$L:$L,$L$4)</f>
        <v>0</v>
      </c>
      <c r="M41" s="179">
        <f t="shared" si="1"/>
        <v>1</v>
      </c>
      <c r="N41" s="164">
        <f>COUNTIFS('Bereketli Satış'!$D:$D,D41,'Bereketli Satış'!$E:$E,E41,'Bereketli Satış'!$F:$F,F41,'Bereketli Satış'!$M:$M,$N$4)</f>
        <v>0</v>
      </c>
      <c r="O41" s="159">
        <f>COUNTIFS('Bereketli Satış'!$D:$D,D41,'Bereketli Satış'!$E:$E,E41,'Bereketli Satış'!$F:$F,F41,'Bereketli Satış'!$M:$M,$O$4)</f>
        <v>0</v>
      </c>
      <c r="P41" s="159">
        <f>COUNTIFS('Bereketli Satış'!$D:$D,D41,'Bereketli Satış'!$E:$E,E41,'Bereketli Satış'!$F:$F,F41,'Bereketli Satış'!$M:$M,$P$4)</f>
        <v>0</v>
      </c>
      <c r="Q41" s="159">
        <f>COUNTIFS('Bereketli Satış'!$D:$D,D41,'Bereketli Satış'!$E:$E,E41,'Bereketli Satış'!$F:$F,F41,'Bereketli Satış'!$M:$M,$Q$4)</f>
        <v>0</v>
      </c>
      <c r="R41" s="159">
        <f>COUNTIFS('Bereketli Satış'!$D:$D,D41,'Bereketli Satış'!$E:$E,E41,'Bereketli Satış'!$F:$F,F41,'Bereketli Satış'!$M:$M,$R$4)</f>
        <v>0</v>
      </c>
      <c r="S41" s="159">
        <f>COUNTIFS('Bereketli Satış'!$D:$D,D41,'Bereketli Satış'!$E:$E,E41,'Bereketli Satış'!$F:$F,F41,'Bereketli Satış'!$M:$M,$S$4)</f>
        <v>0</v>
      </c>
      <c r="T41" s="160">
        <f>COUNTIFS('Bereketli Satış'!$D:$D,D41,'Bereketli Satış'!$E:$E,E41,'Bereketli Satış'!$F:$F,F41,'Bereketli Satış'!$M:$M,$T$4)</f>
        <v>0</v>
      </c>
      <c r="U41" s="159">
        <f>COUNTIFS('Bereketli Satış'!$D:$D,D41,'Bereketli Satış'!$E:$E,E41,'Bereketli Satış'!$F:$F,F41,'Bereketli Satış'!$M:$M,$U$4)</f>
        <v>1</v>
      </c>
      <c r="V41" s="183">
        <f>COUNTIFS('Bereketli Satış'!$D:$D,D41,'Bereketli Satış'!$E:$E,E41,'Bereketli Satış'!$F:$F,F41,'Bereketli Satış'!$M:$M,$V$4)</f>
        <v>0</v>
      </c>
      <c r="W41">
        <f t="shared" si="2"/>
        <v>1</v>
      </c>
      <c r="AB41" t="str">
        <f t="shared" si="4"/>
        <v>Uygun</v>
      </c>
    </row>
    <row r="42" spans="4:28">
      <c r="D42" s="156" t="s">
        <v>14</v>
      </c>
      <c r="E42" s="142" t="s">
        <v>28</v>
      </c>
      <c r="F42" s="143" t="s">
        <v>301</v>
      </c>
      <c r="G42" s="181">
        <f>COUNTIFS('Bereketli Satış'!D:D,D42,'Bereketli Satış'!$E:$E,E42,'Bereketli Satış'!$F:$F,F42)</f>
        <v>1</v>
      </c>
      <c r="H42" s="164">
        <f>COUNTIFS('Bereketli Satış'!$D:$D,D42,'Bereketli Satış'!$E:$E,E42,'Bereketli Satış'!$F:$F,F42,'Bereketli Satış'!$L:$L,$H$4)</f>
        <v>1</v>
      </c>
      <c r="I42" s="159">
        <f>COUNTIFS('Bereketli Satış'!$D:$D,D42,'Bereketli Satış'!$E:$E,E42,'Bereketli Satış'!$F:$F,F42,'Bereketli Satış'!$L:$L,$I$4)</f>
        <v>0</v>
      </c>
      <c r="J42" s="159">
        <f>COUNTIFS('Bereketli Satış'!$D:$D,D42,'Bereketli Satış'!$E:$E,E42,'Bereketli Satış'!$F:$F,F42,'Bereketli Satış'!$L:$L,$J$4)</f>
        <v>0</v>
      </c>
      <c r="K42" s="159">
        <f>COUNTIFS('Bereketli Satış'!$D:$D,D42,'Bereketli Satış'!$E:$E,E42,'Bereketli Satış'!$F:$F,F42,'Bereketli Satış'!$L:$L,$K$4)</f>
        <v>0</v>
      </c>
      <c r="L42" s="165">
        <f>COUNTIFS('Bereketli Satış'!$D:$D,D42,'Bereketli Satış'!$E:$E,E42,'Bereketli Satış'!$F:$F,F42,'Bereketli Satış'!$L:$L,$L$4)</f>
        <v>0</v>
      </c>
      <c r="M42" s="179">
        <f t="shared" si="1"/>
        <v>1</v>
      </c>
      <c r="N42" s="164">
        <f>COUNTIFS('Bereketli Satış'!$D:$D,D42,'Bereketli Satış'!$E:$E,E42,'Bereketli Satış'!$F:$F,F42,'Bereketli Satış'!$M:$M,$N$4)</f>
        <v>0</v>
      </c>
      <c r="O42" s="159">
        <f>COUNTIFS('Bereketli Satış'!$D:$D,D42,'Bereketli Satış'!$E:$E,E42,'Bereketli Satış'!$F:$F,F42,'Bereketli Satış'!$M:$M,$O$4)</f>
        <v>0</v>
      </c>
      <c r="P42" s="159">
        <f>COUNTIFS('Bereketli Satış'!$D:$D,D42,'Bereketli Satış'!$E:$E,E42,'Bereketli Satış'!$F:$F,F42,'Bereketli Satış'!$M:$M,$P$4)</f>
        <v>0</v>
      </c>
      <c r="Q42" s="159">
        <f>COUNTIFS('Bereketli Satış'!$D:$D,D42,'Bereketli Satış'!$E:$E,E42,'Bereketli Satış'!$F:$F,F42,'Bereketli Satış'!$M:$M,$Q$4)</f>
        <v>0</v>
      </c>
      <c r="R42" s="159">
        <f>COUNTIFS('Bereketli Satış'!$D:$D,D42,'Bereketli Satış'!$E:$E,E42,'Bereketli Satış'!$F:$F,F42,'Bereketli Satış'!$M:$M,$R$4)</f>
        <v>0</v>
      </c>
      <c r="S42" s="159">
        <f>COUNTIFS('Bereketli Satış'!$D:$D,D42,'Bereketli Satış'!$E:$E,E42,'Bereketli Satış'!$F:$F,F42,'Bereketli Satış'!$M:$M,$S$4)</f>
        <v>0</v>
      </c>
      <c r="T42" s="160">
        <f>COUNTIFS('Bereketli Satış'!$D:$D,D42,'Bereketli Satış'!$E:$E,E42,'Bereketli Satış'!$F:$F,F42,'Bereketli Satış'!$M:$M,$T$4)</f>
        <v>0</v>
      </c>
      <c r="U42" s="159">
        <f>COUNTIFS('Bereketli Satış'!$D:$D,D42,'Bereketli Satış'!$E:$E,E42,'Bereketli Satış'!$F:$F,F42,'Bereketli Satış'!$M:$M,$U$4)</f>
        <v>1</v>
      </c>
      <c r="V42" s="183">
        <f>COUNTIFS('Bereketli Satış'!$D:$D,D42,'Bereketli Satış'!$E:$E,E42,'Bereketli Satış'!$F:$F,F42,'Bereketli Satış'!$M:$M,$V$4)</f>
        <v>0</v>
      </c>
      <c r="W42">
        <f t="shared" si="2"/>
        <v>1</v>
      </c>
      <c r="AB42" t="str">
        <f t="shared" si="4"/>
        <v>Uygun</v>
      </c>
    </row>
    <row r="43" spans="4:28">
      <c r="D43" s="156" t="s">
        <v>14</v>
      </c>
      <c r="E43" s="147" t="s">
        <v>66</v>
      </c>
      <c r="F43" s="143" t="s">
        <v>67</v>
      </c>
      <c r="G43" s="181">
        <f>COUNTIFS('Bereketli Satış'!D:D,D43,'Bereketli Satış'!$E:$E,E43,'Bereketli Satış'!$F:$F,F43)</f>
        <v>1</v>
      </c>
      <c r="H43" s="164">
        <f>COUNTIFS('Bereketli Satış'!$D:$D,D43,'Bereketli Satış'!$E:$E,E43,'Bereketli Satış'!$F:$F,F43,'Bereketli Satış'!$L:$L,$H$4)</f>
        <v>0</v>
      </c>
      <c r="I43" s="159">
        <f>COUNTIFS('Bereketli Satış'!$D:$D,D43,'Bereketli Satış'!$E:$E,E43,'Bereketli Satış'!$F:$F,F43,'Bereketli Satış'!$L:$L,$I$4)</f>
        <v>0</v>
      </c>
      <c r="J43" s="159">
        <f>COUNTIFS('Bereketli Satış'!$D:$D,D43,'Bereketli Satış'!$E:$E,E43,'Bereketli Satış'!$F:$F,F43,'Bereketli Satış'!$L:$L,$J$4)</f>
        <v>1</v>
      </c>
      <c r="K43" s="159">
        <f>COUNTIFS('Bereketli Satış'!$D:$D,D43,'Bereketli Satış'!$E:$E,E43,'Bereketli Satış'!$F:$F,F43,'Bereketli Satış'!$L:$L,$K$4)</f>
        <v>0</v>
      </c>
      <c r="L43" s="165">
        <f>COUNTIFS('Bereketli Satış'!$D:$D,D43,'Bereketli Satış'!$E:$E,E43,'Bereketli Satış'!$F:$F,F43,'Bereketli Satış'!$L:$L,$L$4)</f>
        <v>0</v>
      </c>
      <c r="M43" s="179">
        <f t="shared" si="1"/>
        <v>1</v>
      </c>
      <c r="N43" s="164">
        <f>COUNTIFS('Bereketli Satış'!$D:$D,D43,'Bereketli Satış'!$E:$E,E43,'Bereketli Satış'!$F:$F,F43,'Bereketli Satış'!$M:$M,$N$4)</f>
        <v>0</v>
      </c>
      <c r="O43" s="159">
        <f>COUNTIFS('Bereketli Satış'!$D:$D,D43,'Bereketli Satış'!$E:$E,E43,'Bereketli Satış'!$F:$F,F43,'Bereketli Satış'!$M:$M,$O$4)</f>
        <v>0</v>
      </c>
      <c r="P43" s="159">
        <f>COUNTIFS('Bereketli Satış'!$D:$D,D43,'Bereketli Satış'!$E:$E,E43,'Bereketli Satış'!$F:$F,F43,'Bereketli Satış'!$M:$M,$P$4)</f>
        <v>1</v>
      </c>
      <c r="Q43" s="159">
        <f>COUNTIFS('Bereketli Satış'!$D:$D,D43,'Bereketli Satış'!$E:$E,E43,'Bereketli Satış'!$F:$F,F43,'Bereketli Satış'!$M:$M,$Q$4)</f>
        <v>0</v>
      </c>
      <c r="R43" s="159">
        <f>COUNTIFS('Bereketli Satış'!$D:$D,D43,'Bereketli Satış'!$E:$E,E43,'Bereketli Satış'!$F:$F,F43,'Bereketli Satış'!$M:$M,$R$4)</f>
        <v>0</v>
      </c>
      <c r="S43" s="159">
        <f>COUNTIFS('Bereketli Satış'!$D:$D,D43,'Bereketli Satış'!$E:$E,E43,'Bereketli Satış'!$F:$F,F43,'Bereketli Satış'!$M:$M,$S$4)</f>
        <v>0</v>
      </c>
      <c r="T43" s="160">
        <f>COUNTIFS('Bereketli Satış'!$D:$D,D43,'Bereketli Satış'!$E:$E,E43,'Bereketli Satış'!$F:$F,F43,'Bereketli Satış'!$M:$M,$T$4)</f>
        <v>0</v>
      </c>
      <c r="U43" s="159">
        <f>COUNTIFS('Bereketli Satış'!$D:$D,D43,'Bereketli Satış'!$E:$E,E43,'Bereketli Satış'!$F:$F,F43,'Bereketli Satış'!$M:$M,$U$4)</f>
        <v>0</v>
      </c>
      <c r="V43" s="183">
        <f>COUNTIFS('Bereketli Satış'!$D:$D,D43,'Bereketli Satış'!$E:$E,E43,'Bereketli Satış'!$F:$F,F43,'Bereketli Satış'!$M:$M,$V$4)</f>
        <v>0</v>
      </c>
      <c r="W43">
        <f t="shared" si="2"/>
        <v>1</v>
      </c>
      <c r="AB43" t="str">
        <f t="shared" si="4"/>
        <v>Uygun</v>
      </c>
    </row>
    <row r="44" spans="4:28">
      <c r="D44" s="156" t="s">
        <v>14</v>
      </c>
      <c r="E44" s="142" t="s">
        <v>66</v>
      </c>
      <c r="F44" s="143" t="s">
        <v>71</v>
      </c>
      <c r="G44" s="181">
        <f>COUNTIFS('Bereketli Satış'!D:D,D44,'Bereketli Satış'!$E:$E,E44,'Bereketli Satış'!$F:$F,F44)</f>
        <v>1</v>
      </c>
      <c r="H44" s="164">
        <f>COUNTIFS('Bereketli Satış'!$D:$D,D44,'Bereketli Satış'!$E:$E,E44,'Bereketli Satış'!$F:$F,F44,'Bereketli Satış'!$L:$L,$H$4)</f>
        <v>0</v>
      </c>
      <c r="I44" s="159">
        <f>COUNTIFS('Bereketli Satış'!$D:$D,D44,'Bereketli Satış'!$E:$E,E44,'Bereketli Satış'!$F:$F,F44,'Bereketli Satış'!$L:$L,$I$4)</f>
        <v>1</v>
      </c>
      <c r="J44" s="159">
        <f>COUNTIFS('Bereketli Satış'!$D:$D,D44,'Bereketli Satış'!$E:$E,E44,'Bereketli Satış'!$F:$F,F44,'Bereketli Satış'!$L:$L,$J$4)</f>
        <v>0</v>
      </c>
      <c r="K44" s="159">
        <f>COUNTIFS('Bereketli Satış'!$D:$D,D44,'Bereketli Satış'!$E:$E,E44,'Bereketli Satış'!$F:$F,F44,'Bereketli Satış'!$L:$L,$K$4)</f>
        <v>0</v>
      </c>
      <c r="L44" s="165">
        <f>COUNTIFS('Bereketli Satış'!$D:$D,D44,'Bereketli Satış'!$E:$E,E44,'Bereketli Satış'!$F:$F,F44,'Bereketli Satış'!$L:$L,$L$4)</f>
        <v>0</v>
      </c>
      <c r="M44" s="179">
        <f t="shared" si="1"/>
        <v>1</v>
      </c>
      <c r="N44" s="164">
        <f>COUNTIFS('Bereketli Satış'!$D:$D,D44,'Bereketli Satış'!$E:$E,E44,'Bereketli Satış'!$F:$F,F44,'Bereketli Satış'!$M:$M,$N$4)</f>
        <v>0</v>
      </c>
      <c r="O44" s="159">
        <f>COUNTIFS('Bereketli Satış'!$D:$D,D44,'Bereketli Satış'!$E:$E,E44,'Bereketli Satış'!$F:$F,F44,'Bereketli Satış'!$M:$M,$O$4)</f>
        <v>0</v>
      </c>
      <c r="P44" s="159">
        <f>COUNTIFS('Bereketli Satış'!$D:$D,D44,'Bereketli Satış'!$E:$E,E44,'Bereketli Satış'!$F:$F,F44,'Bereketli Satış'!$M:$M,$P$4)</f>
        <v>1</v>
      </c>
      <c r="Q44" s="159">
        <f>COUNTIFS('Bereketli Satış'!$D:$D,D44,'Bereketli Satış'!$E:$E,E44,'Bereketli Satış'!$F:$F,F44,'Bereketli Satış'!$M:$M,$Q$4)</f>
        <v>0</v>
      </c>
      <c r="R44" s="159">
        <f>COUNTIFS('Bereketli Satış'!$D:$D,D44,'Bereketli Satış'!$E:$E,E44,'Bereketli Satış'!$F:$F,F44,'Bereketli Satış'!$M:$M,$R$4)</f>
        <v>0</v>
      </c>
      <c r="S44" s="159">
        <f>COUNTIFS('Bereketli Satış'!$D:$D,D44,'Bereketli Satış'!$E:$E,E44,'Bereketli Satış'!$F:$F,F44,'Bereketli Satış'!$M:$M,$S$4)</f>
        <v>0</v>
      </c>
      <c r="T44" s="160">
        <f>COUNTIFS('Bereketli Satış'!$D:$D,D44,'Bereketli Satış'!$E:$E,E44,'Bereketli Satış'!$F:$F,F44,'Bereketli Satış'!$M:$M,$T$4)</f>
        <v>0</v>
      </c>
      <c r="U44" s="159">
        <f>COUNTIFS('Bereketli Satış'!$D:$D,D44,'Bereketli Satış'!$E:$E,E44,'Bereketli Satış'!$F:$F,F44,'Bereketli Satış'!$M:$M,$U$4)</f>
        <v>0</v>
      </c>
      <c r="V44" s="183">
        <f>COUNTIFS('Bereketli Satış'!$D:$D,D44,'Bereketli Satış'!$E:$E,E44,'Bereketli Satış'!$F:$F,F44,'Bereketli Satış'!$M:$M,$V$4)</f>
        <v>0</v>
      </c>
      <c r="W44">
        <f t="shared" si="2"/>
        <v>1</v>
      </c>
      <c r="AB44" t="str">
        <f t="shared" si="4"/>
        <v>Uygun</v>
      </c>
    </row>
    <row r="45" spans="4:28">
      <c r="D45" s="156" t="s">
        <v>14</v>
      </c>
      <c r="E45" s="147" t="s">
        <v>23</v>
      </c>
      <c r="F45" s="143" t="s">
        <v>92</v>
      </c>
      <c r="G45" s="181">
        <f>COUNTIFS('Bereketli Satış'!D:D,D45,'Bereketli Satış'!$E:$E,E45,'Bereketli Satış'!$F:$F,F45)</f>
        <v>1</v>
      </c>
      <c r="H45" s="164">
        <f>COUNTIFS('Bereketli Satış'!$D:$D,D45,'Bereketli Satış'!$E:$E,E45,'Bereketli Satış'!$F:$F,F45,'Bereketli Satış'!$L:$L,$H$4)</f>
        <v>1</v>
      </c>
      <c r="I45" s="159">
        <f>COUNTIFS('Bereketli Satış'!$D:$D,D45,'Bereketli Satış'!$E:$E,E45,'Bereketli Satış'!$F:$F,F45,'Bereketli Satış'!$L:$L,$I$4)</f>
        <v>0</v>
      </c>
      <c r="J45" s="159">
        <f>COUNTIFS('Bereketli Satış'!$D:$D,D45,'Bereketli Satış'!$E:$E,E45,'Bereketli Satış'!$F:$F,F45,'Bereketli Satış'!$L:$L,$J$4)</f>
        <v>0</v>
      </c>
      <c r="K45" s="159">
        <f>COUNTIFS('Bereketli Satış'!$D:$D,D45,'Bereketli Satış'!$E:$E,E45,'Bereketli Satış'!$F:$F,F45,'Bereketli Satış'!$L:$L,$K$4)</f>
        <v>0</v>
      </c>
      <c r="L45" s="165">
        <f>COUNTIFS('Bereketli Satış'!$D:$D,D45,'Bereketli Satış'!$E:$E,E45,'Bereketli Satış'!$F:$F,F45,'Bereketli Satış'!$L:$L,$L$4)</f>
        <v>0</v>
      </c>
      <c r="M45" s="179">
        <f t="shared" si="1"/>
        <v>1</v>
      </c>
      <c r="N45" s="164">
        <f>COUNTIFS('Bereketli Satış'!$D:$D,D45,'Bereketli Satış'!$E:$E,E45,'Bereketli Satış'!$F:$F,F45,'Bereketli Satış'!$M:$M,$N$4)</f>
        <v>0</v>
      </c>
      <c r="O45" s="159">
        <f>COUNTIFS('Bereketli Satış'!$D:$D,D45,'Bereketli Satış'!$E:$E,E45,'Bereketli Satış'!$F:$F,F45,'Bereketli Satış'!$M:$M,$O$4)</f>
        <v>0</v>
      </c>
      <c r="P45" s="159">
        <f>COUNTIFS('Bereketli Satış'!$D:$D,D45,'Bereketli Satış'!$E:$E,E45,'Bereketli Satış'!$F:$F,F45,'Bereketli Satış'!$M:$M,$P$4)</f>
        <v>0</v>
      </c>
      <c r="Q45" s="159">
        <f>COUNTIFS('Bereketli Satış'!$D:$D,D45,'Bereketli Satış'!$E:$E,E45,'Bereketli Satış'!$F:$F,F45,'Bereketli Satış'!$M:$M,$Q$4)</f>
        <v>0</v>
      </c>
      <c r="R45" s="159">
        <f>COUNTIFS('Bereketli Satış'!$D:$D,D45,'Bereketli Satış'!$E:$E,E45,'Bereketli Satış'!$F:$F,F45,'Bereketli Satış'!$M:$M,$R$4)</f>
        <v>0</v>
      </c>
      <c r="S45" s="159">
        <f>COUNTIFS('Bereketli Satış'!$D:$D,D45,'Bereketli Satış'!$E:$E,E45,'Bereketli Satış'!$F:$F,F45,'Bereketli Satış'!$M:$M,$S$4)</f>
        <v>0</v>
      </c>
      <c r="T45" s="160">
        <f>COUNTIFS('Bereketli Satış'!$D:$D,D45,'Bereketli Satış'!$E:$E,E45,'Bereketli Satış'!$F:$F,F45,'Bereketli Satış'!$M:$M,$T$4)</f>
        <v>0</v>
      </c>
      <c r="U45" s="159">
        <f>COUNTIFS('Bereketli Satış'!$D:$D,D45,'Bereketli Satış'!$E:$E,E45,'Bereketli Satış'!$F:$F,F45,'Bereketli Satış'!$M:$M,$U$4)</f>
        <v>1</v>
      </c>
      <c r="V45" s="183">
        <f>COUNTIFS('Bereketli Satış'!$D:$D,D45,'Bereketli Satış'!$E:$E,E45,'Bereketli Satış'!$F:$F,F45,'Bereketli Satış'!$M:$M,$V$4)</f>
        <v>0</v>
      </c>
      <c r="W45">
        <f t="shared" si="2"/>
        <v>1</v>
      </c>
      <c r="AB45" t="str">
        <f t="shared" si="4"/>
        <v>Uygun</v>
      </c>
    </row>
    <row r="46" spans="4:28">
      <c r="D46" s="156" t="s">
        <v>14</v>
      </c>
      <c r="E46" s="147" t="s">
        <v>23</v>
      </c>
      <c r="F46" s="143" t="s">
        <v>41</v>
      </c>
      <c r="G46" s="181">
        <f>COUNTIFS('Bereketli Satış'!D:D,D46,'Bereketli Satış'!$E:$E,E46,'Bereketli Satış'!$F:$F,F46)</f>
        <v>1</v>
      </c>
      <c r="H46" s="164">
        <f>COUNTIFS('Bereketli Satış'!$D:$D,D46,'Bereketli Satış'!$E:$E,E46,'Bereketli Satış'!$F:$F,F46,'Bereketli Satış'!$L:$L,$H$4)</f>
        <v>0</v>
      </c>
      <c r="I46" s="159">
        <f>COUNTIFS('Bereketli Satış'!$D:$D,D46,'Bereketli Satış'!$E:$E,E46,'Bereketli Satış'!$F:$F,F46,'Bereketli Satış'!$L:$L,$I$4)</f>
        <v>0</v>
      </c>
      <c r="J46" s="159">
        <f>COUNTIFS('Bereketli Satış'!$D:$D,D46,'Bereketli Satış'!$E:$E,E46,'Bereketli Satış'!$F:$F,F46,'Bereketli Satış'!$L:$L,$J$4)</f>
        <v>1</v>
      </c>
      <c r="K46" s="159">
        <f>COUNTIFS('Bereketli Satış'!$D:$D,D46,'Bereketli Satış'!$E:$E,E46,'Bereketli Satış'!$F:$F,F46,'Bereketli Satış'!$L:$L,$K$4)</f>
        <v>0</v>
      </c>
      <c r="L46" s="165">
        <f>COUNTIFS('Bereketli Satış'!$D:$D,D46,'Bereketli Satış'!$E:$E,E46,'Bereketli Satış'!$F:$F,F46,'Bereketli Satış'!$L:$L,$L$4)</f>
        <v>0</v>
      </c>
      <c r="M46" s="179">
        <f t="shared" si="1"/>
        <v>1</v>
      </c>
      <c r="N46" s="164">
        <f>COUNTIFS('Bereketli Satış'!$D:$D,D46,'Bereketli Satış'!$E:$E,E46,'Bereketli Satış'!$F:$F,F46,'Bereketli Satış'!$M:$M,$N$4)</f>
        <v>0</v>
      </c>
      <c r="O46" s="159">
        <f>COUNTIFS('Bereketli Satış'!$D:$D,D46,'Bereketli Satış'!$E:$E,E46,'Bereketli Satış'!$F:$F,F46,'Bereketli Satış'!$M:$M,$O$4)</f>
        <v>0</v>
      </c>
      <c r="P46" s="159">
        <f>COUNTIFS('Bereketli Satış'!$D:$D,D46,'Bereketli Satış'!$E:$E,E46,'Bereketli Satış'!$F:$F,F46,'Bereketli Satış'!$M:$M,$P$4)</f>
        <v>1</v>
      </c>
      <c r="Q46" s="159">
        <f>COUNTIFS('Bereketli Satış'!$D:$D,D46,'Bereketli Satış'!$E:$E,E46,'Bereketli Satış'!$F:$F,F46,'Bereketli Satış'!$M:$M,$Q$4)</f>
        <v>0</v>
      </c>
      <c r="R46" s="159">
        <f>COUNTIFS('Bereketli Satış'!$D:$D,D46,'Bereketli Satış'!$E:$E,E46,'Bereketli Satış'!$F:$F,F46,'Bereketli Satış'!$M:$M,$R$4)</f>
        <v>0</v>
      </c>
      <c r="S46" s="159">
        <f>COUNTIFS('Bereketli Satış'!$D:$D,D46,'Bereketli Satış'!$E:$E,E46,'Bereketli Satış'!$F:$F,F46,'Bereketli Satış'!$M:$M,$S$4)</f>
        <v>0</v>
      </c>
      <c r="T46" s="160">
        <f>COUNTIFS('Bereketli Satış'!$D:$D,D46,'Bereketli Satış'!$E:$E,E46,'Bereketli Satış'!$F:$F,F46,'Bereketli Satış'!$M:$M,$T$4)</f>
        <v>0</v>
      </c>
      <c r="U46" s="159">
        <f>COUNTIFS('Bereketli Satış'!$D:$D,D46,'Bereketli Satış'!$E:$E,E46,'Bereketli Satış'!$F:$F,F46,'Bereketli Satış'!$M:$M,$U$4)</f>
        <v>0</v>
      </c>
      <c r="V46" s="183">
        <f>COUNTIFS('Bereketli Satış'!$D:$D,D46,'Bereketli Satış'!$E:$E,E46,'Bereketli Satış'!$F:$F,F46,'Bereketli Satış'!$M:$M,$V$4)</f>
        <v>0</v>
      </c>
      <c r="W46">
        <f t="shared" si="2"/>
        <v>1</v>
      </c>
      <c r="AB46" t="str">
        <f t="shared" si="4"/>
        <v>Uygun</v>
      </c>
    </row>
    <row r="47" spans="4:28">
      <c r="D47" s="156" t="s">
        <v>14</v>
      </c>
      <c r="E47" s="147" t="s">
        <v>23</v>
      </c>
      <c r="F47" s="143" t="s">
        <v>73</v>
      </c>
      <c r="G47" s="181">
        <f>COUNTIFS('Bereketli Satış'!D:D,D47,'Bereketli Satış'!$E:$E,E47,'Bereketli Satış'!$F:$F,F47)</f>
        <v>1</v>
      </c>
      <c r="H47" s="164">
        <f>COUNTIFS('Bereketli Satış'!$D:$D,D47,'Bereketli Satış'!$E:$E,E47,'Bereketli Satış'!$F:$F,F47,'Bereketli Satış'!$L:$L,$H$4)</f>
        <v>0</v>
      </c>
      <c r="I47" s="159">
        <f>COUNTIFS('Bereketli Satış'!$D:$D,D47,'Bereketli Satış'!$E:$E,E47,'Bereketli Satış'!$F:$F,F47,'Bereketli Satış'!$L:$L,$I$4)</f>
        <v>0</v>
      </c>
      <c r="J47" s="159">
        <f>COUNTIFS('Bereketli Satış'!$D:$D,D47,'Bereketli Satış'!$E:$E,E47,'Bereketli Satış'!$F:$F,F47,'Bereketli Satış'!$L:$L,$J$4)</f>
        <v>1</v>
      </c>
      <c r="K47" s="159">
        <f>COUNTIFS('Bereketli Satış'!$D:$D,D47,'Bereketli Satış'!$E:$E,E47,'Bereketli Satış'!$F:$F,F47,'Bereketli Satış'!$L:$L,$K$4)</f>
        <v>0</v>
      </c>
      <c r="L47" s="165">
        <f>COUNTIFS('Bereketli Satış'!$D:$D,D47,'Bereketli Satış'!$E:$E,E47,'Bereketli Satış'!$F:$F,F47,'Bereketli Satış'!$L:$L,$L$4)</f>
        <v>0</v>
      </c>
      <c r="M47" s="179">
        <f t="shared" si="1"/>
        <v>1</v>
      </c>
      <c r="N47" s="164">
        <f>COUNTIFS('Bereketli Satış'!$D:$D,D47,'Bereketli Satış'!$E:$E,E47,'Bereketli Satış'!$F:$F,F47,'Bereketli Satış'!$M:$M,$N$4)</f>
        <v>0</v>
      </c>
      <c r="O47" s="159">
        <f>COUNTIFS('Bereketli Satış'!$D:$D,D47,'Bereketli Satış'!$E:$E,E47,'Bereketli Satış'!$F:$F,F47,'Bereketli Satış'!$M:$M,$O$4)</f>
        <v>0</v>
      </c>
      <c r="P47" s="159">
        <f>COUNTIFS('Bereketli Satış'!$D:$D,D47,'Bereketli Satış'!$E:$E,E47,'Bereketli Satış'!$F:$F,F47,'Bereketli Satış'!$M:$M,$P$4)</f>
        <v>0</v>
      </c>
      <c r="Q47" s="159">
        <f>COUNTIFS('Bereketli Satış'!$D:$D,D47,'Bereketli Satış'!$E:$E,E47,'Bereketli Satış'!$F:$F,F47,'Bereketli Satış'!$M:$M,$Q$4)</f>
        <v>0</v>
      </c>
      <c r="R47" s="159">
        <f>COUNTIFS('Bereketli Satış'!$D:$D,D47,'Bereketli Satış'!$E:$E,E47,'Bereketli Satış'!$F:$F,F47,'Bereketli Satış'!$M:$M,$R$4)</f>
        <v>0</v>
      </c>
      <c r="S47" s="159">
        <f>COUNTIFS('Bereketli Satış'!$D:$D,D47,'Bereketli Satış'!$E:$E,E47,'Bereketli Satış'!$F:$F,F47,'Bereketli Satış'!$M:$M,$S$4)</f>
        <v>0</v>
      </c>
      <c r="T47" s="160">
        <f>COUNTIFS('Bereketli Satış'!$D:$D,D47,'Bereketli Satış'!$E:$E,E47,'Bereketli Satış'!$F:$F,F47,'Bereketli Satış'!$M:$M,$T$4)</f>
        <v>0</v>
      </c>
      <c r="U47" s="159">
        <f>COUNTIFS('Bereketli Satış'!$D:$D,D47,'Bereketli Satış'!$E:$E,E47,'Bereketli Satış'!$F:$F,F47,'Bereketli Satış'!$M:$M,$U$4)</f>
        <v>1</v>
      </c>
      <c r="V47" s="183">
        <f>COUNTIFS('Bereketli Satış'!$D:$D,D47,'Bereketli Satış'!$E:$E,E47,'Bereketli Satış'!$F:$F,F47,'Bereketli Satış'!$M:$M,$V$4)</f>
        <v>0</v>
      </c>
      <c r="W47">
        <f t="shared" si="2"/>
        <v>1</v>
      </c>
      <c r="AB47" t="str">
        <f t="shared" si="4"/>
        <v>Uygun</v>
      </c>
    </row>
    <row r="48" spans="4:28">
      <c r="D48" s="156" t="s">
        <v>14</v>
      </c>
      <c r="E48" s="147" t="s">
        <v>23</v>
      </c>
      <c r="F48" s="143" t="s">
        <v>24</v>
      </c>
      <c r="G48" s="181">
        <f>COUNTIFS('Bereketli Satış'!D:D,D48,'Bereketli Satış'!$E:$E,E48,'Bereketli Satış'!$F:$F,F48)</f>
        <v>1</v>
      </c>
      <c r="H48" s="164">
        <f>COUNTIFS('Bereketli Satış'!$D:$D,D48,'Bereketli Satış'!$E:$E,E48,'Bereketli Satış'!$F:$F,F48,'Bereketli Satış'!$L:$L,$H$4)</f>
        <v>1</v>
      </c>
      <c r="I48" s="159">
        <f>COUNTIFS('Bereketli Satış'!$D:$D,D48,'Bereketli Satış'!$E:$E,E48,'Bereketli Satış'!$F:$F,F48,'Bereketli Satış'!$L:$L,$I$4)</f>
        <v>0</v>
      </c>
      <c r="J48" s="159">
        <f>COUNTIFS('Bereketli Satış'!$D:$D,D48,'Bereketli Satış'!$E:$E,E48,'Bereketli Satış'!$F:$F,F48,'Bereketli Satış'!$L:$L,$J$4)</f>
        <v>0</v>
      </c>
      <c r="K48" s="159">
        <f>COUNTIFS('Bereketli Satış'!$D:$D,D48,'Bereketli Satış'!$E:$E,E48,'Bereketli Satış'!$F:$F,F48,'Bereketli Satış'!$L:$L,$K$4)</f>
        <v>0</v>
      </c>
      <c r="L48" s="165">
        <f>COUNTIFS('Bereketli Satış'!$D:$D,D48,'Bereketli Satış'!$E:$E,E48,'Bereketli Satış'!$F:$F,F48,'Bereketli Satış'!$L:$L,$L$4)</f>
        <v>0</v>
      </c>
      <c r="M48" s="179">
        <f t="shared" si="1"/>
        <v>1</v>
      </c>
      <c r="N48" s="164">
        <f>COUNTIFS('Bereketli Satış'!$D:$D,D48,'Bereketli Satış'!$E:$E,E48,'Bereketli Satış'!$F:$F,F48,'Bereketli Satış'!$M:$M,$N$4)</f>
        <v>0</v>
      </c>
      <c r="O48" s="159">
        <f>COUNTIFS('Bereketli Satış'!$D:$D,D48,'Bereketli Satış'!$E:$E,E48,'Bereketli Satış'!$F:$F,F48,'Bereketli Satış'!$M:$M,$O$4)</f>
        <v>0</v>
      </c>
      <c r="P48" s="159">
        <f>COUNTIFS('Bereketli Satış'!$D:$D,D48,'Bereketli Satış'!$E:$E,E48,'Bereketli Satış'!$F:$F,F48,'Bereketli Satış'!$M:$M,$P$4)</f>
        <v>0</v>
      </c>
      <c r="Q48" s="159">
        <f>COUNTIFS('Bereketli Satış'!$D:$D,D48,'Bereketli Satış'!$E:$E,E48,'Bereketli Satış'!$F:$F,F48,'Bereketli Satış'!$M:$M,$Q$4)</f>
        <v>0</v>
      </c>
      <c r="R48" s="159">
        <f>COUNTIFS('Bereketli Satış'!$D:$D,D48,'Bereketli Satış'!$E:$E,E48,'Bereketli Satış'!$F:$F,F48,'Bereketli Satış'!$M:$M,$R$4)</f>
        <v>0</v>
      </c>
      <c r="S48" s="159">
        <f>COUNTIFS('Bereketli Satış'!$D:$D,D48,'Bereketli Satış'!$E:$E,E48,'Bereketli Satış'!$F:$F,F48,'Bereketli Satış'!$M:$M,$S$4)</f>
        <v>0</v>
      </c>
      <c r="T48" s="160">
        <f>COUNTIFS('Bereketli Satış'!$D:$D,D48,'Bereketli Satış'!$E:$E,E48,'Bereketli Satış'!$F:$F,F48,'Bereketli Satış'!$M:$M,$T$4)</f>
        <v>0</v>
      </c>
      <c r="U48" s="159">
        <f>COUNTIFS('Bereketli Satış'!$D:$D,D48,'Bereketli Satış'!$E:$E,E48,'Bereketli Satış'!$F:$F,F48,'Bereketli Satış'!$M:$M,$U$4)</f>
        <v>1</v>
      </c>
      <c r="V48" s="183">
        <f>COUNTIFS('Bereketli Satış'!$D:$D,D48,'Bereketli Satış'!$E:$E,E48,'Bereketli Satış'!$F:$F,F48,'Bereketli Satış'!$M:$M,$V$4)</f>
        <v>0</v>
      </c>
      <c r="W48">
        <f t="shared" si="2"/>
        <v>1</v>
      </c>
      <c r="AB48" t="str">
        <f t="shared" si="4"/>
        <v>Uygun</v>
      </c>
    </row>
    <row r="49" spans="4:28">
      <c r="D49" s="156" t="s">
        <v>14</v>
      </c>
      <c r="E49" s="147" t="s">
        <v>23</v>
      </c>
      <c r="F49" s="143" t="s">
        <v>26</v>
      </c>
      <c r="G49" s="181">
        <f>COUNTIFS('Bereketli Satış'!D:D,D49,'Bereketli Satış'!$E:$E,E49,'Bereketli Satış'!$F:$F,F49)</f>
        <v>1</v>
      </c>
      <c r="H49" s="164">
        <f>COUNTIFS('Bereketli Satış'!$D:$D,D49,'Bereketli Satış'!$E:$E,E49,'Bereketli Satış'!$F:$F,F49,'Bereketli Satış'!$L:$L,$H$4)</f>
        <v>1</v>
      </c>
      <c r="I49" s="159">
        <f>COUNTIFS('Bereketli Satış'!$D:$D,D49,'Bereketli Satış'!$E:$E,E49,'Bereketli Satış'!$F:$F,F49,'Bereketli Satış'!$L:$L,$I$4)</f>
        <v>0</v>
      </c>
      <c r="J49" s="159">
        <f>COUNTIFS('Bereketli Satış'!$D:$D,D49,'Bereketli Satış'!$E:$E,E49,'Bereketli Satış'!$F:$F,F49,'Bereketli Satış'!$L:$L,$J$4)</f>
        <v>0</v>
      </c>
      <c r="K49" s="159">
        <f>COUNTIFS('Bereketli Satış'!$D:$D,D49,'Bereketli Satış'!$E:$E,E49,'Bereketli Satış'!$F:$F,F49,'Bereketli Satış'!$L:$L,$K$4)</f>
        <v>0</v>
      </c>
      <c r="L49" s="165">
        <f>COUNTIFS('Bereketli Satış'!$D:$D,D49,'Bereketli Satış'!$E:$E,E49,'Bereketli Satış'!$F:$F,F49,'Bereketli Satış'!$L:$L,$L$4)</f>
        <v>0</v>
      </c>
      <c r="M49" s="179">
        <f t="shared" si="1"/>
        <v>1</v>
      </c>
      <c r="N49" s="164">
        <f>COUNTIFS('Bereketli Satış'!$D:$D,D49,'Bereketli Satış'!$E:$E,E49,'Bereketli Satış'!$F:$F,F49,'Bereketli Satış'!$M:$M,$N$4)</f>
        <v>0</v>
      </c>
      <c r="O49" s="159">
        <f>COUNTIFS('Bereketli Satış'!$D:$D,D49,'Bereketli Satış'!$E:$E,E49,'Bereketli Satış'!$F:$F,F49,'Bereketli Satış'!$M:$M,$O$4)</f>
        <v>0</v>
      </c>
      <c r="P49" s="159">
        <f>COUNTIFS('Bereketli Satış'!$D:$D,D49,'Bereketli Satış'!$E:$E,E49,'Bereketli Satış'!$F:$F,F49,'Bereketli Satış'!$M:$M,$P$4)</f>
        <v>0</v>
      </c>
      <c r="Q49" s="159">
        <f>COUNTIFS('Bereketli Satış'!$D:$D,D49,'Bereketli Satış'!$E:$E,E49,'Bereketli Satış'!$F:$F,F49,'Bereketli Satış'!$M:$M,$Q$4)</f>
        <v>0</v>
      </c>
      <c r="R49" s="159">
        <f>COUNTIFS('Bereketli Satış'!$D:$D,D49,'Bereketli Satış'!$E:$E,E49,'Bereketli Satış'!$F:$F,F49,'Bereketli Satış'!$M:$M,$R$4)</f>
        <v>0</v>
      </c>
      <c r="S49" s="159">
        <f>COUNTIFS('Bereketli Satış'!$D:$D,D49,'Bereketli Satış'!$E:$E,E49,'Bereketli Satış'!$F:$F,F49,'Bereketli Satış'!$M:$M,$S$4)</f>
        <v>0</v>
      </c>
      <c r="T49" s="160">
        <f>COUNTIFS('Bereketli Satış'!$D:$D,D49,'Bereketli Satış'!$E:$E,E49,'Bereketli Satış'!$F:$F,F49,'Bereketli Satış'!$M:$M,$T$4)</f>
        <v>0</v>
      </c>
      <c r="U49" s="159">
        <f>COUNTIFS('Bereketli Satış'!$D:$D,D49,'Bereketli Satış'!$E:$E,E49,'Bereketli Satış'!$F:$F,F49,'Bereketli Satış'!$M:$M,$U$4)</f>
        <v>1</v>
      </c>
      <c r="V49" s="183">
        <f>COUNTIFS('Bereketli Satış'!$D:$D,D49,'Bereketli Satış'!$E:$E,E49,'Bereketli Satış'!$F:$F,F49,'Bereketli Satış'!$M:$M,$V$4)</f>
        <v>0</v>
      </c>
      <c r="W49">
        <f t="shared" si="2"/>
        <v>1</v>
      </c>
      <c r="AB49" t="str">
        <f t="shared" si="4"/>
        <v>Uygun</v>
      </c>
    </row>
    <row r="50" spans="4:28">
      <c r="D50" s="156" t="s">
        <v>14</v>
      </c>
      <c r="E50" s="147" t="s">
        <v>23</v>
      </c>
      <c r="F50" s="143" t="s">
        <v>55</v>
      </c>
      <c r="G50" s="181">
        <f>COUNTIFS('Bereketli Satış'!D:D,D50,'Bereketli Satış'!$E:$E,E50,'Bereketli Satış'!$F:$F,F50)</f>
        <v>1</v>
      </c>
      <c r="H50" s="164">
        <f>COUNTIFS('Bereketli Satış'!$D:$D,D50,'Bereketli Satış'!$E:$E,E50,'Bereketli Satış'!$F:$F,F50,'Bereketli Satış'!$L:$L,$H$4)</f>
        <v>1</v>
      </c>
      <c r="I50" s="159">
        <f>COUNTIFS('Bereketli Satış'!$D:$D,D50,'Bereketli Satış'!$E:$E,E50,'Bereketli Satış'!$F:$F,F50,'Bereketli Satış'!$L:$L,$I$4)</f>
        <v>0</v>
      </c>
      <c r="J50" s="159">
        <f>COUNTIFS('Bereketli Satış'!$D:$D,D50,'Bereketli Satış'!$E:$E,E50,'Bereketli Satış'!$F:$F,F50,'Bereketli Satış'!$L:$L,$J$4)</f>
        <v>0</v>
      </c>
      <c r="K50" s="159">
        <f>COUNTIFS('Bereketli Satış'!$D:$D,D50,'Bereketli Satış'!$E:$E,E50,'Bereketli Satış'!$F:$F,F50,'Bereketli Satış'!$L:$L,$K$4)</f>
        <v>0</v>
      </c>
      <c r="L50" s="165">
        <f>COUNTIFS('Bereketli Satış'!$D:$D,D50,'Bereketli Satış'!$E:$E,E50,'Bereketli Satış'!$F:$F,F50,'Bereketli Satış'!$L:$L,$L$4)</f>
        <v>0</v>
      </c>
      <c r="M50" s="179">
        <f t="shared" si="1"/>
        <v>1</v>
      </c>
      <c r="N50" s="164">
        <f>COUNTIFS('Bereketli Satış'!$D:$D,D50,'Bereketli Satış'!$E:$E,E50,'Bereketli Satış'!$F:$F,F50,'Bereketli Satış'!$M:$M,$N$4)</f>
        <v>0</v>
      </c>
      <c r="O50" s="159">
        <f>COUNTIFS('Bereketli Satış'!$D:$D,D50,'Bereketli Satış'!$E:$E,E50,'Bereketli Satış'!$F:$F,F50,'Bereketli Satış'!$M:$M,$O$4)</f>
        <v>0</v>
      </c>
      <c r="P50" s="159">
        <f>COUNTIFS('Bereketli Satış'!$D:$D,D50,'Bereketli Satış'!$E:$E,E50,'Bereketli Satış'!$F:$F,F50,'Bereketli Satış'!$M:$M,$P$4)</f>
        <v>0</v>
      </c>
      <c r="Q50" s="159">
        <f>COUNTIFS('Bereketli Satış'!$D:$D,D50,'Bereketli Satış'!$E:$E,E50,'Bereketli Satış'!$F:$F,F50,'Bereketli Satış'!$M:$M,$Q$4)</f>
        <v>0</v>
      </c>
      <c r="R50" s="159">
        <f>COUNTIFS('Bereketli Satış'!$D:$D,D50,'Bereketli Satış'!$E:$E,E50,'Bereketli Satış'!$F:$F,F50,'Bereketli Satış'!$M:$M,$R$4)</f>
        <v>0</v>
      </c>
      <c r="S50" s="159">
        <f>COUNTIFS('Bereketli Satış'!$D:$D,D50,'Bereketli Satış'!$E:$E,E50,'Bereketli Satış'!$F:$F,F50,'Bereketli Satış'!$M:$M,$S$4)</f>
        <v>0</v>
      </c>
      <c r="T50" s="160">
        <f>COUNTIFS('Bereketli Satış'!$D:$D,D50,'Bereketli Satış'!$E:$E,E50,'Bereketli Satış'!$F:$F,F50,'Bereketli Satış'!$M:$M,$T$4)</f>
        <v>0</v>
      </c>
      <c r="U50" s="159">
        <f>COUNTIFS('Bereketli Satış'!$D:$D,D50,'Bereketli Satış'!$E:$E,E50,'Bereketli Satış'!$F:$F,F50,'Bereketli Satış'!$M:$M,$U$4)</f>
        <v>1</v>
      </c>
      <c r="V50" s="183">
        <f>COUNTIFS('Bereketli Satış'!$D:$D,D50,'Bereketli Satış'!$E:$E,E50,'Bereketli Satış'!$F:$F,F50,'Bereketli Satış'!$M:$M,$V$4)</f>
        <v>0</v>
      </c>
      <c r="W50">
        <f t="shared" si="2"/>
        <v>1</v>
      </c>
      <c r="AB50" t="str">
        <f t="shared" si="4"/>
        <v>Uygun</v>
      </c>
    </row>
    <row r="51" spans="4:28">
      <c r="D51" s="156" t="s">
        <v>14</v>
      </c>
      <c r="E51" s="147" t="s">
        <v>23</v>
      </c>
      <c r="F51" s="143" t="s">
        <v>56</v>
      </c>
      <c r="G51" s="181">
        <f>COUNTIFS('Bereketli Satış'!D:D,D51,'Bereketli Satış'!$E:$E,E51,'Bereketli Satış'!$F:$F,F51)</f>
        <v>1</v>
      </c>
      <c r="H51" s="164">
        <f>COUNTIFS('Bereketli Satış'!$D:$D,D51,'Bereketli Satış'!$E:$E,E51,'Bereketli Satış'!$F:$F,F51,'Bereketli Satış'!$L:$L,$H$4)</f>
        <v>0</v>
      </c>
      <c r="I51" s="159">
        <f>COUNTIFS('Bereketli Satış'!$D:$D,D51,'Bereketli Satış'!$E:$E,E51,'Bereketli Satış'!$F:$F,F51,'Bereketli Satış'!$L:$L,$I$4)</f>
        <v>0</v>
      </c>
      <c r="J51" s="159">
        <f>COUNTIFS('Bereketli Satış'!$D:$D,D51,'Bereketli Satış'!$E:$E,E51,'Bereketli Satış'!$F:$F,F51,'Bereketli Satış'!$L:$L,$J$4)</f>
        <v>1</v>
      </c>
      <c r="K51" s="159">
        <f>COUNTIFS('Bereketli Satış'!$D:$D,D51,'Bereketli Satış'!$E:$E,E51,'Bereketli Satış'!$F:$F,F51,'Bereketli Satış'!$L:$L,$K$4)</f>
        <v>0</v>
      </c>
      <c r="L51" s="165">
        <f>COUNTIFS('Bereketli Satış'!$D:$D,D51,'Bereketli Satış'!$E:$E,E51,'Bereketli Satış'!$F:$F,F51,'Bereketli Satış'!$L:$L,$L$4)</f>
        <v>0</v>
      </c>
      <c r="M51" s="179">
        <f t="shared" si="1"/>
        <v>1</v>
      </c>
      <c r="N51" s="164">
        <f>COUNTIFS('Bereketli Satış'!$D:$D,D51,'Bereketli Satış'!$E:$E,E51,'Bereketli Satış'!$F:$F,F51,'Bereketli Satış'!$M:$M,$N$4)</f>
        <v>0</v>
      </c>
      <c r="O51" s="159">
        <f>COUNTIFS('Bereketli Satış'!$D:$D,D51,'Bereketli Satış'!$E:$E,E51,'Bereketli Satış'!$F:$F,F51,'Bereketli Satış'!$M:$M,$O$4)</f>
        <v>0</v>
      </c>
      <c r="P51" s="159">
        <f>COUNTIFS('Bereketli Satış'!$D:$D,D51,'Bereketli Satış'!$E:$E,E51,'Bereketli Satış'!$F:$F,F51,'Bereketli Satış'!$M:$M,$P$4)</f>
        <v>1</v>
      </c>
      <c r="Q51" s="159">
        <f>COUNTIFS('Bereketli Satış'!$D:$D,D51,'Bereketli Satış'!$E:$E,E51,'Bereketli Satış'!$F:$F,F51,'Bereketli Satış'!$M:$M,$Q$4)</f>
        <v>0</v>
      </c>
      <c r="R51" s="159">
        <f>COUNTIFS('Bereketli Satış'!$D:$D,D51,'Bereketli Satış'!$E:$E,E51,'Bereketli Satış'!$F:$F,F51,'Bereketli Satış'!$M:$M,$R$4)</f>
        <v>0</v>
      </c>
      <c r="S51" s="159">
        <f>COUNTIFS('Bereketli Satış'!$D:$D,D51,'Bereketli Satış'!$E:$E,E51,'Bereketli Satış'!$F:$F,F51,'Bereketli Satış'!$M:$M,$S$4)</f>
        <v>0</v>
      </c>
      <c r="T51" s="160">
        <f>COUNTIFS('Bereketli Satış'!$D:$D,D51,'Bereketli Satış'!$E:$E,E51,'Bereketli Satış'!$F:$F,F51,'Bereketli Satış'!$M:$M,$T$4)</f>
        <v>0</v>
      </c>
      <c r="U51" s="159">
        <f>COUNTIFS('Bereketli Satış'!$D:$D,D51,'Bereketli Satış'!$E:$E,E51,'Bereketli Satış'!$F:$F,F51,'Bereketli Satış'!$M:$M,$U$4)</f>
        <v>0</v>
      </c>
      <c r="V51" s="183">
        <f>COUNTIFS('Bereketli Satış'!$D:$D,D51,'Bereketli Satış'!$E:$E,E51,'Bereketli Satış'!$F:$F,F51,'Bereketli Satış'!$M:$M,$V$4)</f>
        <v>0</v>
      </c>
      <c r="W51">
        <f t="shared" si="2"/>
        <v>1</v>
      </c>
      <c r="AB51" t="str">
        <f t="shared" si="4"/>
        <v>Uygun</v>
      </c>
    </row>
    <row r="52" spans="4:28">
      <c r="D52" s="156" t="s">
        <v>14</v>
      </c>
      <c r="E52" s="147" t="s">
        <v>23</v>
      </c>
      <c r="F52" s="143" t="s">
        <v>74</v>
      </c>
      <c r="G52" s="181">
        <f>COUNTIFS('Bereketli Satış'!D:D,D52,'Bereketli Satış'!$E:$E,E52,'Bereketli Satış'!$F:$F,F52)</f>
        <v>1</v>
      </c>
      <c r="H52" s="164">
        <f>COUNTIFS('Bereketli Satış'!$D:$D,D52,'Bereketli Satış'!$E:$E,E52,'Bereketli Satış'!$F:$F,F52,'Bereketli Satış'!$L:$L,$H$4)</f>
        <v>1</v>
      </c>
      <c r="I52" s="159">
        <f>COUNTIFS('Bereketli Satış'!$D:$D,D52,'Bereketli Satış'!$E:$E,E52,'Bereketli Satış'!$F:$F,F52,'Bereketli Satış'!$L:$L,$I$4)</f>
        <v>0</v>
      </c>
      <c r="J52" s="159">
        <f>COUNTIFS('Bereketli Satış'!$D:$D,D52,'Bereketli Satış'!$E:$E,E52,'Bereketli Satış'!$F:$F,F52,'Bereketli Satış'!$L:$L,$J$4)</f>
        <v>0</v>
      </c>
      <c r="K52" s="159">
        <f>COUNTIFS('Bereketli Satış'!$D:$D,D52,'Bereketli Satış'!$E:$E,E52,'Bereketli Satış'!$F:$F,F52,'Bereketli Satış'!$L:$L,$K$4)</f>
        <v>0</v>
      </c>
      <c r="L52" s="165">
        <f>COUNTIFS('Bereketli Satış'!$D:$D,D52,'Bereketli Satış'!$E:$E,E52,'Bereketli Satış'!$F:$F,F52,'Bereketli Satış'!$L:$L,$L$4)</f>
        <v>0</v>
      </c>
      <c r="M52" s="179">
        <f t="shared" si="1"/>
        <v>1</v>
      </c>
      <c r="N52" s="164">
        <f>COUNTIFS('Bereketli Satış'!$D:$D,D52,'Bereketli Satış'!$E:$E,E52,'Bereketli Satış'!$F:$F,F52,'Bereketli Satış'!$M:$M,$N$4)</f>
        <v>0</v>
      </c>
      <c r="O52" s="159">
        <f>COUNTIFS('Bereketli Satış'!$D:$D,D52,'Bereketli Satış'!$E:$E,E52,'Bereketli Satış'!$F:$F,F52,'Bereketli Satış'!$M:$M,$O$4)</f>
        <v>0</v>
      </c>
      <c r="P52" s="159">
        <f>COUNTIFS('Bereketli Satış'!$D:$D,D52,'Bereketli Satış'!$E:$E,E52,'Bereketli Satış'!$F:$F,F52,'Bereketli Satış'!$M:$M,$P$4)</f>
        <v>0</v>
      </c>
      <c r="Q52" s="159">
        <f>COUNTIFS('Bereketli Satış'!$D:$D,D52,'Bereketli Satış'!$E:$E,E52,'Bereketli Satış'!$F:$F,F52,'Bereketli Satış'!$M:$M,$Q$4)</f>
        <v>0</v>
      </c>
      <c r="R52" s="159">
        <f>COUNTIFS('Bereketli Satış'!$D:$D,D52,'Bereketli Satış'!$E:$E,E52,'Bereketli Satış'!$F:$F,F52,'Bereketli Satış'!$M:$M,$R$4)</f>
        <v>0</v>
      </c>
      <c r="S52" s="159">
        <f>COUNTIFS('Bereketli Satış'!$D:$D,D52,'Bereketli Satış'!$E:$E,E52,'Bereketli Satış'!$F:$F,F52,'Bereketli Satış'!$M:$M,$S$4)</f>
        <v>0</v>
      </c>
      <c r="T52" s="160">
        <f>COUNTIFS('Bereketli Satış'!$D:$D,D52,'Bereketli Satış'!$E:$E,E52,'Bereketli Satış'!$F:$F,F52,'Bereketli Satış'!$M:$M,$T$4)</f>
        <v>0</v>
      </c>
      <c r="U52" s="159">
        <f>COUNTIFS('Bereketli Satış'!$D:$D,D52,'Bereketli Satış'!$E:$E,E52,'Bereketli Satış'!$F:$F,F52,'Bereketli Satış'!$M:$M,$U$4)</f>
        <v>1</v>
      </c>
      <c r="V52" s="183">
        <f>COUNTIFS('Bereketli Satış'!$D:$D,D52,'Bereketli Satış'!$E:$E,E52,'Bereketli Satış'!$F:$F,F52,'Bereketli Satış'!$M:$M,$V$4)</f>
        <v>0</v>
      </c>
      <c r="W52">
        <f t="shared" si="2"/>
        <v>1</v>
      </c>
      <c r="AB52" t="str">
        <f t="shared" si="4"/>
        <v>Uygun</v>
      </c>
    </row>
    <row r="53" spans="4:28">
      <c r="D53" s="156" t="s">
        <v>14</v>
      </c>
      <c r="E53" s="147" t="s">
        <v>23</v>
      </c>
      <c r="F53" s="143" t="s">
        <v>27</v>
      </c>
      <c r="G53" s="181">
        <f>COUNTIFS('Bereketli Satış'!D:D,D53,'Bereketli Satış'!$E:$E,E53,'Bereketli Satış'!$F:$F,F53)</f>
        <v>1</v>
      </c>
      <c r="H53" s="164">
        <f>COUNTIFS('Bereketli Satış'!$D:$D,D53,'Bereketli Satış'!$E:$E,E53,'Bereketli Satış'!$F:$F,F53,'Bereketli Satış'!$L:$L,$H$4)</f>
        <v>0</v>
      </c>
      <c r="I53" s="159">
        <f>COUNTIFS('Bereketli Satış'!$D:$D,D53,'Bereketli Satış'!$E:$E,E53,'Bereketli Satış'!$F:$F,F53,'Bereketli Satış'!$L:$L,$I$4)</f>
        <v>1</v>
      </c>
      <c r="J53" s="159">
        <f>COUNTIFS('Bereketli Satış'!$D:$D,D53,'Bereketli Satış'!$E:$E,E53,'Bereketli Satış'!$F:$F,F53,'Bereketli Satış'!$L:$L,$J$4)</f>
        <v>0</v>
      </c>
      <c r="K53" s="159">
        <f>COUNTIFS('Bereketli Satış'!$D:$D,D53,'Bereketli Satış'!$E:$E,E53,'Bereketli Satış'!$F:$F,F53,'Bereketli Satış'!$L:$L,$K$4)</f>
        <v>0</v>
      </c>
      <c r="L53" s="165">
        <f>COUNTIFS('Bereketli Satış'!$D:$D,D53,'Bereketli Satış'!$E:$E,E53,'Bereketli Satış'!$F:$F,F53,'Bereketli Satış'!$L:$L,$L$4)</f>
        <v>0</v>
      </c>
      <c r="M53" s="179">
        <f t="shared" si="1"/>
        <v>1</v>
      </c>
      <c r="N53" s="164">
        <f>COUNTIFS('Bereketli Satış'!$D:$D,D53,'Bereketli Satış'!$E:$E,E53,'Bereketli Satış'!$F:$F,F53,'Bereketli Satış'!$M:$M,$N$4)</f>
        <v>1</v>
      </c>
      <c r="O53" s="159">
        <f>COUNTIFS('Bereketli Satış'!$D:$D,D53,'Bereketli Satış'!$E:$E,E53,'Bereketli Satış'!$F:$F,F53,'Bereketli Satış'!$M:$M,$O$4)</f>
        <v>0</v>
      </c>
      <c r="P53" s="159">
        <f>COUNTIFS('Bereketli Satış'!$D:$D,D53,'Bereketli Satış'!$E:$E,E53,'Bereketli Satış'!$F:$F,F53,'Bereketli Satış'!$M:$M,$P$4)</f>
        <v>0</v>
      </c>
      <c r="Q53" s="159">
        <f>COUNTIFS('Bereketli Satış'!$D:$D,D53,'Bereketli Satış'!$E:$E,E53,'Bereketli Satış'!$F:$F,F53,'Bereketli Satış'!$M:$M,$Q$4)</f>
        <v>0</v>
      </c>
      <c r="R53" s="159">
        <f>COUNTIFS('Bereketli Satış'!$D:$D,D53,'Bereketli Satış'!$E:$E,E53,'Bereketli Satış'!$F:$F,F53,'Bereketli Satış'!$M:$M,$R$4)</f>
        <v>0</v>
      </c>
      <c r="S53" s="159">
        <f>COUNTIFS('Bereketli Satış'!$D:$D,D53,'Bereketli Satış'!$E:$E,E53,'Bereketli Satış'!$F:$F,F53,'Bereketli Satış'!$M:$M,$S$4)</f>
        <v>0</v>
      </c>
      <c r="T53" s="160">
        <f>COUNTIFS('Bereketli Satış'!$D:$D,D53,'Bereketli Satış'!$E:$E,E53,'Bereketli Satış'!$F:$F,F53,'Bereketli Satış'!$M:$M,$T$4)</f>
        <v>0</v>
      </c>
      <c r="U53" s="159">
        <f>COUNTIFS('Bereketli Satış'!$D:$D,D53,'Bereketli Satış'!$E:$E,E53,'Bereketli Satış'!$F:$F,F53,'Bereketli Satış'!$M:$M,$U$4)</f>
        <v>0</v>
      </c>
      <c r="V53" s="183">
        <f>COUNTIFS('Bereketli Satış'!$D:$D,D53,'Bereketli Satış'!$E:$E,E53,'Bereketli Satış'!$F:$F,F53,'Bereketli Satış'!$M:$M,$V$4)</f>
        <v>0</v>
      </c>
      <c r="W53">
        <f t="shared" si="2"/>
        <v>1</v>
      </c>
      <c r="AB53" t="str">
        <f t="shared" si="4"/>
        <v>Uygun</v>
      </c>
    </row>
    <row r="54" spans="4:28">
      <c r="D54" s="156" t="s">
        <v>14</v>
      </c>
      <c r="E54" s="147" t="s">
        <v>23</v>
      </c>
      <c r="F54" s="143" t="s">
        <v>72</v>
      </c>
      <c r="G54" s="181">
        <f>COUNTIFS('Bereketli Satış'!D:D,D54,'Bereketli Satış'!$E:$E,E54,'Bereketli Satış'!$F:$F,F54)</f>
        <v>1</v>
      </c>
      <c r="H54" s="164">
        <f>COUNTIFS('Bereketli Satış'!$D:$D,D54,'Bereketli Satış'!$E:$E,E54,'Bereketli Satış'!$F:$F,F54,'Bereketli Satış'!$L:$L,$H$4)</f>
        <v>0</v>
      </c>
      <c r="I54" s="159">
        <f>COUNTIFS('Bereketli Satış'!$D:$D,D54,'Bereketli Satış'!$E:$E,E54,'Bereketli Satış'!$F:$F,F54,'Bereketli Satış'!$L:$L,$I$4)</f>
        <v>0</v>
      </c>
      <c r="J54" s="159">
        <f>COUNTIFS('Bereketli Satış'!$D:$D,D54,'Bereketli Satış'!$E:$E,E54,'Bereketli Satış'!$F:$F,F54,'Bereketli Satış'!$L:$L,$J$4)</f>
        <v>1</v>
      </c>
      <c r="K54" s="159">
        <f>COUNTIFS('Bereketli Satış'!$D:$D,D54,'Bereketli Satış'!$E:$E,E54,'Bereketli Satış'!$F:$F,F54,'Bereketli Satış'!$L:$L,$K$4)</f>
        <v>0</v>
      </c>
      <c r="L54" s="165">
        <f>COUNTIFS('Bereketli Satış'!$D:$D,D54,'Bereketli Satış'!$E:$E,E54,'Bereketli Satış'!$F:$F,F54,'Bereketli Satış'!$L:$L,$L$4)</f>
        <v>0</v>
      </c>
      <c r="M54" s="179">
        <f t="shared" si="1"/>
        <v>1</v>
      </c>
      <c r="N54" s="164">
        <f>COUNTIFS('Bereketli Satış'!$D:$D,D54,'Bereketli Satış'!$E:$E,E54,'Bereketli Satış'!$F:$F,F54,'Bereketli Satış'!$M:$M,$N$4)</f>
        <v>0</v>
      </c>
      <c r="O54" s="159">
        <f>COUNTIFS('Bereketli Satış'!$D:$D,D54,'Bereketli Satış'!$E:$E,E54,'Bereketli Satış'!$F:$F,F54,'Bereketli Satış'!$M:$M,$O$4)</f>
        <v>0</v>
      </c>
      <c r="P54" s="159">
        <f>COUNTIFS('Bereketli Satış'!$D:$D,D54,'Bereketli Satış'!$E:$E,E54,'Bereketli Satış'!$F:$F,F54,'Bereketli Satış'!$M:$M,$P$4)</f>
        <v>1</v>
      </c>
      <c r="Q54" s="159">
        <f>COUNTIFS('Bereketli Satış'!$D:$D,D54,'Bereketli Satış'!$E:$E,E54,'Bereketli Satış'!$F:$F,F54,'Bereketli Satış'!$M:$M,$Q$4)</f>
        <v>0</v>
      </c>
      <c r="R54" s="159">
        <f>COUNTIFS('Bereketli Satış'!$D:$D,D54,'Bereketli Satış'!$E:$E,E54,'Bereketli Satış'!$F:$F,F54,'Bereketli Satış'!$M:$M,$R$4)</f>
        <v>0</v>
      </c>
      <c r="S54" s="159">
        <f>COUNTIFS('Bereketli Satış'!$D:$D,D54,'Bereketli Satış'!$E:$E,E54,'Bereketli Satış'!$F:$F,F54,'Bereketli Satış'!$M:$M,$S$4)</f>
        <v>0</v>
      </c>
      <c r="T54" s="160">
        <f>COUNTIFS('Bereketli Satış'!$D:$D,D54,'Bereketli Satış'!$E:$E,E54,'Bereketli Satış'!$F:$F,F54,'Bereketli Satış'!$M:$M,$T$4)</f>
        <v>0</v>
      </c>
      <c r="U54" s="159">
        <f>COUNTIFS('Bereketli Satış'!$D:$D,D54,'Bereketli Satış'!$E:$E,E54,'Bereketli Satış'!$F:$F,F54,'Bereketli Satış'!$M:$M,$U$4)</f>
        <v>0</v>
      </c>
      <c r="V54" s="183">
        <f>COUNTIFS('Bereketli Satış'!$D:$D,D54,'Bereketli Satış'!$E:$E,E54,'Bereketli Satış'!$F:$F,F54,'Bereketli Satış'!$M:$M,$V$4)</f>
        <v>0</v>
      </c>
      <c r="W54">
        <f t="shared" si="2"/>
        <v>1</v>
      </c>
      <c r="AB54" t="str">
        <f t="shared" si="4"/>
        <v>Uygun</v>
      </c>
    </row>
    <row r="55" spans="4:28">
      <c r="D55" s="156" t="s">
        <v>14</v>
      </c>
      <c r="E55" s="147" t="s">
        <v>23</v>
      </c>
      <c r="F55" s="143" t="s">
        <v>59</v>
      </c>
      <c r="G55" s="181">
        <f>COUNTIFS('Bereketli Satış'!D:D,D55,'Bereketli Satış'!$E:$E,E55,'Bereketli Satış'!$F:$F,F55)</f>
        <v>1</v>
      </c>
      <c r="H55" s="164">
        <f>COUNTIFS('Bereketli Satış'!$D:$D,D55,'Bereketli Satış'!$E:$E,E55,'Bereketli Satış'!$F:$F,F55,'Bereketli Satış'!$L:$L,$H$4)</f>
        <v>0</v>
      </c>
      <c r="I55" s="159">
        <f>COUNTIFS('Bereketli Satış'!$D:$D,D55,'Bereketli Satış'!$E:$E,E55,'Bereketli Satış'!$F:$F,F55,'Bereketli Satış'!$L:$L,$I$4)</f>
        <v>0</v>
      </c>
      <c r="J55" s="159">
        <f>COUNTIFS('Bereketli Satış'!$D:$D,D55,'Bereketli Satış'!$E:$E,E55,'Bereketli Satış'!$F:$F,F55,'Bereketli Satış'!$L:$L,$J$4)</f>
        <v>1</v>
      </c>
      <c r="K55" s="159">
        <f>COUNTIFS('Bereketli Satış'!$D:$D,D55,'Bereketli Satış'!$E:$E,E55,'Bereketli Satış'!$F:$F,F55,'Bereketli Satış'!$L:$L,$K$4)</f>
        <v>0</v>
      </c>
      <c r="L55" s="165">
        <f>COUNTIFS('Bereketli Satış'!$D:$D,D55,'Bereketli Satış'!$E:$E,E55,'Bereketli Satış'!$F:$F,F55,'Bereketli Satış'!$L:$L,$L$4)</f>
        <v>0</v>
      </c>
      <c r="M55" s="179">
        <f t="shared" si="1"/>
        <v>1</v>
      </c>
      <c r="N55" s="164">
        <f>COUNTIFS('Bereketli Satış'!$D:$D,D55,'Bereketli Satış'!$E:$E,E55,'Bereketli Satış'!$F:$F,F55,'Bereketli Satış'!$M:$M,$N$4)</f>
        <v>0</v>
      </c>
      <c r="O55" s="159">
        <f>COUNTIFS('Bereketli Satış'!$D:$D,D55,'Bereketli Satış'!$E:$E,E55,'Bereketli Satış'!$F:$F,F55,'Bereketli Satış'!$M:$M,$O$4)</f>
        <v>0</v>
      </c>
      <c r="P55" s="159">
        <f>COUNTIFS('Bereketli Satış'!$D:$D,D55,'Bereketli Satış'!$E:$E,E55,'Bereketli Satış'!$F:$F,F55,'Bereketli Satış'!$M:$M,$P$4)</f>
        <v>1</v>
      </c>
      <c r="Q55" s="159">
        <f>COUNTIFS('Bereketli Satış'!$D:$D,D55,'Bereketli Satış'!$E:$E,E55,'Bereketli Satış'!$F:$F,F55,'Bereketli Satış'!$M:$M,$Q$4)</f>
        <v>0</v>
      </c>
      <c r="R55" s="159">
        <f>COUNTIFS('Bereketli Satış'!$D:$D,D55,'Bereketli Satış'!$E:$E,E55,'Bereketli Satış'!$F:$F,F55,'Bereketli Satış'!$M:$M,$R$4)</f>
        <v>0</v>
      </c>
      <c r="S55" s="159">
        <f>COUNTIFS('Bereketli Satış'!$D:$D,D55,'Bereketli Satış'!$E:$E,E55,'Bereketli Satış'!$F:$F,F55,'Bereketli Satış'!$M:$M,$S$4)</f>
        <v>0</v>
      </c>
      <c r="T55" s="160">
        <f>COUNTIFS('Bereketli Satış'!$D:$D,D55,'Bereketli Satış'!$E:$E,E55,'Bereketli Satış'!$F:$F,F55,'Bereketli Satış'!$M:$M,$T$4)</f>
        <v>0</v>
      </c>
      <c r="U55" s="159">
        <f>COUNTIFS('Bereketli Satış'!$D:$D,D55,'Bereketli Satış'!$E:$E,E55,'Bereketli Satış'!$F:$F,F55,'Bereketli Satış'!$M:$M,$U$4)</f>
        <v>0</v>
      </c>
      <c r="V55" s="183">
        <f>COUNTIFS('Bereketli Satış'!$D:$D,D55,'Bereketli Satış'!$E:$E,E55,'Bereketli Satış'!$F:$F,F55,'Bereketli Satış'!$M:$M,$V$4)</f>
        <v>0</v>
      </c>
      <c r="W55">
        <f t="shared" si="2"/>
        <v>1</v>
      </c>
      <c r="AB55" t="str">
        <f t="shared" si="4"/>
        <v>Uygun</v>
      </c>
    </row>
    <row r="56" spans="4:28">
      <c r="D56" s="156" t="s">
        <v>14</v>
      </c>
      <c r="E56" s="147" t="s">
        <v>23</v>
      </c>
      <c r="F56" s="143" t="s">
        <v>60</v>
      </c>
      <c r="G56" s="181">
        <f>COUNTIFS('Bereketli Satış'!D:D,D56,'Bereketli Satış'!$E:$E,E56,'Bereketli Satış'!$F:$F,F56)</f>
        <v>1</v>
      </c>
      <c r="H56" s="164">
        <f>COUNTIFS('Bereketli Satış'!$D:$D,D56,'Bereketli Satış'!$E:$E,E56,'Bereketli Satış'!$F:$F,F56,'Bereketli Satış'!$L:$L,$H$4)</f>
        <v>1</v>
      </c>
      <c r="I56" s="159">
        <f>COUNTIFS('Bereketli Satış'!$D:$D,D56,'Bereketli Satış'!$E:$E,E56,'Bereketli Satış'!$F:$F,F56,'Bereketli Satış'!$L:$L,$I$4)</f>
        <v>0</v>
      </c>
      <c r="J56" s="159">
        <f>COUNTIFS('Bereketli Satış'!$D:$D,D56,'Bereketli Satış'!$E:$E,E56,'Bereketli Satış'!$F:$F,F56,'Bereketli Satış'!$L:$L,$J$4)</f>
        <v>0</v>
      </c>
      <c r="K56" s="159">
        <f>COUNTIFS('Bereketli Satış'!$D:$D,D56,'Bereketli Satış'!$E:$E,E56,'Bereketli Satış'!$F:$F,F56,'Bereketli Satış'!$L:$L,$K$4)</f>
        <v>0</v>
      </c>
      <c r="L56" s="165">
        <f>COUNTIFS('Bereketli Satış'!$D:$D,D56,'Bereketli Satış'!$E:$E,E56,'Bereketli Satış'!$F:$F,F56,'Bereketli Satış'!$L:$L,$L$4)</f>
        <v>0</v>
      </c>
      <c r="M56" s="179">
        <f t="shared" si="1"/>
        <v>1</v>
      </c>
      <c r="N56" s="164">
        <f>COUNTIFS('Bereketli Satış'!$D:$D,D56,'Bereketli Satış'!$E:$E,E56,'Bereketli Satış'!$F:$F,F56,'Bereketli Satış'!$M:$M,$N$4)</f>
        <v>0</v>
      </c>
      <c r="O56" s="159">
        <f>COUNTIFS('Bereketli Satış'!$D:$D,D56,'Bereketli Satış'!$E:$E,E56,'Bereketli Satış'!$F:$F,F56,'Bereketli Satış'!$M:$M,$O$4)</f>
        <v>0</v>
      </c>
      <c r="P56" s="159">
        <f>COUNTIFS('Bereketli Satış'!$D:$D,D56,'Bereketli Satış'!$E:$E,E56,'Bereketli Satış'!$F:$F,F56,'Bereketli Satış'!$M:$M,$P$4)</f>
        <v>0</v>
      </c>
      <c r="Q56" s="159">
        <f>COUNTIFS('Bereketli Satış'!$D:$D,D56,'Bereketli Satış'!$E:$E,E56,'Bereketli Satış'!$F:$F,F56,'Bereketli Satış'!$M:$M,$Q$4)</f>
        <v>0</v>
      </c>
      <c r="R56" s="159">
        <f>COUNTIFS('Bereketli Satış'!$D:$D,D56,'Bereketli Satış'!$E:$E,E56,'Bereketli Satış'!$F:$F,F56,'Bereketli Satış'!$M:$M,$R$4)</f>
        <v>0</v>
      </c>
      <c r="S56" s="159">
        <f>COUNTIFS('Bereketli Satış'!$D:$D,D56,'Bereketli Satış'!$E:$E,E56,'Bereketli Satış'!$F:$F,F56,'Bereketli Satış'!$M:$M,$S$4)</f>
        <v>0</v>
      </c>
      <c r="T56" s="160">
        <f>COUNTIFS('Bereketli Satış'!$D:$D,D56,'Bereketli Satış'!$E:$E,E56,'Bereketli Satış'!$F:$F,F56,'Bereketli Satış'!$M:$M,$T$4)</f>
        <v>0</v>
      </c>
      <c r="U56" s="159">
        <f>COUNTIFS('Bereketli Satış'!$D:$D,D56,'Bereketli Satış'!$E:$E,E56,'Bereketli Satış'!$F:$F,F56,'Bereketli Satış'!$M:$M,$U$4)</f>
        <v>1</v>
      </c>
      <c r="V56" s="183">
        <f>COUNTIFS('Bereketli Satış'!$D:$D,D56,'Bereketli Satış'!$E:$E,E56,'Bereketli Satış'!$F:$F,F56,'Bereketli Satış'!$M:$M,$V$4)</f>
        <v>0</v>
      </c>
      <c r="W56">
        <f t="shared" si="2"/>
        <v>1</v>
      </c>
      <c r="AB56" t="str">
        <f t="shared" si="4"/>
        <v>Uygun</v>
      </c>
    </row>
    <row r="57" spans="4:28">
      <c r="D57" s="156" t="s">
        <v>14</v>
      </c>
      <c r="E57" s="142" t="s">
        <v>23</v>
      </c>
      <c r="F57" s="143" t="s">
        <v>110</v>
      </c>
      <c r="G57" s="181">
        <f>COUNTIFS('Bereketli Satış'!D:D,D57,'Bereketli Satış'!$E:$E,E57,'Bereketli Satış'!$F:$F,F57)</f>
        <v>1</v>
      </c>
      <c r="H57" s="164">
        <f>COUNTIFS('Bereketli Satış'!$D:$D,D57,'Bereketli Satış'!$E:$E,E57,'Bereketli Satış'!$F:$F,F57,'Bereketli Satış'!$L:$L,$H$4)</f>
        <v>1</v>
      </c>
      <c r="I57" s="159">
        <f>COUNTIFS('Bereketli Satış'!$D:$D,D57,'Bereketli Satış'!$E:$E,E57,'Bereketli Satış'!$F:$F,F57,'Bereketli Satış'!$L:$L,$I$4)</f>
        <v>0</v>
      </c>
      <c r="J57" s="159">
        <f>COUNTIFS('Bereketli Satış'!$D:$D,D57,'Bereketli Satış'!$E:$E,E57,'Bereketli Satış'!$F:$F,F57,'Bereketli Satış'!$L:$L,$J$4)</f>
        <v>0</v>
      </c>
      <c r="K57" s="159">
        <f>COUNTIFS('Bereketli Satış'!$D:$D,D57,'Bereketli Satış'!$E:$E,E57,'Bereketli Satış'!$F:$F,F57,'Bereketli Satış'!$L:$L,$K$4)</f>
        <v>0</v>
      </c>
      <c r="L57" s="165">
        <f>COUNTIFS('Bereketli Satış'!$D:$D,D57,'Bereketli Satış'!$E:$E,E57,'Bereketli Satış'!$F:$F,F57,'Bereketli Satış'!$L:$L,$L$4)</f>
        <v>0</v>
      </c>
      <c r="M57" s="179">
        <f t="shared" si="1"/>
        <v>1</v>
      </c>
      <c r="N57" s="164">
        <f>COUNTIFS('Bereketli Satış'!$D:$D,D57,'Bereketli Satış'!$E:$E,E57,'Bereketli Satış'!$F:$F,F57,'Bereketli Satış'!$M:$M,$N$4)</f>
        <v>0</v>
      </c>
      <c r="O57" s="159">
        <f>COUNTIFS('Bereketli Satış'!$D:$D,D57,'Bereketli Satış'!$E:$E,E57,'Bereketli Satış'!$F:$F,F57,'Bereketli Satış'!$M:$M,$O$4)</f>
        <v>0</v>
      </c>
      <c r="P57" s="159">
        <f>COUNTIFS('Bereketli Satış'!$D:$D,D57,'Bereketli Satış'!$E:$E,E57,'Bereketli Satış'!$F:$F,F57,'Bereketli Satış'!$M:$M,$P$4)</f>
        <v>0</v>
      </c>
      <c r="Q57" s="159">
        <f>COUNTIFS('Bereketli Satış'!$D:$D,D57,'Bereketli Satış'!$E:$E,E57,'Bereketli Satış'!$F:$F,F57,'Bereketli Satış'!$M:$M,$Q$4)</f>
        <v>0</v>
      </c>
      <c r="R57" s="159">
        <f>COUNTIFS('Bereketli Satış'!$D:$D,D57,'Bereketli Satış'!$E:$E,E57,'Bereketli Satış'!$F:$F,F57,'Bereketli Satış'!$M:$M,$R$4)</f>
        <v>0</v>
      </c>
      <c r="S57" s="159">
        <f>COUNTIFS('Bereketli Satış'!$D:$D,D57,'Bereketli Satış'!$E:$E,E57,'Bereketli Satış'!$F:$F,F57,'Bereketli Satış'!$M:$M,$S$4)</f>
        <v>0</v>
      </c>
      <c r="T57" s="160">
        <f>COUNTIFS('Bereketli Satış'!$D:$D,D57,'Bereketli Satış'!$E:$E,E57,'Bereketli Satış'!$F:$F,F57,'Bereketli Satış'!$M:$M,$T$4)</f>
        <v>0</v>
      </c>
      <c r="U57" s="159">
        <f>COUNTIFS('Bereketli Satış'!$D:$D,D57,'Bereketli Satış'!$E:$E,E57,'Bereketli Satış'!$F:$F,F57,'Bereketli Satış'!$M:$M,$U$4)</f>
        <v>1</v>
      </c>
      <c r="V57" s="183">
        <f>COUNTIFS('Bereketli Satış'!$D:$D,D57,'Bereketli Satış'!$E:$E,E57,'Bereketli Satış'!$F:$F,F57,'Bereketli Satış'!$M:$M,$V$4)</f>
        <v>0</v>
      </c>
      <c r="W57">
        <f t="shared" si="2"/>
        <v>1</v>
      </c>
      <c r="AB57" t="str">
        <f t="shared" si="4"/>
        <v>Uygun</v>
      </c>
    </row>
    <row r="58" spans="4:28">
      <c r="D58" s="156" t="s">
        <v>14</v>
      </c>
      <c r="E58" s="147" t="s">
        <v>43</v>
      </c>
      <c r="F58" s="143" t="s">
        <v>44</v>
      </c>
      <c r="G58" s="181">
        <f>COUNTIFS('Bereketli Satış'!D:D,D58,'Bereketli Satış'!$E:$E,E58,'Bereketli Satış'!$F:$F,F58)</f>
        <v>1</v>
      </c>
      <c r="H58" s="164">
        <f>COUNTIFS('Bereketli Satış'!$D:$D,D58,'Bereketli Satış'!$E:$E,E58,'Bereketli Satış'!$F:$F,F58,'Bereketli Satış'!$L:$L,$H$4)</f>
        <v>0</v>
      </c>
      <c r="I58" s="159">
        <f>COUNTIFS('Bereketli Satış'!$D:$D,D58,'Bereketli Satış'!$E:$E,E58,'Bereketli Satış'!$F:$F,F58,'Bereketli Satış'!$L:$L,$I$4)</f>
        <v>0</v>
      </c>
      <c r="J58" s="159">
        <f>COUNTIFS('Bereketli Satış'!$D:$D,D58,'Bereketli Satış'!$E:$E,E58,'Bereketli Satış'!$F:$F,F58,'Bereketli Satış'!$L:$L,$J$4)</f>
        <v>1</v>
      </c>
      <c r="K58" s="159">
        <f>COUNTIFS('Bereketli Satış'!$D:$D,D58,'Bereketli Satış'!$E:$E,E58,'Bereketli Satış'!$F:$F,F58,'Bereketli Satış'!$L:$L,$K$4)</f>
        <v>0</v>
      </c>
      <c r="L58" s="165">
        <f>COUNTIFS('Bereketli Satış'!$D:$D,D58,'Bereketli Satış'!$E:$E,E58,'Bereketli Satış'!$F:$F,F58,'Bereketli Satış'!$L:$L,$L$4)</f>
        <v>0</v>
      </c>
      <c r="M58" s="179">
        <f t="shared" si="1"/>
        <v>1</v>
      </c>
      <c r="N58" s="164">
        <f>COUNTIFS('Bereketli Satış'!$D:$D,D58,'Bereketli Satış'!$E:$E,E58,'Bereketli Satış'!$F:$F,F58,'Bereketli Satış'!$M:$M,$N$4)</f>
        <v>0</v>
      </c>
      <c r="O58" s="159">
        <f>COUNTIFS('Bereketli Satış'!$D:$D,D58,'Bereketli Satış'!$E:$E,E58,'Bereketli Satış'!$F:$F,F58,'Bereketli Satış'!$M:$M,$O$4)</f>
        <v>0</v>
      </c>
      <c r="P58" s="159">
        <f>COUNTIFS('Bereketli Satış'!$D:$D,D58,'Bereketli Satış'!$E:$E,E58,'Bereketli Satış'!$F:$F,F58,'Bereketli Satış'!$M:$M,$P$4)</f>
        <v>1</v>
      </c>
      <c r="Q58" s="159">
        <f>COUNTIFS('Bereketli Satış'!$D:$D,D58,'Bereketli Satış'!$E:$E,E58,'Bereketli Satış'!$F:$F,F58,'Bereketli Satış'!$M:$M,$Q$4)</f>
        <v>0</v>
      </c>
      <c r="R58" s="159">
        <f>COUNTIFS('Bereketli Satış'!$D:$D,D58,'Bereketli Satış'!$E:$E,E58,'Bereketli Satış'!$F:$F,F58,'Bereketli Satış'!$M:$M,$R$4)</f>
        <v>0</v>
      </c>
      <c r="S58" s="159">
        <f>COUNTIFS('Bereketli Satış'!$D:$D,D58,'Bereketli Satış'!$E:$E,E58,'Bereketli Satış'!$F:$F,F58,'Bereketli Satış'!$M:$M,$S$4)</f>
        <v>0</v>
      </c>
      <c r="T58" s="160">
        <f>COUNTIFS('Bereketli Satış'!$D:$D,D58,'Bereketli Satış'!$E:$E,E58,'Bereketli Satış'!$F:$F,F58,'Bereketli Satış'!$M:$M,$T$4)</f>
        <v>0</v>
      </c>
      <c r="U58" s="159">
        <f>COUNTIFS('Bereketli Satış'!$D:$D,D58,'Bereketli Satış'!$E:$E,E58,'Bereketli Satış'!$F:$F,F58,'Bereketli Satış'!$M:$M,$U$4)</f>
        <v>0</v>
      </c>
      <c r="V58" s="183">
        <f>COUNTIFS('Bereketli Satış'!$D:$D,D58,'Bereketli Satış'!$E:$E,E58,'Bereketli Satış'!$F:$F,F58,'Bereketli Satış'!$M:$M,$V$4)</f>
        <v>0</v>
      </c>
      <c r="W58">
        <f t="shared" si="2"/>
        <v>1</v>
      </c>
      <c r="AB58" t="str">
        <f t="shared" si="4"/>
        <v>Uygun</v>
      </c>
    </row>
    <row r="59" spans="4:28">
      <c r="D59" s="156" t="s">
        <v>14</v>
      </c>
      <c r="E59" s="142" t="s">
        <v>43</v>
      </c>
      <c r="F59" s="143" t="s">
        <v>106</v>
      </c>
      <c r="G59" s="181">
        <f>COUNTIFS('Bereketli Satış'!D:D,D59,'Bereketli Satış'!$E:$E,E59,'Bereketli Satış'!$F:$F,F59)</f>
        <v>1</v>
      </c>
      <c r="H59" s="164">
        <f>COUNTIFS('Bereketli Satış'!$D:$D,D59,'Bereketli Satış'!$E:$E,E59,'Bereketli Satış'!$F:$F,F59,'Bereketli Satış'!$L:$L,$H$4)</f>
        <v>1</v>
      </c>
      <c r="I59" s="159">
        <f>COUNTIFS('Bereketli Satış'!$D:$D,D59,'Bereketli Satış'!$E:$E,E59,'Bereketli Satış'!$F:$F,F59,'Bereketli Satış'!$L:$L,$I$4)</f>
        <v>0</v>
      </c>
      <c r="J59" s="159">
        <f>COUNTIFS('Bereketli Satış'!$D:$D,D59,'Bereketli Satış'!$E:$E,E59,'Bereketli Satış'!$F:$F,F59,'Bereketli Satış'!$L:$L,$J$4)</f>
        <v>0</v>
      </c>
      <c r="K59" s="159">
        <f>COUNTIFS('Bereketli Satış'!$D:$D,D59,'Bereketli Satış'!$E:$E,E59,'Bereketli Satış'!$F:$F,F59,'Bereketli Satış'!$L:$L,$K$4)</f>
        <v>0</v>
      </c>
      <c r="L59" s="165">
        <f>COUNTIFS('Bereketli Satış'!$D:$D,D59,'Bereketli Satış'!$E:$E,E59,'Bereketli Satış'!$F:$F,F59,'Bereketli Satış'!$L:$L,$L$4)</f>
        <v>0</v>
      </c>
      <c r="M59" s="179">
        <f t="shared" si="1"/>
        <v>1</v>
      </c>
      <c r="N59" s="164">
        <f>COUNTIFS('Bereketli Satış'!$D:$D,D59,'Bereketli Satış'!$E:$E,E59,'Bereketli Satış'!$F:$F,F59,'Bereketli Satış'!$M:$M,$N$4)</f>
        <v>0</v>
      </c>
      <c r="O59" s="159">
        <f>COUNTIFS('Bereketli Satış'!$D:$D,D59,'Bereketli Satış'!$E:$E,E59,'Bereketli Satış'!$F:$F,F59,'Bereketli Satış'!$M:$M,$O$4)</f>
        <v>0</v>
      </c>
      <c r="P59" s="159">
        <f>COUNTIFS('Bereketli Satış'!$D:$D,D59,'Bereketli Satış'!$E:$E,E59,'Bereketli Satış'!$F:$F,F59,'Bereketli Satış'!$M:$M,$P$4)</f>
        <v>0</v>
      </c>
      <c r="Q59" s="159">
        <f>COUNTIFS('Bereketli Satış'!$D:$D,D59,'Bereketli Satış'!$E:$E,E59,'Bereketli Satış'!$F:$F,F59,'Bereketli Satış'!$M:$M,$Q$4)</f>
        <v>0</v>
      </c>
      <c r="R59" s="159">
        <f>COUNTIFS('Bereketli Satış'!$D:$D,D59,'Bereketli Satış'!$E:$E,E59,'Bereketli Satış'!$F:$F,F59,'Bereketli Satış'!$M:$M,$R$4)</f>
        <v>0</v>
      </c>
      <c r="S59" s="159">
        <f>COUNTIFS('Bereketli Satış'!$D:$D,D59,'Bereketli Satış'!$E:$E,E59,'Bereketli Satış'!$F:$F,F59,'Bereketli Satış'!$M:$M,$S$4)</f>
        <v>0</v>
      </c>
      <c r="T59" s="160">
        <f>COUNTIFS('Bereketli Satış'!$D:$D,D59,'Bereketli Satış'!$E:$E,E59,'Bereketli Satış'!$F:$F,F59,'Bereketli Satış'!$M:$M,$T$4)</f>
        <v>0</v>
      </c>
      <c r="U59" s="159">
        <f>COUNTIFS('Bereketli Satış'!$D:$D,D59,'Bereketli Satış'!$E:$E,E59,'Bereketli Satış'!$F:$F,F59,'Bereketli Satış'!$M:$M,$U$4)</f>
        <v>1</v>
      </c>
      <c r="V59" s="183">
        <f>COUNTIFS('Bereketli Satış'!$D:$D,D59,'Bereketli Satış'!$E:$E,E59,'Bereketli Satış'!$F:$F,F59,'Bereketli Satış'!$M:$M,$V$4)</f>
        <v>0</v>
      </c>
      <c r="W59">
        <f t="shared" si="2"/>
        <v>1</v>
      </c>
      <c r="AB59" t="str">
        <f t="shared" si="4"/>
        <v>Uygun</v>
      </c>
    </row>
    <row r="60" spans="4:28">
      <c r="D60" s="156" t="s">
        <v>14</v>
      </c>
      <c r="E60" s="147" t="s">
        <v>33</v>
      </c>
      <c r="F60" s="143" t="s">
        <v>34</v>
      </c>
      <c r="G60" s="181">
        <f>COUNTIFS('Bereketli Satış'!D:D,D60,'Bereketli Satış'!$E:$E,E60,'Bereketli Satış'!$F:$F,F60)</f>
        <v>1</v>
      </c>
      <c r="H60" s="164">
        <f>COUNTIFS('Bereketli Satış'!$D:$D,D60,'Bereketli Satış'!$E:$E,E60,'Bereketli Satış'!$F:$F,F60,'Bereketli Satış'!$L:$L,$H$4)</f>
        <v>0</v>
      </c>
      <c r="I60" s="159">
        <f>COUNTIFS('Bereketli Satış'!$D:$D,D60,'Bereketli Satış'!$E:$E,E60,'Bereketli Satış'!$F:$F,F60,'Bereketli Satış'!$L:$L,$I$4)</f>
        <v>1</v>
      </c>
      <c r="J60" s="159">
        <f>COUNTIFS('Bereketli Satış'!$D:$D,D60,'Bereketli Satış'!$E:$E,E60,'Bereketli Satış'!$F:$F,F60,'Bereketli Satış'!$L:$L,$J$4)</f>
        <v>0</v>
      </c>
      <c r="K60" s="159">
        <f>COUNTIFS('Bereketli Satış'!$D:$D,D60,'Bereketli Satış'!$E:$E,E60,'Bereketli Satış'!$F:$F,F60,'Bereketli Satış'!$L:$L,$K$4)</f>
        <v>0</v>
      </c>
      <c r="L60" s="165">
        <f>COUNTIFS('Bereketli Satış'!$D:$D,D60,'Bereketli Satış'!$E:$E,E60,'Bereketli Satış'!$F:$F,F60,'Bereketli Satış'!$L:$L,$L$4)</f>
        <v>0</v>
      </c>
      <c r="M60" s="179">
        <f t="shared" si="1"/>
        <v>1</v>
      </c>
      <c r="N60" s="164">
        <f>COUNTIFS('Bereketli Satış'!$D:$D,D60,'Bereketli Satış'!$E:$E,E60,'Bereketli Satış'!$F:$F,F60,'Bereketli Satış'!$M:$M,$N$4)</f>
        <v>0</v>
      </c>
      <c r="O60" s="159">
        <f>COUNTIFS('Bereketli Satış'!$D:$D,D60,'Bereketli Satış'!$E:$E,E60,'Bereketli Satış'!$F:$F,F60,'Bereketli Satış'!$M:$M,$O$4)</f>
        <v>0</v>
      </c>
      <c r="P60" s="159">
        <f>COUNTIFS('Bereketli Satış'!$D:$D,D60,'Bereketli Satış'!$E:$E,E60,'Bereketli Satış'!$F:$F,F60,'Bereketli Satış'!$M:$M,$P$4)</f>
        <v>0</v>
      </c>
      <c r="Q60" s="159">
        <f>COUNTIFS('Bereketli Satış'!$D:$D,D60,'Bereketli Satış'!$E:$E,E60,'Bereketli Satış'!$F:$F,F60,'Bereketli Satış'!$M:$M,$Q$4)</f>
        <v>0</v>
      </c>
      <c r="R60" s="159">
        <f>COUNTIFS('Bereketli Satış'!$D:$D,D60,'Bereketli Satış'!$E:$E,E60,'Bereketli Satış'!$F:$F,F60,'Bereketli Satış'!$M:$M,$R$4)</f>
        <v>0</v>
      </c>
      <c r="S60" s="159">
        <f>COUNTIFS('Bereketli Satış'!$D:$D,D60,'Bereketli Satış'!$E:$E,E60,'Bereketli Satış'!$F:$F,F60,'Bereketli Satış'!$M:$M,$S$4)</f>
        <v>1</v>
      </c>
      <c r="T60" s="160">
        <f>COUNTIFS('Bereketli Satış'!$D:$D,D60,'Bereketli Satış'!$E:$E,E60,'Bereketli Satış'!$F:$F,F60,'Bereketli Satış'!$M:$M,$T$4)</f>
        <v>0</v>
      </c>
      <c r="U60" s="159">
        <f>COUNTIFS('Bereketli Satış'!$D:$D,D60,'Bereketli Satış'!$E:$E,E60,'Bereketli Satış'!$F:$F,F60,'Bereketli Satış'!$M:$M,$U$4)</f>
        <v>0</v>
      </c>
      <c r="V60" s="183">
        <f>COUNTIFS('Bereketli Satış'!$D:$D,D60,'Bereketli Satış'!$E:$E,E60,'Bereketli Satış'!$F:$F,F60,'Bereketli Satış'!$M:$M,$V$4)</f>
        <v>0</v>
      </c>
      <c r="W60">
        <f t="shared" si="2"/>
        <v>1</v>
      </c>
      <c r="AB60" t="str">
        <f t="shared" si="4"/>
        <v>Uygun</v>
      </c>
    </row>
    <row r="61" spans="4:28">
      <c r="D61" s="156" t="s">
        <v>14</v>
      </c>
      <c r="E61" s="147" t="s">
        <v>33</v>
      </c>
      <c r="F61" s="143" t="s">
        <v>95</v>
      </c>
      <c r="G61" s="181">
        <f>COUNTIFS('Bereketli Satış'!D:D,D61,'Bereketli Satış'!$E:$E,E61,'Bereketli Satış'!$F:$F,F61)</f>
        <v>1</v>
      </c>
      <c r="H61" s="164">
        <f>COUNTIFS('Bereketli Satış'!$D:$D,D61,'Bereketli Satış'!$E:$E,E61,'Bereketli Satış'!$F:$F,F61,'Bereketli Satış'!$L:$L,$H$4)</f>
        <v>1</v>
      </c>
      <c r="I61" s="159">
        <f>COUNTIFS('Bereketli Satış'!$D:$D,D61,'Bereketli Satış'!$E:$E,E61,'Bereketli Satış'!$F:$F,F61,'Bereketli Satış'!$L:$L,$I$4)</f>
        <v>0</v>
      </c>
      <c r="J61" s="159">
        <f>COUNTIFS('Bereketli Satış'!$D:$D,D61,'Bereketli Satış'!$E:$E,E61,'Bereketli Satış'!$F:$F,F61,'Bereketli Satış'!$L:$L,$J$4)</f>
        <v>0</v>
      </c>
      <c r="K61" s="159">
        <f>COUNTIFS('Bereketli Satış'!$D:$D,D61,'Bereketli Satış'!$E:$E,E61,'Bereketli Satış'!$F:$F,F61,'Bereketli Satış'!$L:$L,$K$4)</f>
        <v>0</v>
      </c>
      <c r="L61" s="165">
        <f>COUNTIFS('Bereketli Satış'!$D:$D,D61,'Bereketli Satış'!$E:$E,E61,'Bereketli Satış'!$F:$F,F61,'Bereketli Satış'!$L:$L,$L$4)</f>
        <v>0</v>
      </c>
      <c r="M61" s="179">
        <f t="shared" si="1"/>
        <v>1</v>
      </c>
      <c r="N61" s="164">
        <f>COUNTIFS('Bereketli Satış'!$D:$D,D61,'Bereketli Satış'!$E:$E,E61,'Bereketli Satış'!$F:$F,F61,'Bereketli Satış'!$M:$M,$N$4)</f>
        <v>0</v>
      </c>
      <c r="O61" s="159">
        <f>COUNTIFS('Bereketli Satış'!$D:$D,D61,'Bereketli Satış'!$E:$E,E61,'Bereketli Satış'!$F:$F,F61,'Bereketli Satış'!$M:$M,$O$4)</f>
        <v>0</v>
      </c>
      <c r="P61" s="159">
        <f>COUNTIFS('Bereketli Satış'!$D:$D,D61,'Bereketli Satış'!$E:$E,E61,'Bereketli Satış'!$F:$F,F61,'Bereketli Satış'!$M:$M,$P$4)</f>
        <v>0</v>
      </c>
      <c r="Q61" s="159">
        <f>COUNTIFS('Bereketli Satış'!$D:$D,D61,'Bereketli Satış'!$E:$E,E61,'Bereketli Satış'!$F:$F,F61,'Bereketli Satış'!$M:$M,$Q$4)</f>
        <v>0</v>
      </c>
      <c r="R61" s="159">
        <f>COUNTIFS('Bereketli Satış'!$D:$D,D61,'Bereketli Satış'!$E:$E,E61,'Bereketli Satış'!$F:$F,F61,'Bereketli Satış'!$M:$M,$R$4)</f>
        <v>0</v>
      </c>
      <c r="S61" s="159">
        <f>COUNTIFS('Bereketli Satış'!$D:$D,D61,'Bereketli Satış'!$E:$E,E61,'Bereketli Satış'!$F:$F,F61,'Bereketli Satış'!$M:$M,$S$4)</f>
        <v>0</v>
      </c>
      <c r="T61" s="160">
        <f>COUNTIFS('Bereketli Satış'!$D:$D,D61,'Bereketli Satış'!$E:$E,E61,'Bereketli Satış'!$F:$F,F61,'Bereketli Satış'!$M:$M,$T$4)</f>
        <v>0</v>
      </c>
      <c r="U61" s="159">
        <f>COUNTIFS('Bereketli Satış'!$D:$D,D61,'Bereketli Satış'!$E:$E,E61,'Bereketli Satış'!$F:$F,F61,'Bereketli Satış'!$M:$M,$U$4)</f>
        <v>1</v>
      </c>
      <c r="V61" s="183">
        <f>COUNTIFS('Bereketli Satış'!$D:$D,D61,'Bereketli Satış'!$E:$E,E61,'Bereketli Satış'!$F:$F,F61,'Bereketli Satış'!$M:$M,$V$4)</f>
        <v>0</v>
      </c>
      <c r="W61">
        <f t="shared" si="2"/>
        <v>1</v>
      </c>
      <c r="AB61" t="str">
        <f t="shared" si="4"/>
        <v>Uygun</v>
      </c>
    </row>
    <row r="62" spans="4:28">
      <c r="D62" s="156" t="s">
        <v>14</v>
      </c>
      <c r="E62" s="147" t="s">
        <v>33</v>
      </c>
      <c r="F62" s="143" t="s">
        <v>42</v>
      </c>
      <c r="G62" s="181">
        <f>COUNTIFS('Bereketli Satış'!D:D,D62,'Bereketli Satış'!$E:$E,E62,'Bereketli Satış'!$F:$F,F62)</f>
        <v>1</v>
      </c>
      <c r="H62" s="164">
        <f>COUNTIFS('Bereketli Satış'!$D:$D,D62,'Bereketli Satış'!$E:$E,E62,'Bereketli Satış'!$F:$F,F62,'Bereketli Satış'!$L:$L,$H$4)</f>
        <v>0</v>
      </c>
      <c r="I62" s="159">
        <f>COUNTIFS('Bereketli Satış'!$D:$D,D62,'Bereketli Satış'!$E:$E,E62,'Bereketli Satış'!$F:$F,F62,'Bereketli Satış'!$L:$L,$I$4)</f>
        <v>1</v>
      </c>
      <c r="J62" s="159">
        <f>COUNTIFS('Bereketli Satış'!$D:$D,D62,'Bereketli Satış'!$E:$E,E62,'Bereketli Satış'!$F:$F,F62,'Bereketli Satış'!$L:$L,$J$4)</f>
        <v>0</v>
      </c>
      <c r="K62" s="159">
        <f>COUNTIFS('Bereketli Satış'!$D:$D,D62,'Bereketli Satış'!$E:$E,E62,'Bereketli Satış'!$F:$F,F62,'Bereketli Satış'!$L:$L,$K$4)</f>
        <v>0</v>
      </c>
      <c r="L62" s="165">
        <f>COUNTIFS('Bereketli Satış'!$D:$D,D62,'Bereketli Satış'!$E:$E,E62,'Bereketli Satış'!$F:$F,F62,'Bereketli Satış'!$L:$L,$L$4)</f>
        <v>0</v>
      </c>
      <c r="M62" s="179">
        <f t="shared" si="1"/>
        <v>1</v>
      </c>
      <c r="N62" s="164">
        <f>COUNTIFS('Bereketli Satış'!$D:$D,D62,'Bereketli Satış'!$E:$E,E62,'Bereketli Satış'!$F:$F,F62,'Bereketli Satış'!$M:$M,$N$4)</f>
        <v>1</v>
      </c>
      <c r="O62" s="159">
        <f>COUNTIFS('Bereketli Satış'!$D:$D,D62,'Bereketli Satış'!$E:$E,E62,'Bereketli Satış'!$F:$F,F62,'Bereketli Satış'!$M:$M,$O$4)</f>
        <v>0</v>
      </c>
      <c r="P62" s="159">
        <f>COUNTIFS('Bereketli Satış'!$D:$D,D62,'Bereketli Satış'!$E:$E,E62,'Bereketli Satış'!$F:$F,F62,'Bereketli Satış'!$M:$M,$P$4)</f>
        <v>0</v>
      </c>
      <c r="Q62" s="159">
        <f>COUNTIFS('Bereketli Satış'!$D:$D,D62,'Bereketli Satış'!$E:$E,E62,'Bereketli Satış'!$F:$F,F62,'Bereketli Satış'!$M:$M,$Q$4)</f>
        <v>0</v>
      </c>
      <c r="R62" s="159">
        <f>COUNTIFS('Bereketli Satış'!$D:$D,D62,'Bereketli Satış'!$E:$E,E62,'Bereketli Satış'!$F:$F,F62,'Bereketli Satış'!$M:$M,$R$4)</f>
        <v>0</v>
      </c>
      <c r="S62" s="159">
        <f>COUNTIFS('Bereketli Satış'!$D:$D,D62,'Bereketli Satış'!$E:$E,E62,'Bereketli Satış'!$F:$F,F62,'Bereketli Satış'!$M:$M,$S$4)</f>
        <v>0</v>
      </c>
      <c r="T62" s="160">
        <f>COUNTIFS('Bereketli Satış'!$D:$D,D62,'Bereketli Satış'!$E:$E,E62,'Bereketli Satış'!$F:$F,F62,'Bereketli Satış'!$M:$M,$T$4)</f>
        <v>0</v>
      </c>
      <c r="U62" s="159">
        <f>COUNTIFS('Bereketli Satış'!$D:$D,D62,'Bereketli Satış'!$E:$E,E62,'Bereketli Satış'!$F:$F,F62,'Bereketli Satış'!$M:$M,$U$4)</f>
        <v>0</v>
      </c>
      <c r="V62" s="183">
        <f>COUNTIFS('Bereketli Satış'!$D:$D,D62,'Bereketli Satış'!$E:$E,E62,'Bereketli Satış'!$F:$F,F62,'Bereketli Satış'!$M:$M,$V$4)</f>
        <v>0</v>
      </c>
      <c r="W62">
        <f t="shared" si="2"/>
        <v>1</v>
      </c>
      <c r="AB62" t="str">
        <f t="shared" si="4"/>
        <v>Uygun</v>
      </c>
    </row>
    <row r="63" spans="4:28">
      <c r="D63" s="156" t="s">
        <v>14</v>
      </c>
      <c r="E63" s="147" t="s">
        <v>33</v>
      </c>
      <c r="F63" s="143" t="s">
        <v>54</v>
      </c>
      <c r="G63" s="181">
        <f>COUNTIFS('Bereketli Satış'!D:D,D63,'Bereketli Satış'!$E:$E,E63,'Bereketli Satış'!$F:$F,F63)</f>
        <v>1</v>
      </c>
      <c r="H63" s="164">
        <f>COUNTIFS('Bereketli Satış'!$D:$D,D63,'Bereketli Satış'!$E:$E,E63,'Bereketli Satış'!$F:$F,F63,'Bereketli Satış'!$L:$L,$H$4)</f>
        <v>0</v>
      </c>
      <c r="I63" s="159">
        <f>COUNTIFS('Bereketli Satış'!$D:$D,D63,'Bereketli Satış'!$E:$E,E63,'Bereketli Satış'!$F:$F,F63,'Bereketli Satış'!$L:$L,$I$4)</f>
        <v>1</v>
      </c>
      <c r="J63" s="159">
        <f>COUNTIFS('Bereketli Satış'!$D:$D,D63,'Bereketli Satış'!$E:$E,E63,'Bereketli Satış'!$F:$F,F63,'Bereketli Satış'!$L:$L,$J$4)</f>
        <v>0</v>
      </c>
      <c r="K63" s="159">
        <f>COUNTIFS('Bereketli Satış'!$D:$D,D63,'Bereketli Satış'!$E:$E,E63,'Bereketli Satış'!$F:$F,F63,'Bereketli Satış'!$L:$L,$K$4)</f>
        <v>0</v>
      </c>
      <c r="L63" s="165">
        <f>COUNTIFS('Bereketli Satış'!$D:$D,D63,'Bereketli Satış'!$E:$E,E63,'Bereketli Satış'!$F:$F,F63,'Bereketli Satış'!$L:$L,$L$4)</f>
        <v>0</v>
      </c>
      <c r="M63" s="179">
        <f t="shared" si="1"/>
        <v>1</v>
      </c>
      <c r="N63" s="164">
        <f>COUNTIFS('Bereketli Satış'!$D:$D,D63,'Bereketli Satış'!$E:$E,E63,'Bereketli Satış'!$F:$F,F63,'Bereketli Satış'!$M:$M,$N$4)</f>
        <v>1</v>
      </c>
      <c r="O63" s="159">
        <f>COUNTIFS('Bereketli Satış'!$D:$D,D63,'Bereketli Satış'!$E:$E,E63,'Bereketli Satış'!$F:$F,F63,'Bereketli Satış'!$M:$M,$O$4)</f>
        <v>0</v>
      </c>
      <c r="P63" s="159">
        <f>COUNTIFS('Bereketli Satış'!$D:$D,D63,'Bereketli Satış'!$E:$E,E63,'Bereketli Satış'!$F:$F,F63,'Bereketli Satış'!$M:$M,$P$4)</f>
        <v>0</v>
      </c>
      <c r="Q63" s="159">
        <f>COUNTIFS('Bereketli Satış'!$D:$D,D63,'Bereketli Satış'!$E:$E,E63,'Bereketli Satış'!$F:$F,F63,'Bereketli Satış'!$M:$M,$Q$4)</f>
        <v>0</v>
      </c>
      <c r="R63" s="159">
        <f>COUNTIFS('Bereketli Satış'!$D:$D,D63,'Bereketli Satış'!$E:$E,E63,'Bereketli Satış'!$F:$F,F63,'Bereketli Satış'!$M:$M,$R$4)</f>
        <v>0</v>
      </c>
      <c r="S63" s="159">
        <f>COUNTIFS('Bereketli Satış'!$D:$D,D63,'Bereketli Satış'!$E:$E,E63,'Bereketli Satış'!$F:$F,F63,'Bereketli Satış'!$M:$M,$S$4)</f>
        <v>0</v>
      </c>
      <c r="T63" s="160">
        <f>COUNTIFS('Bereketli Satış'!$D:$D,D63,'Bereketli Satış'!$E:$E,E63,'Bereketli Satış'!$F:$F,F63,'Bereketli Satış'!$M:$M,$T$4)</f>
        <v>0</v>
      </c>
      <c r="U63" s="159">
        <f>COUNTIFS('Bereketli Satış'!$D:$D,D63,'Bereketli Satış'!$E:$E,E63,'Bereketli Satış'!$F:$F,F63,'Bereketli Satış'!$M:$M,$U$4)</f>
        <v>0</v>
      </c>
      <c r="V63" s="183">
        <f>COUNTIFS('Bereketli Satış'!$D:$D,D63,'Bereketli Satış'!$E:$E,E63,'Bereketli Satış'!$F:$F,F63,'Bereketli Satış'!$M:$M,$V$4)</f>
        <v>0</v>
      </c>
      <c r="W63">
        <f t="shared" si="2"/>
        <v>1</v>
      </c>
      <c r="AB63" t="str">
        <f t="shared" si="4"/>
        <v>Uygun</v>
      </c>
    </row>
    <row r="64" spans="4:28">
      <c r="D64" s="156" t="s">
        <v>14</v>
      </c>
      <c r="E64" s="142" t="s">
        <v>33</v>
      </c>
      <c r="F64" s="143" t="s">
        <v>105</v>
      </c>
      <c r="G64" s="181">
        <f>COUNTIFS('Bereketli Satış'!D:D,D64,'Bereketli Satış'!$E:$E,E64,'Bereketli Satış'!$F:$F,F64)</f>
        <v>1</v>
      </c>
      <c r="H64" s="164">
        <f>COUNTIFS('Bereketli Satış'!$D:$D,D64,'Bereketli Satış'!$E:$E,E64,'Bereketli Satış'!$F:$F,F64,'Bereketli Satış'!$L:$L,$H$4)</f>
        <v>1</v>
      </c>
      <c r="I64" s="159">
        <f>COUNTIFS('Bereketli Satış'!$D:$D,D64,'Bereketli Satış'!$E:$E,E64,'Bereketli Satış'!$F:$F,F64,'Bereketli Satış'!$L:$L,$I$4)</f>
        <v>0</v>
      </c>
      <c r="J64" s="159">
        <f>COUNTIFS('Bereketli Satış'!$D:$D,D64,'Bereketli Satış'!$E:$E,E64,'Bereketli Satış'!$F:$F,F64,'Bereketli Satış'!$L:$L,$J$4)</f>
        <v>0</v>
      </c>
      <c r="K64" s="159">
        <f>COUNTIFS('Bereketli Satış'!$D:$D,D64,'Bereketli Satış'!$E:$E,E64,'Bereketli Satış'!$F:$F,F64,'Bereketli Satış'!$L:$L,$K$4)</f>
        <v>0</v>
      </c>
      <c r="L64" s="165">
        <f>COUNTIFS('Bereketli Satış'!$D:$D,D64,'Bereketli Satış'!$E:$E,E64,'Bereketli Satış'!$F:$F,F64,'Bereketli Satış'!$L:$L,$L$4)</f>
        <v>0</v>
      </c>
      <c r="M64" s="179">
        <f t="shared" si="1"/>
        <v>1</v>
      </c>
      <c r="N64" s="164">
        <f>COUNTIFS('Bereketli Satış'!$D:$D,D64,'Bereketli Satış'!$E:$E,E64,'Bereketli Satış'!$F:$F,F64,'Bereketli Satış'!$M:$M,$N$4)</f>
        <v>0</v>
      </c>
      <c r="O64" s="159">
        <f>COUNTIFS('Bereketli Satış'!$D:$D,D64,'Bereketli Satış'!$E:$E,E64,'Bereketli Satış'!$F:$F,F64,'Bereketli Satış'!$M:$M,$O$4)</f>
        <v>0</v>
      </c>
      <c r="P64" s="159">
        <f>COUNTIFS('Bereketli Satış'!$D:$D,D64,'Bereketli Satış'!$E:$E,E64,'Bereketli Satış'!$F:$F,F64,'Bereketli Satış'!$M:$M,$P$4)</f>
        <v>0</v>
      </c>
      <c r="Q64" s="159">
        <f>COUNTIFS('Bereketli Satış'!$D:$D,D64,'Bereketli Satış'!$E:$E,E64,'Bereketli Satış'!$F:$F,F64,'Bereketli Satış'!$M:$M,$Q$4)</f>
        <v>0</v>
      </c>
      <c r="R64" s="159">
        <f>COUNTIFS('Bereketli Satış'!$D:$D,D64,'Bereketli Satış'!$E:$E,E64,'Bereketli Satış'!$F:$F,F64,'Bereketli Satış'!$M:$M,$R$4)</f>
        <v>0</v>
      </c>
      <c r="S64" s="159">
        <f>COUNTIFS('Bereketli Satış'!$D:$D,D64,'Bereketli Satış'!$E:$E,E64,'Bereketli Satış'!$F:$F,F64,'Bereketli Satış'!$M:$M,$S$4)</f>
        <v>0</v>
      </c>
      <c r="T64" s="160">
        <f>COUNTIFS('Bereketli Satış'!$D:$D,D64,'Bereketli Satış'!$E:$E,E64,'Bereketli Satış'!$F:$F,F64,'Bereketli Satış'!$M:$M,$T$4)</f>
        <v>0</v>
      </c>
      <c r="U64" s="159">
        <f>COUNTIFS('Bereketli Satış'!$D:$D,D64,'Bereketli Satış'!$E:$E,E64,'Bereketli Satış'!$F:$F,F64,'Bereketli Satış'!$M:$M,$U$4)</f>
        <v>1</v>
      </c>
      <c r="V64" s="183">
        <f>COUNTIFS('Bereketli Satış'!$D:$D,D64,'Bereketli Satış'!$E:$E,E64,'Bereketli Satış'!$F:$F,F64,'Bereketli Satış'!$M:$M,$V$4)</f>
        <v>0</v>
      </c>
      <c r="W64">
        <f t="shared" si="2"/>
        <v>1</v>
      </c>
      <c r="AB64" t="str">
        <f t="shared" si="4"/>
        <v>Uygun</v>
      </c>
    </row>
    <row r="65" spans="4:28">
      <c r="D65" s="156" t="s">
        <v>14</v>
      </c>
      <c r="E65" s="147" t="s">
        <v>15</v>
      </c>
      <c r="F65" s="143" t="s">
        <v>192</v>
      </c>
      <c r="G65" s="181">
        <f>COUNTIFS('Bereketli Satış'!D:D,D65,'Bereketli Satış'!$E:$E,E65,'Bereketli Satış'!$F:$F,F65)</f>
        <v>1</v>
      </c>
      <c r="H65" s="164">
        <f>COUNTIFS('Bereketli Satış'!$D:$D,D65,'Bereketli Satış'!$E:$E,E65,'Bereketli Satış'!$F:$F,F65,'Bereketli Satış'!$L:$L,$H$4)</f>
        <v>1</v>
      </c>
      <c r="I65" s="159">
        <f>COUNTIFS('Bereketli Satış'!$D:$D,D65,'Bereketli Satış'!$E:$E,E65,'Bereketli Satış'!$F:$F,F65,'Bereketli Satış'!$L:$L,$I$4)</f>
        <v>0</v>
      </c>
      <c r="J65" s="159">
        <f>COUNTIFS('Bereketli Satış'!$D:$D,D65,'Bereketli Satış'!$E:$E,E65,'Bereketli Satış'!$F:$F,F65,'Bereketli Satış'!$L:$L,$J$4)</f>
        <v>0</v>
      </c>
      <c r="K65" s="159">
        <f>COUNTIFS('Bereketli Satış'!$D:$D,D65,'Bereketli Satış'!$E:$E,E65,'Bereketli Satış'!$F:$F,F65,'Bereketli Satış'!$L:$L,$K$4)</f>
        <v>0</v>
      </c>
      <c r="L65" s="165">
        <f>COUNTIFS('Bereketli Satış'!$D:$D,D65,'Bereketli Satış'!$E:$E,E65,'Bereketli Satış'!$F:$F,F65,'Bereketli Satış'!$L:$L,$L$4)</f>
        <v>0</v>
      </c>
      <c r="M65" s="179">
        <f t="shared" si="1"/>
        <v>1</v>
      </c>
      <c r="N65" s="164">
        <f>COUNTIFS('Bereketli Satış'!$D:$D,D65,'Bereketli Satış'!$E:$E,E65,'Bereketli Satış'!$F:$F,F65,'Bereketli Satış'!$M:$M,$N$4)</f>
        <v>0</v>
      </c>
      <c r="O65" s="159">
        <f>COUNTIFS('Bereketli Satış'!$D:$D,D65,'Bereketli Satış'!$E:$E,E65,'Bereketli Satış'!$F:$F,F65,'Bereketli Satış'!$M:$M,$O$4)</f>
        <v>0</v>
      </c>
      <c r="P65" s="159">
        <f>COUNTIFS('Bereketli Satış'!$D:$D,D65,'Bereketli Satış'!$E:$E,E65,'Bereketli Satış'!$F:$F,F65,'Bereketli Satış'!$M:$M,$P$4)</f>
        <v>0</v>
      </c>
      <c r="Q65" s="159">
        <f>COUNTIFS('Bereketli Satış'!$D:$D,D65,'Bereketli Satış'!$E:$E,E65,'Bereketli Satış'!$F:$F,F65,'Bereketli Satış'!$M:$M,$Q$4)</f>
        <v>0</v>
      </c>
      <c r="R65" s="159">
        <f>COUNTIFS('Bereketli Satış'!$D:$D,D65,'Bereketli Satış'!$E:$E,E65,'Bereketli Satış'!$F:$F,F65,'Bereketli Satış'!$M:$M,$R$4)</f>
        <v>0</v>
      </c>
      <c r="S65" s="159">
        <f>COUNTIFS('Bereketli Satış'!$D:$D,D65,'Bereketli Satış'!$E:$E,E65,'Bereketli Satış'!$F:$F,F65,'Bereketli Satış'!$M:$M,$S$4)</f>
        <v>0</v>
      </c>
      <c r="T65" s="160">
        <f>COUNTIFS('Bereketli Satış'!$D:$D,D65,'Bereketli Satış'!$E:$E,E65,'Bereketli Satış'!$F:$F,F65,'Bereketli Satış'!$M:$M,$T$4)</f>
        <v>0</v>
      </c>
      <c r="U65" s="159">
        <f>COUNTIFS('Bereketli Satış'!$D:$D,D65,'Bereketli Satış'!$E:$E,E65,'Bereketli Satış'!$F:$F,F65,'Bereketli Satış'!$M:$M,$U$4)</f>
        <v>1</v>
      </c>
      <c r="V65" s="183">
        <f>COUNTIFS('Bereketli Satış'!$D:$D,D65,'Bereketli Satış'!$E:$E,E65,'Bereketli Satış'!$F:$F,F65,'Bereketli Satış'!$M:$M,$V$4)</f>
        <v>0</v>
      </c>
      <c r="W65">
        <f t="shared" si="2"/>
        <v>1</v>
      </c>
      <c r="AB65" t="str">
        <f t="shared" si="4"/>
        <v>Uygun</v>
      </c>
    </row>
    <row r="66" spans="4:28">
      <c r="D66" s="156" t="s">
        <v>14</v>
      </c>
      <c r="E66" s="147" t="s">
        <v>15</v>
      </c>
      <c r="F66" s="143" t="s">
        <v>94</v>
      </c>
      <c r="G66" s="181">
        <f>COUNTIFS('Bereketli Satış'!D:D,D66,'Bereketli Satış'!$E:$E,E66,'Bereketli Satış'!$F:$F,F66)</f>
        <v>1</v>
      </c>
      <c r="H66" s="164">
        <f>COUNTIFS('Bereketli Satış'!$D:$D,D66,'Bereketli Satış'!$E:$E,E66,'Bereketli Satış'!$F:$F,F66,'Bereketli Satış'!$L:$L,$H$4)</f>
        <v>1</v>
      </c>
      <c r="I66" s="159">
        <f>COUNTIFS('Bereketli Satış'!$D:$D,D66,'Bereketli Satış'!$E:$E,E66,'Bereketli Satış'!$F:$F,F66,'Bereketli Satış'!$L:$L,$I$4)</f>
        <v>0</v>
      </c>
      <c r="J66" s="159">
        <f>COUNTIFS('Bereketli Satış'!$D:$D,D66,'Bereketli Satış'!$E:$E,E66,'Bereketli Satış'!$F:$F,F66,'Bereketli Satış'!$L:$L,$J$4)</f>
        <v>0</v>
      </c>
      <c r="K66" s="159">
        <f>COUNTIFS('Bereketli Satış'!$D:$D,D66,'Bereketli Satış'!$E:$E,E66,'Bereketli Satış'!$F:$F,F66,'Bereketli Satış'!$L:$L,$K$4)</f>
        <v>0</v>
      </c>
      <c r="L66" s="165">
        <f>COUNTIFS('Bereketli Satış'!$D:$D,D66,'Bereketli Satış'!$E:$E,E66,'Bereketli Satış'!$F:$F,F66,'Bereketli Satış'!$L:$L,$L$4)</f>
        <v>0</v>
      </c>
      <c r="M66" s="179">
        <f t="shared" si="1"/>
        <v>1</v>
      </c>
      <c r="N66" s="164">
        <f>COUNTIFS('Bereketli Satış'!$D:$D,D66,'Bereketli Satış'!$E:$E,E66,'Bereketli Satış'!$F:$F,F66,'Bereketli Satış'!$M:$M,$N$4)</f>
        <v>0</v>
      </c>
      <c r="O66" s="159">
        <f>COUNTIFS('Bereketli Satış'!$D:$D,D66,'Bereketli Satış'!$E:$E,E66,'Bereketli Satış'!$F:$F,F66,'Bereketli Satış'!$M:$M,$O$4)</f>
        <v>0</v>
      </c>
      <c r="P66" s="159">
        <f>COUNTIFS('Bereketli Satış'!$D:$D,D66,'Bereketli Satış'!$E:$E,E66,'Bereketli Satış'!$F:$F,F66,'Bereketli Satış'!$M:$M,$P$4)</f>
        <v>0</v>
      </c>
      <c r="Q66" s="159">
        <f>COUNTIFS('Bereketli Satış'!$D:$D,D66,'Bereketli Satış'!$E:$E,E66,'Bereketli Satış'!$F:$F,F66,'Bereketli Satış'!$M:$M,$Q$4)</f>
        <v>0</v>
      </c>
      <c r="R66" s="159">
        <f>COUNTIFS('Bereketli Satış'!$D:$D,D66,'Bereketli Satış'!$E:$E,E66,'Bereketli Satış'!$F:$F,F66,'Bereketli Satış'!$M:$M,$R$4)</f>
        <v>0</v>
      </c>
      <c r="S66" s="159">
        <f>COUNTIFS('Bereketli Satış'!$D:$D,D66,'Bereketli Satış'!$E:$E,E66,'Bereketli Satış'!$F:$F,F66,'Bereketli Satış'!$M:$M,$S$4)</f>
        <v>0</v>
      </c>
      <c r="T66" s="160">
        <f>COUNTIFS('Bereketli Satış'!$D:$D,D66,'Bereketli Satış'!$E:$E,E66,'Bereketli Satış'!$F:$F,F66,'Bereketli Satış'!$M:$M,$T$4)</f>
        <v>0</v>
      </c>
      <c r="U66" s="159">
        <f>COUNTIFS('Bereketli Satış'!$D:$D,D66,'Bereketli Satış'!$E:$E,E66,'Bereketli Satış'!$F:$F,F66,'Bereketli Satış'!$M:$M,$U$4)</f>
        <v>1</v>
      </c>
      <c r="V66" s="183">
        <f>COUNTIFS('Bereketli Satış'!$D:$D,D66,'Bereketli Satış'!$E:$E,E66,'Bereketli Satış'!$F:$F,F66,'Bereketli Satış'!$M:$M,$V$4)</f>
        <v>0</v>
      </c>
      <c r="W66">
        <f t="shared" si="2"/>
        <v>1</v>
      </c>
      <c r="AB66" t="str">
        <f t="shared" si="4"/>
        <v>Uygun</v>
      </c>
    </row>
    <row r="67" spans="4:28">
      <c r="D67" s="156" t="s">
        <v>14</v>
      </c>
      <c r="E67" s="147" t="s">
        <v>15</v>
      </c>
      <c r="F67" s="143" t="s">
        <v>63</v>
      </c>
      <c r="G67" s="181">
        <f>COUNTIFS('Bereketli Satış'!D:D,D67,'Bereketli Satış'!$E:$E,E67,'Bereketli Satış'!$F:$F,F67)</f>
        <v>1</v>
      </c>
      <c r="H67" s="164">
        <f>COUNTIFS('Bereketli Satış'!$D:$D,D67,'Bereketli Satış'!$E:$E,E67,'Bereketli Satış'!$F:$F,F67,'Bereketli Satış'!$L:$L,$H$4)</f>
        <v>0</v>
      </c>
      <c r="I67" s="159">
        <f>COUNTIFS('Bereketli Satış'!$D:$D,D67,'Bereketli Satış'!$E:$E,E67,'Bereketli Satış'!$F:$F,F67,'Bereketli Satış'!$L:$L,$I$4)</f>
        <v>0</v>
      </c>
      <c r="J67" s="159">
        <f>COUNTIFS('Bereketli Satış'!$D:$D,D67,'Bereketli Satış'!$E:$E,E67,'Bereketli Satış'!$F:$F,F67,'Bereketli Satış'!$L:$L,$J$4)</f>
        <v>0</v>
      </c>
      <c r="K67" s="159">
        <f>COUNTIFS('Bereketli Satış'!$D:$D,D67,'Bereketli Satış'!$E:$E,E67,'Bereketli Satış'!$F:$F,F67,'Bereketli Satış'!$L:$L,$K$4)</f>
        <v>1</v>
      </c>
      <c r="L67" s="165">
        <f>COUNTIFS('Bereketli Satış'!$D:$D,D67,'Bereketli Satış'!$E:$E,E67,'Bereketli Satış'!$F:$F,F67,'Bereketli Satış'!$L:$L,$L$4)</f>
        <v>0</v>
      </c>
      <c r="M67" s="179">
        <f t="shared" si="1"/>
        <v>1</v>
      </c>
      <c r="N67" s="164">
        <f>COUNTIFS('Bereketli Satış'!$D:$D,D67,'Bereketli Satış'!$E:$E,E67,'Bereketli Satış'!$F:$F,F67,'Bereketli Satış'!$M:$M,$N$4)</f>
        <v>0</v>
      </c>
      <c r="O67" s="159">
        <f>COUNTIFS('Bereketli Satış'!$D:$D,D67,'Bereketli Satış'!$E:$E,E67,'Bereketli Satış'!$F:$F,F67,'Bereketli Satış'!$M:$M,$O$4)</f>
        <v>0</v>
      </c>
      <c r="P67" s="159">
        <f>COUNTIFS('Bereketli Satış'!$D:$D,D67,'Bereketli Satış'!$E:$E,E67,'Bereketli Satış'!$F:$F,F67,'Bereketli Satış'!$M:$M,$P$4)</f>
        <v>0</v>
      </c>
      <c r="Q67" s="159">
        <f>COUNTIFS('Bereketli Satış'!$D:$D,D67,'Bereketli Satış'!$E:$E,E67,'Bereketli Satış'!$F:$F,F67,'Bereketli Satış'!$M:$M,$Q$4)</f>
        <v>0</v>
      </c>
      <c r="R67" s="159">
        <f>COUNTIFS('Bereketli Satış'!$D:$D,D67,'Bereketli Satış'!$E:$E,E67,'Bereketli Satış'!$F:$F,F67,'Bereketli Satış'!$M:$M,$R$4)</f>
        <v>0</v>
      </c>
      <c r="S67" s="159">
        <f>COUNTIFS('Bereketli Satış'!$D:$D,D67,'Bereketli Satış'!$E:$E,E67,'Bereketli Satış'!$F:$F,F67,'Bereketli Satış'!$M:$M,$S$4)</f>
        <v>0</v>
      </c>
      <c r="T67" s="160">
        <f>COUNTIFS('Bereketli Satış'!$D:$D,D67,'Bereketli Satış'!$E:$E,E67,'Bereketli Satış'!$F:$F,F67,'Bereketli Satış'!$M:$M,$T$4)</f>
        <v>0</v>
      </c>
      <c r="U67" s="159">
        <f>COUNTIFS('Bereketli Satış'!$D:$D,D67,'Bereketli Satış'!$E:$E,E67,'Bereketli Satış'!$F:$F,F67,'Bereketli Satış'!$M:$M,$U$4)</f>
        <v>1</v>
      </c>
      <c r="V67" s="183">
        <f>COUNTIFS('Bereketli Satış'!$D:$D,D67,'Bereketli Satış'!$E:$E,E67,'Bereketli Satış'!$F:$F,F67,'Bereketli Satış'!$M:$M,$V$4)</f>
        <v>0</v>
      </c>
      <c r="W67">
        <f t="shared" si="2"/>
        <v>1</v>
      </c>
      <c r="AB67" t="str">
        <f t="shared" si="4"/>
        <v>Uygun</v>
      </c>
    </row>
    <row r="68" spans="4:28">
      <c r="D68" s="156" t="s">
        <v>14</v>
      </c>
      <c r="E68" s="147" t="s">
        <v>15</v>
      </c>
      <c r="F68" s="143" t="s">
        <v>267</v>
      </c>
      <c r="G68" s="181">
        <f>COUNTIFS('Bereketli Satış'!D:D,D68,'Bereketli Satış'!$E:$E,E68,'Bereketli Satış'!$F:$F,F68)</f>
        <v>1</v>
      </c>
      <c r="H68" s="164">
        <f>COUNTIFS('Bereketli Satış'!$D:$D,D68,'Bereketli Satış'!$E:$E,E68,'Bereketli Satış'!$F:$F,F68,'Bereketli Satış'!$L:$L,$H$4)</f>
        <v>1</v>
      </c>
      <c r="I68" s="159">
        <f>COUNTIFS('Bereketli Satış'!$D:$D,D68,'Bereketli Satış'!$E:$E,E68,'Bereketli Satış'!$F:$F,F68,'Bereketli Satış'!$L:$L,$I$4)</f>
        <v>0</v>
      </c>
      <c r="J68" s="159">
        <f>COUNTIFS('Bereketli Satış'!$D:$D,D68,'Bereketli Satış'!$E:$E,E68,'Bereketli Satış'!$F:$F,F68,'Bereketli Satış'!$L:$L,$J$4)</f>
        <v>0</v>
      </c>
      <c r="K68" s="159">
        <f>COUNTIFS('Bereketli Satış'!$D:$D,D68,'Bereketli Satış'!$E:$E,E68,'Bereketli Satış'!$F:$F,F68,'Bereketli Satış'!$L:$L,$K$4)</f>
        <v>0</v>
      </c>
      <c r="L68" s="165">
        <f>COUNTIFS('Bereketli Satış'!$D:$D,D68,'Bereketli Satış'!$E:$E,E68,'Bereketli Satış'!$F:$F,F68,'Bereketli Satış'!$L:$L,$L$4)</f>
        <v>0</v>
      </c>
      <c r="M68" s="179">
        <f t="shared" si="1"/>
        <v>1</v>
      </c>
      <c r="N68" s="164">
        <f>COUNTIFS('Bereketli Satış'!$D:$D,D68,'Bereketli Satış'!$E:$E,E68,'Bereketli Satış'!$F:$F,F68,'Bereketli Satış'!$M:$M,$N$4)</f>
        <v>0</v>
      </c>
      <c r="O68" s="159">
        <f>COUNTIFS('Bereketli Satış'!$D:$D,D68,'Bereketli Satış'!$E:$E,E68,'Bereketli Satış'!$F:$F,F68,'Bereketli Satış'!$M:$M,$O$4)</f>
        <v>0</v>
      </c>
      <c r="P68" s="159">
        <f>COUNTIFS('Bereketli Satış'!$D:$D,D68,'Bereketli Satış'!$E:$E,E68,'Bereketli Satış'!$F:$F,F68,'Bereketli Satış'!$M:$M,$P$4)</f>
        <v>0</v>
      </c>
      <c r="Q68" s="159">
        <f>COUNTIFS('Bereketli Satış'!$D:$D,D68,'Bereketli Satış'!$E:$E,E68,'Bereketli Satış'!$F:$F,F68,'Bereketli Satış'!$M:$M,$Q$4)</f>
        <v>0</v>
      </c>
      <c r="R68" s="159">
        <f>COUNTIFS('Bereketli Satış'!$D:$D,D68,'Bereketli Satış'!$E:$E,E68,'Bereketli Satış'!$F:$F,F68,'Bereketli Satış'!$M:$M,$R$4)</f>
        <v>0</v>
      </c>
      <c r="S68" s="159">
        <f>COUNTIFS('Bereketli Satış'!$D:$D,D68,'Bereketli Satış'!$E:$E,E68,'Bereketli Satış'!$F:$F,F68,'Bereketli Satış'!$M:$M,$S$4)</f>
        <v>0</v>
      </c>
      <c r="T68" s="160">
        <f>COUNTIFS('Bereketli Satış'!$D:$D,D68,'Bereketli Satış'!$E:$E,E68,'Bereketli Satış'!$F:$F,F68,'Bereketli Satış'!$M:$M,$T$4)</f>
        <v>0</v>
      </c>
      <c r="U68" s="159">
        <f>COUNTIFS('Bereketli Satış'!$D:$D,D68,'Bereketli Satış'!$E:$E,E68,'Bereketli Satış'!$F:$F,F68,'Bereketli Satış'!$M:$M,$U$4)</f>
        <v>1</v>
      </c>
      <c r="V68" s="183">
        <f>COUNTIFS('Bereketli Satış'!$D:$D,D68,'Bereketli Satış'!$E:$E,E68,'Bereketli Satış'!$F:$F,F68,'Bereketli Satış'!$M:$M,$V$4)</f>
        <v>0</v>
      </c>
      <c r="W68">
        <f t="shared" si="2"/>
        <v>1</v>
      </c>
      <c r="AB68" t="str">
        <f t="shared" si="4"/>
        <v>Uygun</v>
      </c>
    </row>
    <row r="69" spans="4:28">
      <c r="D69" s="156" t="s">
        <v>14</v>
      </c>
      <c r="E69" s="147" t="s">
        <v>15</v>
      </c>
      <c r="F69" s="143" t="s">
        <v>16</v>
      </c>
      <c r="G69" s="181">
        <f>COUNTIFS('Bereketli Satış'!D:D,D69,'Bereketli Satış'!$E:$E,E69,'Bereketli Satış'!$F:$F,F69)</f>
        <v>1</v>
      </c>
      <c r="H69" s="164">
        <f>COUNTIFS('Bereketli Satış'!$D:$D,D69,'Bereketli Satış'!$E:$E,E69,'Bereketli Satış'!$F:$F,F69,'Bereketli Satış'!$L:$L,$H$4)</f>
        <v>0</v>
      </c>
      <c r="I69" s="159">
        <f>COUNTIFS('Bereketli Satış'!$D:$D,D69,'Bereketli Satış'!$E:$E,E69,'Bereketli Satış'!$F:$F,F69,'Bereketli Satış'!$L:$L,$I$4)</f>
        <v>0</v>
      </c>
      <c r="J69" s="159">
        <f>COUNTIFS('Bereketli Satış'!$D:$D,D69,'Bereketli Satış'!$E:$E,E69,'Bereketli Satış'!$F:$F,F69,'Bereketli Satış'!$L:$L,$J$4)</f>
        <v>1</v>
      </c>
      <c r="K69" s="159">
        <f>COUNTIFS('Bereketli Satış'!$D:$D,D69,'Bereketli Satış'!$E:$E,E69,'Bereketli Satış'!$F:$F,F69,'Bereketli Satış'!$L:$L,$K$4)</f>
        <v>0</v>
      </c>
      <c r="L69" s="165">
        <f>COUNTIFS('Bereketli Satış'!$D:$D,D69,'Bereketli Satış'!$E:$E,E69,'Bereketli Satış'!$F:$F,F69,'Bereketli Satış'!$L:$L,$L$4)</f>
        <v>0</v>
      </c>
      <c r="M69" s="179">
        <f t="shared" si="1"/>
        <v>1</v>
      </c>
      <c r="N69" s="164">
        <f>COUNTIFS('Bereketli Satış'!$D:$D,D69,'Bereketli Satış'!$E:$E,E69,'Bereketli Satış'!$F:$F,F69,'Bereketli Satış'!$M:$M,$N$4)</f>
        <v>0</v>
      </c>
      <c r="O69" s="159">
        <f>COUNTIFS('Bereketli Satış'!$D:$D,D69,'Bereketli Satış'!$E:$E,E69,'Bereketli Satış'!$F:$F,F69,'Bereketli Satış'!$M:$M,$O$4)</f>
        <v>0</v>
      </c>
      <c r="P69" s="159">
        <f>COUNTIFS('Bereketli Satış'!$D:$D,D69,'Bereketli Satış'!$E:$E,E69,'Bereketli Satış'!$F:$F,F69,'Bereketli Satış'!$M:$M,$P$4)</f>
        <v>1</v>
      </c>
      <c r="Q69" s="159">
        <f>COUNTIFS('Bereketli Satış'!$D:$D,D69,'Bereketli Satış'!$E:$E,E69,'Bereketli Satış'!$F:$F,F69,'Bereketli Satış'!$M:$M,$Q$4)</f>
        <v>0</v>
      </c>
      <c r="R69" s="159">
        <f>COUNTIFS('Bereketli Satış'!$D:$D,D69,'Bereketli Satış'!$E:$E,E69,'Bereketli Satış'!$F:$F,F69,'Bereketli Satış'!$M:$M,$R$4)</f>
        <v>0</v>
      </c>
      <c r="S69" s="159">
        <f>COUNTIFS('Bereketli Satış'!$D:$D,D69,'Bereketli Satış'!$E:$E,E69,'Bereketli Satış'!$F:$F,F69,'Bereketli Satış'!$M:$M,$S$4)</f>
        <v>0</v>
      </c>
      <c r="T69" s="160">
        <f>COUNTIFS('Bereketli Satış'!$D:$D,D69,'Bereketli Satış'!$E:$E,E69,'Bereketli Satış'!$F:$F,F69,'Bereketli Satış'!$M:$M,$T$4)</f>
        <v>0</v>
      </c>
      <c r="U69" s="159">
        <f>COUNTIFS('Bereketli Satış'!$D:$D,D69,'Bereketli Satış'!$E:$E,E69,'Bereketli Satış'!$F:$F,F69,'Bereketli Satış'!$M:$M,$U$4)</f>
        <v>0</v>
      </c>
      <c r="V69" s="183">
        <f>COUNTIFS('Bereketli Satış'!$D:$D,D69,'Bereketli Satış'!$E:$E,E69,'Bereketli Satış'!$F:$F,F69,'Bereketli Satış'!$M:$M,$V$4)</f>
        <v>0</v>
      </c>
      <c r="W69">
        <f t="shared" si="2"/>
        <v>1</v>
      </c>
      <c r="AB69" t="str">
        <f t="shared" si="4"/>
        <v>Uygun</v>
      </c>
    </row>
    <row r="70" spans="4:28">
      <c r="D70" s="156" t="s">
        <v>14</v>
      </c>
      <c r="E70" s="147" t="s">
        <v>15</v>
      </c>
      <c r="F70" s="143" t="s">
        <v>314</v>
      </c>
      <c r="G70" s="181">
        <f>COUNTIFS('Bereketli Satış'!D:D,D70,'Bereketli Satış'!$E:$E,E70,'Bereketli Satış'!$F:$F,F70)</f>
        <v>1</v>
      </c>
      <c r="H70" s="164">
        <f>COUNTIFS('Bereketli Satış'!$D:$D,D70,'Bereketli Satış'!$E:$E,E70,'Bereketli Satış'!$F:$F,F70,'Bereketli Satış'!$L:$L,$H$4)</f>
        <v>1</v>
      </c>
      <c r="I70" s="159">
        <f>COUNTIFS('Bereketli Satış'!$D:$D,D70,'Bereketli Satış'!$E:$E,E70,'Bereketli Satış'!$F:$F,F70,'Bereketli Satış'!$L:$L,$I$4)</f>
        <v>0</v>
      </c>
      <c r="J70" s="159">
        <f>COUNTIFS('Bereketli Satış'!$D:$D,D70,'Bereketli Satış'!$E:$E,E70,'Bereketli Satış'!$F:$F,F70,'Bereketli Satış'!$L:$L,$J$4)</f>
        <v>0</v>
      </c>
      <c r="K70" s="159">
        <f>COUNTIFS('Bereketli Satış'!$D:$D,D70,'Bereketli Satış'!$E:$E,E70,'Bereketli Satış'!$F:$F,F70,'Bereketli Satış'!$L:$L,$K$4)</f>
        <v>0</v>
      </c>
      <c r="L70" s="165">
        <f>COUNTIFS('Bereketli Satış'!$D:$D,D70,'Bereketli Satış'!$E:$E,E70,'Bereketli Satış'!$F:$F,F70,'Bereketli Satış'!$L:$L,$L$4)</f>
        <v>0</v>
      </c>
      <c r="M70" s="179">
        <f t="shared" si="1"/>
        <v>1</v>
      </c>
      <c r="N70" s="164">
        <f>COUNTIFS('Bereketli Satış'!$D:$D,D70,'Bereketli Satış'!$E:$E,E70,'Bereketli Satış'!$F:$F,F70,'Bereketli Satış'!$M:$M,$N$4)</f>
        <v>0</v>
      </c>
      <c r="O70" s="159">
        <f>COUNTIFS('Bereketli Satış'!$D:$D,D70,'Bereketli Satış'!$E:$E,E70,'Bereketli Satış'!$F:$F,F70,'Bereketli Satış'!$M:$M,$O$4)</f>
        <v>0</v>
      </c>
      <c r="P70" s="159">
        <f>COUNTIFS('Bereketli Satış'!$D:$D,D70,'Bereketli Satış'!$E:$E,E70,'Bereketli Satış'!$F:$F,F70,'Bereketli Satış'!$M:$M,$P$4)</f>
        <v>0</v>
      </c>
      <c r="Q70" s="159">
        <f>COUNTIFS('Bereketli Satış'!$D:$D,D70,'Bereketli Satış'!$E:$E,E70,'Bereketli Satış'!$F:$F,F70,'Bereketli Satış'!$M:$M,$Q$4)</f>
        <v>0</v>
      </c>
      <c r="R70" s="159">
        <f>COUNTIFS('Bereketli Satış'!$D:$D,D70,'Bereketli Satış'!$E:$E,E70,'Bereketli Satış'!$F:$F,F70,'Bereketli Satış'!$M:$M,$R$4)</f>
        <v>0</v>
      </c>
      <c r="S70" s="159">
        <f>COUNTIFS('Bereketli Satış'!$D:$D,D70,'Bereketli Satış'!$E:$E,E70,'Bereketli Satış'!$F:$F,F70,'Bereketli Satış'!$M:$M,$S$4)</f>
        <v>0</v>
      </c>
      <c r="T70" s="160">
        <f>COUNTIFS('Bereketli Satış'!$D:$D,D70,'Bereketli Satış'!$E:$E,E70,'Bereketli Satış'!$F:$F,F70,'Bereketli Satış'!$M:$M,$T$4)</f>
        <v>0</v>
      </c>
      <c r="U70" s="159">
        <f>COUNTIFS('Bereketli Satış'!$D:$D,D70,'Bereketli Satış'!$E:$E,E70,'Bereketli Satış'!$F:$F,F70,'Bereketli Satış'!$M:$M,$U$4)</f>
        <v>1</v>
      </c>
      <c r="V70" s="183">
        <f>COUNTIFS('Bereketli Satış'!$D:$D,D70,'Bereketli Satış'!$E:$E,E70,'Bereketli Satış'!$F:$F,F70,'Bereketli Satış'!$M:$M,$V$4)</f>
        <v>0</v>
      </c>
      <c r="W70">
        <f t="shared" si="2"/>
        <v>1</v>
      </c>
      <c r="AB70" t="str">
        <f t="shared" si="4"/>
        <v>Uygun</v>
      </c>
    </row>
    <row r="71" spans="4:28">
      <c r="D71" s="156" t="s">
        <v>14</v>
      </c>
      <c r="E71" s="147" t="s">
        <v>15</v>
      </c>
      <c r="F71" s="143" t="s">
        <v>113</v>
      </c>
      <c r="G71" s="181">
        <f>COUNTIFS('Bereketli Satış'!D:D,D71,'Bereketli Satış'!$E:$E,E71,'Bereketli Satış'!$F:$F,F71)</f>
        <v>1</v>
      </c>
      <c r="H71" s="164">
        <f>COUNTIFS('Bereketli Satış'!$D:$D,D71,'Bereketli Satış'!$E:$E,E71,'Bereketli Satış'!$F:$F,F71,'Bereketli Satış'!$L:$L,$H$4)</f>
        <v>1</v>
      </c>
      <c r="I71" s="159">
        <f>COUNTIFS('Bereketli Satış'!$D:$D,D71,'Bereketli Satış'!$E:$E,E71,'Bereketli Satış'!$F:$F,F71,'Bereketli Satış'!$L:$L,$I$4)</f>
        <v>0</v>
      </c>
      <c r="J71" s="159">
        <f>COUNTIFS('Bereketli Satış'!$D:$D,D71,'Bereketli Satış'!$E:$E,E71,'Bereketli Satış'!$F:$F,F71,'Bereketli Satış'!$L:$L,$J$4)</f>
        <v>0</v>
      </c>
      <c r="K71" s="159">
        <f>COUNTIFS('Bereketli Satış'!$D:$D,D71,'Bereketli Satış'!$E:$E,E71,'Bereketli Satış'!$F:$F,F71,'Bereketli Satış'!$L:$L,$K$4)</f>
        <v>0</v>
      </c>
      <c r="L71" s="165">
        <f>COUNTIFS('Bereketli Satış'!$D:$D,D71,'Bereketli Satış'!$E:$E,E71,'Bereketli Satış'!$F:$F,F71,'Bereketli Satış'!$L:$L,$L$4)</f>
        <v>0</v>
      </c>
      <c r="M71" s="179">
        <f t="shared" si="1"/>
        <v>1</v>
      </c>
      <c r="N71" s="164">
        <f>COUNTIFS('Bereketli Satış'!$D:$D,D71,'Bereketli Satış'!$E:$E,E71,'Bereketli Satış'!$F:$F,F71,'Bereketli Satış'!$M:$M,$N$4)</f>
        <v>0</v>
      </c>
      <c r="O71" s="159">
        <f>COUNTIFS('Bereketli Satış'!$D:$D,D71,'Bereketli Satış'!$E:$E,E71,'Bereketli Satış'!$F:$F,F71,'Bereketli Satış'!$M:$M,$O$4)</f>
        <v>0</v>
      </c>
      <c r="P71" s="159">
        <f>COUNTIFS('Bereketli Satış'!$D:$D,D71,'Bereketli Satış'!$E:$E,E71,'Bereketli Satış'!$F:$F,F71,'Bereketli Satış'!$M:$M,$P$4)</f>
        <v>0</v>
      </c>
      <c r="Q71" s="159">
        <f>COUNTIFS('Bereketli Satış'!$D:$D,D71,'Bereketli Satış'!$E:$E,E71,'Bereketli Satış'!$F:$F,F71,'Bereketli Satış'!$M:$M,$Q$4)</f>
        <v>0</v>
      </c>
      <c r="R71" s="159">
        <f>COUNTIFS('Bereketli Satış'!$D:$D,D71,'Bereketli Satış'!$E:$E,E71,'Bereketli Satış'!$F:$F,F71,'Bereketli Satış'!$M:$M,$R$4)</f>
        <v>0</v>
      </c>
      <c r="S71" s="159">
        <f>COUNTIFS('Bereketli Satış'!$D:$D,D71,'Bereketli Satış'!$E:$E,E71,'Bereketli Satış'!$F:$F,F71,'Bereketli Satış'!$M:$M,$S$4)</f>
        <v>0</v>
      </c>
      <c r="T71" s="160">
        <f>COUNTIFS('Bereketli Satış'!$D:$D,D71,'Bereketli Satış'!$E:$E,E71,'Bereketli Satış'!$F:$F,F71,'Bereketli Satış'!$M:$M,$T$4)</f>
        <v>0</v>
      </c>
      <c r="U71" s="159">
        <f>COUNTIFS('Bereketli Satış'!$D:$D,D71,'Bereketli Satış'!$E:$E,E71,'Bereketli Satış'!$F:$F,F71,'Bereketli Satış'!$M:$M,$U$4)</f>
        <v>1</v>
      </c>
      <c r="V71" s="183">
        <f>COUNTIFS('Bereketli Satış'!$D:$D,D71,'Bereketli Satış'!$E:$E,E71,'Bereketli Satış'!$F:$F,F71,'Bereketli Satış'!$M:$M,$V$4)</f>
        <v>0</v>
      </c>
      <c r="W71">
        <f t="shared" si="2"/>
        <v>1</v>
      </c>
      <c r="AB71" t="str">
        <f t="shared" si="4"/>
        <v>Uygun</v>
      </c>
    </row>
    <row r="72" spans="4:28">
      <c r="D72" s="157" t="s">
        <v>14</v>
      </c>
      <c r="E72" s="142" t="s">
        <v>15</v>
      </c>
      <c r="F72" s="143" t="s">
        <v>62</v>
      </c>
      <c r="G72" s="181">
        <f>COUNTIFS('Bereketli Satış'!D:D,D72,'Bereketli Satış'!$E:$E,E72,'Bereketli Satış'!$F:$F,F72)</f>
        <v>1</v>
      </c>
      <c r="H72" s="166">
        <f>COUNTIFS('Bereketli Satış'!$D:$D,D72,'Bereketli Satış'!$E:$E,E72,'Bereketli Satış'!$F:$F,F72,'Bereketli Satış'!$L:$L,$H$4)</f>
        <v>0</v>
      </c>
      <c r="I72" s="167">
        <f>COUNTIFS('Bereketli Satış'!$D:$D,D72,'Bereketli Satış'!$E:$E,E72,'Bereketli Satış'!$F:$F,F72,'Bereketli Satış'!$L:$L,$I$4)</f>
        <v>0</v>
      </c>
      <c r="J72" s="167">
        <f>COUNTIFS('Bereketli Satış'!$D:$D,D72,'Bereketli Satış'!$E:$E,E72,'Bereketli Satış'!$F:$F,F72,'Bereketli Satış'!$L:$L,$J$4)</f>
        <v>1</v>
      </c>
      <c r="K72" s="167">
        <f>COUNTIFS('Bereketli Satış'!$D:$D,D72,'Bereketli Satış'!$E:$E,E72,'Bereketli Satış'!$F:$F,F72,'Bereketli Satış'!$L:$L,$K$4)</f>
        <v>0</v>
      </c>
      <c r="L72" s="168">
        <f>COUNTIFS('Bereketli Satış'!$D:$D,D72,'Bereketli Satış'!$E:$E,E72,'Bereketli Satış'!$F:$F,F72,'Bereketli Satış'!$L:$L,$L$4)</f>
        <v>0</v>
      </c>
      <c r="M72" s="180">
        <f t="shared" si="1"/>
        <v>1</v>
      </c>
      <c r="N72" s="166">
        <f>COUNTIFS('Bereketli Satış'!$D:$D,D72,'Bereketli Satış'!$E:$E,E72,'Bereketli Satış'!$F:$F,F72,'Bereketli Satış'!$M:$M,$N$4)</f>
        <v>1</v>
      </c>
      <c r="O72" s="167">
        <f>COUNTIFS('Bereketli Satış'!$D:$D,D72,'Bereketli Satış'!$E:$E,E72,'Bereketli Satış'!$F:$F,F72,'Bereketli Satış'!$M:$M,$O$4)</f>
        <v>0</v>
      </c>
      <c r="P72" s="167">
        <f>COUNTIFS('Bereketli Satış'!$D:$D,D72,'Bereketli Satış'!$E:$E,E72,'Bereketli Satış'!$F:$F,F72,'Bereketli Satış'!$M:$M,$P$4)</f>
        <v>0</v>
      </c>
      <c r="Q72" s="167">
        <f>COUNTIFS('Bereketli Satış'!$D:$D,D72,'Bereketli Satış'!$E:$E,E72,'Bereketli Satış'!$F:$F,F72,'Bereketli Satış'!$M:$M,$Q$4)</f>
        <v>0</v>
      </c>
      <c r="R72" s="167">
        <f>COUNTIFS('Bereketli Satış'!$D:$D,D72,'Bereketli Satış'!$E:$E,E72,'Bereketli Satış'!$F:$F,F72,'Bereketli Satış'!$M:$M,$R$4)</f>
        <v>0</v>
      </c>
      <c r="S72" s="167">
        <f>COUNTIFS('Bereketli Satış'!$D:$D,D72,'Bereketli Satış'!$E:$E,E72,'Bereketli Satış'!$F:$F,F72,'Bereketli Satış'!$M:$M,$S$4)</f>
        <v>0</v>
      </c>
      <c r="T72" s="170">
        <f>COUNTIFS('Bereketli Satış'!$D:$D,D72,'Bereketli Satış'!$E:$E,E72,'Bereketli Satış'!$F:$F,F72,'Bereketli Satış'!$M:$M,$T$4)</f>
        <v>0</v>
      </c>
      <c r="U72" s="167">
        <f>COUNTIFS('Bereketli Satış'!$D:$D,D72,'Bereketli Satış'!$E:$E,E72,'Bereketli Satış'!$F:$F,F72,'Bereketli Satış'!$M:$M,$U$4)</f>
        <v>0</v>
      </c>
      <c r="V72" s="184">
        <f>COUNTIFS('Bereketli Satış'!$D:$D,D72,'Bereketli Satış'!$E:$E,E72,'Bereketli Satış'!$F:$F,F72,'Bereketli Satış'!$M:$M,$V$4)</f>
        <v>0</v>
      </c>
      <c r="W72">
        <f t="shared" si="2"/>
        <v>1</v>
      </c>
      <c r="AB72" t="str">
        <f t="shared" si="4"/>
        <v>Uygun</v>
      </c>
    </row>
    <row r="73" spans="4:28">
      <c r="F73" t="s">
        <v>658</v>
      </c>
      <c r="H73">
        <f t="shared" ref="H73:V73" si="5">SUM(H6:H72)</f>
        <v>29</v>
      </c>
      <c r="I73">
        <f t="shared" si="5"/>
        <v>11</v>
      </c>
      <c r="J73">
        <f t="shared" si="5"/>
        <v>19</v>
      </c>
      <c r="K73">
        <f t="shared" si="5"/>
        <v>4</v>
      </c>
      <c r="L73">
        <f t="shared" si="5"/>
        <v>4</v>
      </c>
      <c r="M73">
        <f t="shared" si="5"/>
        <v>67</v>
      </c>
      <c r="N73">
        <f t="shared" si="5"/>
        <v>5</v>
      </c>
      <c r="O73">
        <f t="shared" si="5"/>
        <v>5</v>
      </c>
      <c r="P73">
        <f t="shared" si="5"/>
        <v>16</v>
      </c>
      <c r="Q73">
        <f t="shared" si="5"/>
        <v>1</v>
      </c>
      <c r="R73">
        <f t="shared" si="5"/>
        <v>0</v>
      </c>
      <c r="S73">
        <f t="shared" si="5"/>
        <v>8</v>
      </c>
      <c r="T73">
        <f t="shared" si="5"/>
        <v>1</v>
      </c>
      <c r="U73">
        <f t="shared" si="5"/>
        <v>31</v>
      </c>
      <c r="V73">
        <f t="shared" si="5"/>
        <v>0</v>
      </c>
    </row>
    <row r="74" spans="4:28">
      <c r="F74" t="s">
        <v>659</v>
      </c>
      <c r="G74" s="12">
        <f>SUM(G6:G72)</f>
        <v>67</v>
      </c>
      <c r="H74" s="400">
        <f>SUM(H6:L72)</f>
        <v>67</v>
      </c>
      <c r="I74" s="400"/>
      <c r="J74" s="400"/>
      <c r="K74" s="400"/>
      <c r="L74" s="400"/>
      <c r="N74" s="400">
        <f>SUM(N6:V72)</f>
        <v>67</v>
      </c>
      <c r="O74" s="400"/>
      <c r="P74" s="400"/>
      <c r="Q74" s="400"/>
      <c r="R74" s="400"/>
      <c r="S74" s="400"/>
      <c r="T74" s="400"/>
      <c r="U74" s="400"/>
      <c r="V74" s="400"/>
    </row>
    <row r="76" spans="4:28">
      <c r="I76" s="188"/>
    </row>
    <row r="77" spans="4:28">
      <c r="I77" s="188"/>
    </row>
  </sheetData>
  <mergeCells count="23">
    <mergeCell ref="H74:L74"/>
    <mergeCell ref="N74:V74"/>
    <mergeCell ref="H1:L3"/>
    <mergeCell ref="N1:V3"/>
    <mergeCell ref="AD5:AM5"/>
    <mergeCell ref="AL6:AM6"/>
    <mergeCell ref="AL7:AM7"/>
    <mergeCell ref="AL8:AM8"/>
    <mergeCell ref="AL9:AM9"/>
    <mergeCell ref="AL11:AM11"/>
    <mergeCell ref="AL13:AM13"/>
    <mergeCell ref="AL14:AM14"/>
    <mergeCell ref="A2:B2"/>
    <mergeCell ref="AE9:AK9"/>
    <mergeCell ref="AL15:AM15"/>
    <mergeCell ref="AE14:AK14"/>
    <mergeCell ref="AE15:AK15"/>
    <mergeCell ref="AE13:AK13"/>
    <mergeCell ref="AE11:AK11"/>
    <mergeCell ref="AC5:AC17"/>
    <mergeCell ref="X1:AA3"/>
    <mergeCell ref="AE7:AK7"/>
    <mergeCell ref="AE8:AK8"/>
  </mergeCells>
  <conditionalFormatting sqref="A2">
    <cfRule type="containsText" dxfId="4" priority="1" operator="containsText" text="Tablo Güncel">
      <formula>NOT(ISERROR(SEARCH("Tablo Güncel",A2)))</formula>
    </cfRule>
    <cfRule type="containsText" dxfId="3" priority="2" operator="containsText" text="Tabloda Eksik Var">
      <formula>NOT(ISERROR(SEARCH("Tabloda Eksik Var",A2)))</formula>
    </cfRule>
  </conditionalFormatting>
  <conditionalFormatting sqref="H6:V73">
    <cfRule type="cellIs" dxfId="2" priority="5" stopIfTrue="1" operator="equal">
      <formula>0</formula>
    </cfRule>
  </conditionalFormatting>
  <conditionalFormatting sqref="AB1:AB1048576">
    <cfRule type="containsText" dxfId="1" priority="3" operator="containsText" text="Verilerde Hata Var">
      <formula>NOT(ISERROR(SEARCH("Verilerde Hata Var",AB1)))</formula>
    </cfRule>
    <cfRule type="containsText" dxfId="0" priority="4" stopIfTrue="1" operator="containsText" text="Uygun">
      <formula>NOT(ISERROR(SEARCH("Uygun",AB1)))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Yetkilendirme ve Beyan Takip</vt:lpstr>
      <vt:lpstr>İbiller satış</vt:lpstr>
      <vt:lpstr>Master Veri </vt:lpstr>
      <vt:lpstr>Bereketli Satış</vt:lpstr>
      <vt:lpstr>SHBN AKTİF İLANLAR</vt:lpstr>
      <vt:lpstr>İLAN PLANLAMASI</vt:lpstr>
      <vt:lpstr>Sheet1</vt:lpstr>
      <vt:lpstr>inköyler</vt:lpstr>
      <vt:lpstr>Sayfa1</vt:lpstr>
      <vt:lpstr>Pivot İzleme</vt:lpstr>
      <vt:lpstr>ARSLAN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Hasan Uysal</dc:creator>
  <cp:keywords/>
  <dc:description/>
  <cp:lastModifiedBy>Muhammed Hatay</cp:lastModifiedBy>
  <cp:revision/>
  <dcterms:created xsi:type="dcterms:W3CDTF">2024-10-22T10:06:33Z</dcterms:created>
  <dcterms:modified xsi:type="dcterms:W3CDTF">2026-01-28T09:20:48Z</dcterms:modified>
  <cp:category/>
  <cp:contentStatus/>
</cp:coreProperties>
</file>